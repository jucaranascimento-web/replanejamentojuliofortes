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metadata" ContentType="application/binary"/>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630" yWindow="570" windowWidth="10215" windowHeight="4050" firstSheet="9" activeTab="13"/>
  </bookViews>
  <sheets>
    <sheet name="ÍNDICE" sheetId="1" r:id="rId1"/>
    <sheet name="Aprof. Biologia" sheetId="2" r:id="rId2"/>
    <sheet name="Aprof. Filosofia" sheetId="3" r:id="rId3"/>
    <sheet name="Aprof. Geografia" sheetId="4" r:id="rId4"/>
    <sheet name="Aprof. Química" sheetId="5" r:id="rId5"/>
    <sheet name="Aprof. Sociologia" sheetId="6" r:id="rId6"/>
    <sheet name="Arte e Mídias Digitais" sheetId="7" r:id="rId7"/>
    <sheet name="Atualidades" sheetId="8" r:id="rId8"/>
    <sheet name="Biologia (Noturno)" sheetId="9" r:id="rId9"/>
    <sheet name="Educação Financeira" sheetId="10" r:id="rId10"/>
    <sheet name="Empreendedorismo" sheetId="11" r:id="rId11"/>
    <sheet name="Geografia (Noturno)" sheetId="12" r:id="rId12"/>
    <sheet name="Liderança e Oratória" sheetId="13" r:id="rId13"/>
    <sheet name="Língua Inglesa" sheetId="14" r:id="rId14"/>
    <sheet name="Práticas Experimentais" sheetId="15" r:id="rId15"/>
    <sheet name="Programação " sheetId="16" r:id="rId16"/>
    <sheet name="Projeto de Vida" sheetId="17" r:id="rId17"/>
    <sheet name="Química (Noturno)" sheetId="18" r:id="rId18"/>
    <sheet name="Redação e Leitura" sheetId="19" r:id="rId19"/>
    <sheet name="Robótica - PEI 9h" sheetId="20" r:id="rId20"/>
    <sheet name="Gráfico" sheetId="21" state="hidden" r:id="rId21"/>
    <sheet name="LP 2025" sheetId="22" state="hidden" r:id="rId22"/>
    <sheet name="Planilha2" sheetId="23" state="hidden" r:id="rId23"/>
    <sheet name="Planilha1" sheetId="24" state="hidden" r:id="rId24"/>
    <sheet name="AF - Tecnologia e Inovação-remo" sheetId="25" state="hidden" r:id="rId25"/>
  </sheets>
  <externalReferences>
    <externalReference r:id="rId26"/>
  </externalReferences>
  <definedNames>
    <definedName name="_xlnm._FilterDatabase" localSheetId="24" hidden="1">'AF - Tecnologia e Inovação-remo'!$B$2:$U$2</definedName>
    <definedName name="_xlnm._FilterDatabase" localSheetId="1" hidden="1">'Aprof. Biologia'!$A$1:$W$53</definedName>
    <definedName name="_xlnm._FilterDatabase" localSheetId="2" hidden="1">'Aprof. Filosofia'!$A$1:$T$15</definedName>
    <definedName name="_xlnm._FilterDatabase" localSheetId="3" hidden="1">'Aprof. Geografia'!$A$1:$M$53</definedName>
    <definedName name="_xlnm._FilterDatabase" localSheetId="4" hidden="1">'Aprof. Química'!$A$1:$L$53</definedName>
    <definedName name="_xlnm._FilterDatabase" localSheetId="5" hidden="1">'Aprof. Sociologia'!$A$1:$M$53</definedName>
    <definedName name="_xlnm._FilterDatabase" localSheetId="6" hidden="1">'Arte e Mídias Digitais'!$A$1:$L$27</definedName>
    <definedName name="_xlnm._FilterDatabase" localSheetId="7" hidden="1">Atualidades!$A$1:$M$53</definedName>
    <definedName name="_xlnm._FilterDatabase" localSheetId="8" hidden="1">'Biologia (Noturno)'!$A$1:$K$53</definedName>
    <definedName name="_xlnm._FilterDatabase" localSheetId="9" hidden="1">'Educação Financeira'!$A$1:$L$105</definedName>
    <definedName name="_xlnm._FilterDatabase" localSheetId="10" hidden="1">Empreendedorismo!$A$1:$K$79</definedName>
    <definedName name="_xlnm._FilterDatabase" localSheetId="11" hidden="1">'Geografia (Noturno)'!$A$1:$J$53</definedName>
    <definedName name="_xlnm._FilterDatabase" localSheetId="12" hidden="1">'Liderança e Oratória'!$A$1:$K$53</definedName>
    <definedName name="_xlnm._FilterDatabase" localSheetId="13" hidden="1">'Língua Inglesa'!$A$1:$L$241</definedName>
    <definedName name="_xlnm._FilterDatabase" localSheetId="14" hidden="1">'Práticas Experimentais'!$A$1:$I$37</definedName>
    <definedName name="_xlnm._FilterDatabase" localSheetId="15" hidden="1">'Programação '!$A$2:$Q$2</definedName>
    <definedName name="_xlnm._FilterDatabase" localSheetId="16" hidden="1">'Projeto de Vida'!$A$1:$K$79</definedName>
    <definedName name="_xlnm._FilterDatabase" localSheetId="17" hidden="1">'Química (Noturno)'!$A$1:$J$53</definedName>
    <definedName name="_xlnm._FilterDatabase" localSheetId="18" hidden="1">'Redação e Leitura'!$A$1:$Q$193</definedName>
    <definedName name="_xlnm._FilterDatabase" localSheetId="19" hidden="1">'Robótica - PEI 9h'!$A$1:$M$57</definedName>
    <definedName name="_Hlk189750054">#REF!</definedName>
  </definedNames>
  <calcPr calcId="125725"/>
  <extLst>
    <ext uri="GoogleSheetsCustomDataVersion2">
      <go:sheetsCustomData xmlns:go="http://customooxmlschemas.google.com/" r:id="rId29" roundtripDataChecksum="epkKsgkHifEXwRPhHSYkJlnHRp+eE1wRXbkiewdp5to="/>
    </ext>
  </extLst>
</workbook>
</file>

<file path=xl/calcChain.xml><?xml version="1.0" encoding="utf-8"?>
<calcChain xmlns="http://schemas.openxmlformats.org/spreadsheetml/2006/main">
  <c r="B50" i="21"/>
  <c r="B49"/>
  <c r="B48"/>
  <c r="B47"/>
  <c r="B46"/>
  <c r="B45"/>
  <c r="B44"/>
  <c r="B43"/>
  <c r="B42"/>
  <c r="B41"/>
  <c r="B40"/>
  <c r="B39"/>
  <c r="B38"/>
  <c r="B37"/>
  <c r="B36"/>
  <c r="B35"/>
  <c r="B34"/>
  <c r="B33"/>
  <c r="B32"/>
  <c r="B31"/>
  <c r="B30"/>
  <c r="B29"/>
  <c r="B28"/>
  <c r="A27"/>
  <c r="B27" s="1"/>
  <c r="B26"/>
  <c r="B25"/>
  <c r="B24"/>
  <c r="B23"/>
  <c r="B22"/>
  <c r="B21"/>
  <c r="B20"/>
  <c r="B19"/>
  <c r="B18"/>
  <c r="A17"/>
  <c r="B17" s="1"/>
  <c r="A16"/>
  <c r="B16" s="1"/>
  <c r="B15"/>
  <c r="B14"/>
  <c r="B13"/>
  <c r="B12"/>
  <c r="B11"/>
  <c r="B10"/>
  <c r="B9"/>
  <c r="B8"/>
  <c r="B7"/>
  <c r="B6"/>
  <c r="B5"/>
  <c r="B4"/>
  <c r="B3"/>
  <c r="A2"/>
  <c r="B2" s="1"/>
</calcChain>
</file>

<file path=xl/comments1.xml><?xml version="1.0" encoding="utf-8"?>
<comments xmlns="http://schemas.openxmlformats.org/spreadsheetml/2006/main">
  <authors>
    <author/>
  </authors>
  <commentList>
    <comment ref="D1" authorId="0">
      <text>
        <r>
          <rPr>
            <sz val="10"/>
            <color rgb="FF000000"/>
            <rFont val="Arial"/>
            <scheme val="minor"/>
          </rPr>
          <t>Guia de Práticas de Sala de Aula
======</t>
        </r>
      </text>
    </comment>
  </commentList>
</comments>
</file>

<file path=xl/sharedStrings.xml><?xml version="1.0" encoding="utf-8"?>
<sst xmlns="http://schemas.openxmlformats.org/spreadsheetml/2006/main" count="17750" uniqueCount="5166">
  <si>
    <t>COMPONENTES CURRICULARES ENSINO MÉDIO</t>
  </si>
  <si>
    <t>APROFUNDAMENTO EM BIOLOGIA</t>
  </si>
  <si>
    <t>APROFUNDAMENTO EM FILOSOFIA</t>
  </si>
  <si>
    <t>APROFUNDAMENTO EM GEOGRAFIA</t>
  </si>
  <si>
    <t>APROFUNDAMENTO EM QUÍMICA</t>
  </si>
  <si>
    <t>APROFUNDAMENTO EM SOCIOLOGIA</t>
  </si>
  <si>
    <t>ARTE E MÍDIAS DIGITAIS</t>
  </si>
  <si>
    <t>ATUALIDADES</t>
  </si>
  <si>
    <t>BIOLOGIA NOTURNO</t>
  </si>
  <si>
    <t>EDUCAÇÃO FINANCEIRA</t>
  </si>
  <si>
    <t>EMPREENDEDORISMO</t>
  </si>
  <si>
    <t>GEOGRAFIA NOTURNO</t>
  </si>
  <si>
    <t>LIDERANÇA E ORATÓRIA</t>
  </si>
  <si>
    <t>LÍNGUA INGLESA</t>
  </si>
  <si>
    <t>PRÁTICAS EXPERIMENTAIS</t>
  </si>
  <si>
    <t>PROGRAMAÇÃO</t>
  </si>
  <si>
    <t>PROJETO DE VIDA</t>
  </si>
  <si>
    <t>QUÍMICA NOTURNO</t>
  </si>
  <si>
    <t>REDAÇÃO E LEITURA</t>
  </si>
  <si>
    <t>ROBÓTICA - PEI 9H</t>
  </si>
  <si>
    <t>AULA COMPLEMENTAR</t>
  </si>
  <si>
    <t>CICLO</t>
  </si>
  <si>
    <t>SÉRIE</t>
  </si>
  <si>
    <t>BIMESTRE</t>
  </si>
  <si>
    <t>AULA</t>
  </si>
  <si>
    <t>EIXO</t>
  </si>
  <si>
    <t>UNIDADE TEMÁTICA</t>
  </si>
  <si>
    <t>HABILIDADE</t>
  </si>
  <si>
    <t>OBJETOS DO CONHECIMENTO</t>
  </si>
  <si>
    <t>TÍTULO</t>
  </si>
  <si>
    <t>CONTEÚDO</t>
  </si>
  <si>
    <t>OBJETIVOS</t>
  </si>
  <si>
    <t>BLOCO</t>
  </si>
  <si>
    <t>Ensino Médio</t>
  </si>
  <si>
    <t>3ª</t>
  </si>
  <si>
    <t>1°</t>
  </si>
  <si>
    <t>Método, Conhecimento e Ciência</t>
  </si>
  <si>
    <t>Vida e Evolução</t>
  </si>
  <si>
    <t>Demonstrar a capacidade de:
Utilizar os conhecimentos das Ciências da Natureza na análise de desafios contemporâneos, apontando soluções relacionadas a sustentabilidade ambiental, saúde individual e coletiva, transição energética e cadeias produtivas.
Utilizar os conhecimentos das Ciências da Natureza na explicação da fisiologia humana e de sua relação com hábitos e condições de vida, agindo individual e coletivamente para a promoção da saúde e do bem-estar.</t>
  </si>
  <si>
    <t>Citologia.</t>
  </si>
  <si>
    <t>Como a membrana plasmática e o citoesqueleto participam da dinâmica celular</t>
  </si>
  <si>
    <t xml:space="preserve">
Componentes e estruturas celulares:
• Membrana plasmática.
• Citoesqueleto.
• Microtúbulos.
• Filamentos de actina (microfilamentos).
• Filamentos intermediários.</t>
  </si>
  <si>
    <t>• Identificar a estrutura e funções básicas da membrana plasmática.
• Relacionar a função do citoesqueleto e seus componentes principais (microtúbulos, filamentos de actina e filamentos intermediários) com movimentação (flagelos) e integridade estrutural celular (córtex celular).</t>
  </si>
  <si>
    <t>Bloco 1
 Citologia</t>
  </si>
  <si>
    <t xml:space="preserve">
Utilizar os conhecimentos das Ciências da Natureza na explicação da fisiologia humana e de sua relação com hábitos e condições de vida, agindo individual e coletivamente para a promoção da saúde e do bem-estar.</t>
  </si>
  <si>
    <t>Atividade metabólica e mudanças nas características celulares visíveis ao microscópio</t>
  </si>
  <si>
    <t xml:space="preserve">
Componentes e estruturas celulares:
• Mitocôndria.
• Retículo endoplasmático rugoso.
• Heterocromatina.
• Eucromatina.
• Nucléolo.</t>
  </si>
  <si>
    <t>• Distinguir os conceitos básicos de metabolismo celular (anabolismo e catabolismo).
• Relacionar a alta atividade metabólica com características celulares visíveis (ex.: tamanho do núcleo, quantidade de ribossomos, retículo endoplasmático rugoso).</t>
  </si>
  <si>
    <t>Estudo da regulação celular</t>
  </si>
  <si>
    <t xml:space="preserve">
Componentes e estruturas celulares:
• Nucléolo.
• Mitocôndria (DNA mitocondrial).
• Lisossomo.
• Autólise e apoptose.</t>
  </si>
  <si>
    <t xml:space="preserve">
• Discutir as limitações da analogia do núcleo como "centro de controle único" da célula.
• Comparar mecanismos como autólise e apoptose, destacando o papel dos lisossomos e mitocôndrias nesses processos.</t>
  </si>
  <si>
    <t>Homeostase como resultado da integração celular, tecidual, orgânica e sistêmica</t>
  </si>
  <si>
    <t>• Digestão celular.
• Homeostase.
• Níveis de organização.</t>
  </si>
  <si>
    <t>• Diferenciar lisossomos e peroxissomos.
• Reconhecer a relação entre homeostase e o funcionamento integrado dos diferentes níveis de organização biológica (celular, tecidual, orgânico e sistêmico).</t>
  </si>
  <si>
    <t>Fisiologia.</t>
  </si>
  <si>
    <t>Hemácias e transporte de gás oxigênio pelo sangue</t>
  </si>
  <si>
    <t>• Sistemas respiratório e cardiovascular.
• Hemácias e transporte de gás oxigênio pelo sangue.
• Função da eritropoietina no organismo.</t>
  </si>
  <si>
    <t>Relacionar a função da eritropoietina (EPO) com a produção de hemácias e o transporte de gás oxigênio.</t>
  </si>
  <si>
    <t>Bloco 2
 Fisiologia:
 Transporte de gás oxigênio</t>
  </si>
  <si>
    <r>
      <rPr>
        <sz val="10"/>
        <color rgb="FF000000"/>
        <rFont val="Arial"/>
      </rPr>
      <t xml:space="preserve">A relação entre eritropoietina e um possível caso de </t>
    </r>
    <r>
      <rPr>
        <i/>
        <sz val="10"/>
        <color rgb="FF000000"/>
        <rFont val="Arial"/>
      </rPr>
      <t>doping</t>
    </r>
  </si>
  <si>
    <r>
      <rPr>
        <sz val="10"/>
        <color rgb="FF000000"/>
        <rFont val="Arial"/>
      </rPr>
      <t xml:space="preserve">
Definição de </t>
    </r>
    <r>
      <rPr>
        <i/>
        <sz val="10"/>
        <color rgb="FF000000"/>
        <rFont val="Arial"/>
      </rPr>
      <t>doping.</t>
    </r>
  </si>
  <si>
    <r>
      <rPr>
        <sz val="10"/>
        <color rgb="FF000000"/>
        <rFont val="Arial"/>
      </rPr>
      <t xml:space="preserve">
• Relacionar o aumento de hemácias com a capacidade aeróbica em exercícios físicos.
• Inferir por que o uso artificial de EPO é considerado </t>
    </r>
    <r>
      <rPr>
        <i/>
        <sz val="10"/>
        <color rgb="FF000000"/>
        <rFont val="Arial"/>
      </rPr>
      <t>doping</t>
    </r>
    <r>
      <rPr>
        <sz val="10"/>
        <color rgb="FF000000"/>
        <rFont val="Arial"/>
      </rPr>
      <t>.</t>
    </r>
  </si>
  <si>
    <t>Utilizar os conhecimentos das Ciências da Natureza na explicação da fisiologia humana e de sua relação com hábitos e condições de vida, agindo individual e coletivamente para a promoção da saúde e do bem-estar.
Avaliar criticamente as relações entre as Ciências da Natureza e as tecnologias, reconhecendo seus impactos, positivos e negativos, na vida das pessoas e comunidades ao longo do tempo.</t>
  </si>
  <si>
    <t>Sistema urinário</t>
  </si>
  <si>
    <t>• Sistema urinário.
• Anatomia do sistema urinário.
• Filtração glomerular.</t>
  </si>
  <si>
    <t>• Identificar as principais funções do rim humano (filtração, reabsorção e secreção).
• Analisar as funções renais naturais e compará-las com as capacidades do rim biônico, avaliando os avanços tecnológicos na reprodução de processos biológicos.
• Discutir os impactos positivos (ex.: qualidade de vida de pacientes renais) e negativos (ex.: limitações tecnológicas ou custos) do rim biônico na sociedade.</t>
  </si>
  <si>
    <t>Bloco 3
 Fisiologia:
 Regulação homeostática</t>
  </si>
  <si>
    <t>Regulação hormonal do sistema urinário</t>
  </si>
  <si>
    <t>• Sistema urinário: resposta hormonal.
• Regulação homeostática.</t>
  </si>
  <si>
    <t>Identificar o papel fisiológico do hormônio antidiurético (ADH) na regulação da reabsorção de água pelos túbulos renais.</t>
  </si>
  <si>
    <t xml:space="preserve">
Fisiologia.</t>
  </si>
  <si>
    <t>Sistema sensorial: órgãos dos sentidos</t>
  </si>
  <si>
    <t>• Visão.
• Audição.
• Paladar.
• Tato.
• Olfato.</t>
  </si>
  <si>
    <t>• Revisar a integração entre estrutura e função do sistema nervoso no controle corporal.
• Descrever os principais órgãos dos sentidos e seus mecanismos de funcionamento.</t>
  </si>
  <si>
    <t>Bloco 4
 Órgãos dos sentidos</t>
  </si>
  <si>
    <t>Órgãos dos sentidos e nossa interação com o meio</t>
  </si>
  <si>
    <t>Órgãos dos sentidos.</t>
  </si>
  <si>
    <t>• Identificar as estruturas e funções dos órgãos dos sentidos na captação de estímulos ambientais.
• Descrever o processo de transdução sensorial (conversão de estímulos em impulsos nervosos).</t>
  </si>
  <si>
    <t>Controle fisiológico das ações do sistema digestório</t>
  </si>
  <si>
    <t>Regulação neural do sistema digestório.</t>
  </si>
  <si>
    <t xml:space="preserve">
• Identificar os mecanismos de controle dos movimentos peristálticos e da secreção de enzimas digestivas.
• Reconhecer a regulação neural do sistema digestório, desde os estímulos sensoriais até a motilidade intestinal.</t>
  </si>
  <si>
    <t>Bloco 5
 Sistema digestório</t>
  </si>
  <si>
    <t>Uso de modelos didáticos na compreensão da saúde: absorção intestinal</t>
  </si>
  <si>
    <t>Sistema digestório.</t>
  </si>
  <si>
    <t>• Inferir a relação entre as microvilosidades intestinais e a eficiência na absorção de nutrientes a partir de experimentação com modelos didáticos.
• Relacionar a estrutura das células do intestino delgado (vilosidades e microvilosidades) com sua função fisiológica.</t>
  </si>
  <si>
    <t>Uso de modelos didáticos na compreensão da saúde: digestão gástrica</t>
  </si>
  <si>
    <t>• Demonstrar como o pH ácido causa desnaturação de proteínas, usando suco de limão para coagular a caseína do leite.
• Relacionar o experimento ao processo de digestão no estômago, em que o ácido clorídrico desnatura proteínas alimentares.
• Inferir a importância do ambiente ácido para a ativação da enzima pepsina e sua atuação eficiente na digestão proteica.</t>
  </si>
  <si>
    <t>Utilizar os conhecimentos das Ciências da Natureza na explicação da fisiologia humana e sua relação com hábitos e condições de vida, agindo individual e coletivamente para a promoção da saúde e do bem-estar.
Promover ações de divulgação científica, utilizando os conhecimentos das Ciências da Natureza, para promover campanhas informativas focadas em temas como sustentabilidade socioambiental, justiça social e climática, hábitos saudáveis, combate ao preconceito e uso consciente das TDICs, fomentando a construção de uma sociedade mais justa, sustentável e saudável.</t>
  </si>
  <si>
    <t>Uso de modelos didáticos para promoção da saúde</t>
  </si>
  <si>
    <t>• Relacionar ciência e cotidiano, ligando os experimentos a situações como má digestão, azia e má absorção de nutrientes.
• Praticar a educação em saúde avaliando hábitos que afetam a digestão, como consumo excessivo de antiácidos, má mastigação e dieta pobre em fibras.</t>
  </si>
  <si>
    <t>2°</t>
  </si>
  <si>
    <t>Explicar a contribuição das Ciências da Natureza para a compreensão e o tratamento de questões contemporâneas relacionadas a diferentes instâncias da vida humana, como a profissional, social, econômica, cultural e ambiental.
Utilizar os conhecimentos das Ciências da Natureza na explicação da fisiologia humana e sua relação com hábitos e condições de vida, agindo individual e coletivamente para a promoção da saúde e do bem-estar.</t>
  </si>
  <si>
    <t>Parasitologia.</t>
  </si>
  <si>
    <t>Parasitoses: as principais diferenças entre viroses, bacterioses e protozooses</t>
  </si>
  <si>
    <t>• Parasitoses.
• Diferenças entre viroses, bacterioses e protozooses.</t>
  </si>
  <si>
    <t>• Identificar o que caracteriza uma parasitose.
• Reconhecer as principais características, exemplos e diferenças entre viroses, bacterioses e protozooses, destacando seus agentes etiológicos (vírus, bactérias e protozoários).</t>
  </si>
  <si>
    <t>Bloco 1
 Parasitoses</t>
  </si>
  <si>
    <t>Explicar a contribuição das Ciências da Natureza para a compreensão e o tratamento de questões contemporâneas relacionadas a diferentes instâncias da vida humana, como a profissional, social, econômica, cultural e ambiental.
Utilizar os conhecimentos das Ciências da Natureza na explicação da fisiologia humana e de sua relação com hábitos e condições de vida, agindo individual e coletivamente para a promoção da saúde e do bem-estar.</t>
  </si>
  <si>
    <t>Resistência bacteriana e a necessidade do uso racional de antibióticos</t>
  </si>
  <si>
    <t>• Processo de seleção natural aplicado às bactérias.
• Consequências do uso indiscriminado de antibióticos.
• Estratégias para prevenção do surgimento de superbactérias.</t>
  </si>
  <si>
    <r>
      <rPr>
        <sz val="10"/>
        <color rgb="FF000000"/>
        <rFont val="Arial"/>
      </rPr>
      <t xml:space="preserve">
• Inferir</t>
    </r>
    <r>
      <rPr>
        <sz val="10"/>
        <color rgb="FF34A853"/>
        <rFont val="Arial"/>
      </rPr>
      <t xml:space="preserve"> </t>
    </r>
    <r>
      <rPr>
        <sz val="10"/>
        <color rgb="FF000000"/>
        <rFont val="Arial"/>
      </rPr>
      <t xml:space="preserve">como a pressão seletiva exercida pelo uso de antibióticos leva ao desenvolvimento de bactérias resistentes, relacionando esse processo aos princípios da seleção natural.
• Identificar os diferentes tipos de bactérias por meio da técnica de </t>
    </r>
    <r>
      <rPr>
        <i/>
        <sz val="10"/>
        <color rgb="FF000000"/>
        <rFont val="Arial"/>
      </rPr>
      <t>Gram</t>
    </r>
    <r>
      <rPr>
        <sz val="10"/>
        <color rgb="FF000000"/>
        <rFont val="Arial"/>
      </rPr>
      <t xml:space="preserve"> e relacionar essa classificação com a escolha adequada de antibióticos, promovendo o conceito de uso racional de medicamentos.</t>
    </r>
  </si>
  <si>
    <t>Virologia: estrutura dos vírus</t>
  </si>
  <si>
    <t>• Componentes virais básicos: material genético (RNA/DNA) e capsídeo proteico.
• Vírus envelopados e não-envelopados.
• Relação entre estrutura e patogenicidade.
• Medidas profiláticas.</t>
  </si>
  <si>
    <t>• Questionar a natureza dos vírus como entidades biológicas que desafiam a definição tradicional de seres vivos.
• Descrever a estrutura básica dos vírus (material genético + capsídeo proteico) e sua relação com a patogenicidade.
• Analisar as formas de transmissão de diferentes vírus.</t>
  </si>
  <si>
    <t>Bloco 2
 Virologia</t>
  </si>
  <si>
    <t>Virologia: replicação viral, por que os vírus são parasitas intracelulares obrigatórios</t>
  </si>
  <si>
    <t>• Etapas do ciclo de replicação viral.
• Ciclo lítico.
• Ciclo lisogênico.</t>
  </si>
  <si>
    <t>Identificar os processos fundamentais da replicação viral, desde a adsorção até a liberação de novos vírions, analisando como as características específicas de cada vírus (DNA, RNA ou retrovírus) determinam seu ciclo de vida e impacto nas células hospedeiras.</t>
  </si>
  <si>
    <t>Virologia: mutações virais e a necessidade de manutenção da cobertura vacinal</t>
  </si>
  <si>
    <t>• Replicação viral e surgimento de variantes.
• "Efeito funil".
• Vacinação.</t>
  </si>
  <si>
    <t>Demonstrar como estratégias de profilaxia, em especial a vacinação em massa, atuam diretamente na redução da taxa de mutações virais.</t>
  </si>
  <si>
    <t>Por que nem todas as doenças causadas por vírus têm vacina?</t>
  </si>
  <si>
    <t>Vacinas nas doenças virais: raiva, febre amarela e aids.</t>
  </si>
  <si>
    <t>Analisar os fatores científicos e históricos que determinam o sucesso no desenvolvimento de vacinas, comparando três doenças virais: raiva (primeira vacina desenvolvida por Pasteur em 1885), febre amarela (vacina eficaz desde 1937) e HIV/aids (ainda sem vacina disponível).</t>
  </si>
  <si>
    <t>Utilizar os conhecimentos das Ciências da Natureza na explicação da fisiologia humana e de sua relação com hábitos e condições de vida, agindo individual e coletivamente para a promoção da saúde e do bem-estar.
Aplicar os conhecimentos das Ciências da Natureza reconhecendo a diversidade humana e formulando soluções para desigualdades, como racismo climático, acesso desigual a recursos e direitos, exclusão digital e violação de direitos ambientais.</t>
  </si>
  <si>
    <t>Principais doenças humanas causadas por nematódeos: lombriga e amarelão</t>
  </si>
  <si>
    <r>
      <rPr>
        <sz val="10"/>
        <color rgb="FF000000"/>
        <rFont val="Arial"/>
      </rPr>
      <t xml:space="preserve">• Nematódeos.
• Verminoses: ciclos de vida dos parasitas </t>
    </r>
    <r>
      <rPr>
        <i/>
        <sz val="10"/>
        <color rgb="FF000000"/>
        <rFont val="Arial"/>
      </rPr>
      <t xml:space="preserve">Ascaris lumbricoides </t>
    </r>
    <r>
      <rPr>
        <sz val="10"/>
        <color rgb="FF000000"/>
        <rFont val="Arial"/>
      </rPr>
      <t>e</t>
    </r>
    <r>
      <rPr>
        <i/>
        <sz val="10"/>
        <color rgb="FF000000"/>
        <rFont val="Arial"/>
      </rPr>
      <t xml:space="preserve"> Ancylostoma duodenale.
</t>
    </r>
    <r>
      <rPr>
        <sz val="10"/>
        <color rgb="FF000000"/>
        <rFont val="Arial"/>
      </rPr>
      <t>• Saneamento básico.
• ODS 6.</t>
    </r>
  </si>
  <si>
    <r>
      <rPr>
        <sz val="10"/>
        <color rgb="FF000000"/>
        <rFont val="Arial"/>
      </rPr>
      <t xml:space="preserve">• Identificar as características morfológicas dos nematódeos </t>
    </r>
    <r>
      <rPr>
        <i/>
        <sz val="10"/>
        <color rgb="FF000000"/>
        <rFont val="Arial"/>
      </rPr>
      <t>Ascaris lumbricoides</t>
    </r>
    <r>
      <rPr>
        <sz val="10"/>
        <color rgb="FF000000"/>
        <rFont val="Arial"/>
      </rPr>
      <t xml:space="preserve"> e </t>
    </r>
    <r>
      <rPr>
        <i/>
        <sz val="10"/>
        <color rgb="FF000000"/>
        <rFont val="Arial"/>
      </rPr>
      <t>Ancylostoma duodenale</t>
    </r>
    <r>
      <rPr>
        <sz val="10"/>
        <color rgb="FF000000"/>
        <rFont val="Arial"/>
      </rPr>
      <t>, formas de transmissão e estágios do ciclo de vida de ambos os parasitas.
• Propor medidas profiláticas baseadas no conhecimento dos ciclos de vida dos parasitas.</t>
    </r>
  </si>
  <si>
    <t>Bloco 3
 Verminoses</t>
  </si>
  <si>
    <t>Principais doenças humanas causadas por platelmintos: esquistossomose</t>
  </si>
  <si>
    <r>
      <rPr>
        <sz val="10"/>
        <color rgb="FF000000"/>
        <rFont val="Arial"/>
      </rPr>
      <t xml:space="preserve">• Características gerais dos platelmintos.
• Verminoses: ciclo de vida do parasita </t>
    </r>
    <r>
      <rPr>
        <i/>
        <sz val="10"/>
        <color rgb="FF000000"/>
        <rFont val="Arial"/>
      </rPr>
      <t xml:space="preserve">Schistosoma mansoni.
</t>
    </r>
    <r>
      <rPr>
        <sz val="10"/>
        <color rgb="FF000000"/>
        <rFont val="Arial"/>
      </rPr>
      <t>• Saneamento básico.
• ODS 6.</t>
    </r>
  </si>
  <si>
    <r>
      <rPr>
        <sz val="10"/>
        <color rgb="FF000000"/>
        <rFont val="Arial"/>
      </rPr>
      <t xml:space="preserve">• Identificar as características morfológicas e o ciclo de vida do platelminto </t>
    </r>
    <r>
      <rPr>
        <i/>
        <sz val="10"/>
        <color rgb="FF000000"/>
        <rFont val="Arial"/>
      </rPr>
      <t>Schistosoma mansoni</t>
    </r>
    <r>
      <rPr>
        <sz val="10"/>
        <color rgb="FF000000"/>
        <rFont val="Arial"/>
      </rPr>
      <t xml:space="preserve"> e sua relação com problemas de saneamento básico.
• Discutir medidas eficazes de prevenção alinhadas ao ODS 6 (Água Potável e Saneamento).</t>
    </r>
  </si>
  <si>
    <t>Principais doenças humanas causadas por platelmintos: solitária</t>
  </si>
  <si>
    <r>
      <rPr>
        <sz val="10"/>
        <color rgb="FF000000"/>
        <rFont val="Arial"/>
      </rPr>
      <t xml:space="preserve">
Verminoses: ciclo de vida dos parasitas </t>
    </r>
    <r>
      <rPr>
        <i/>
        <sz val="10"/>
        <color rgb="FF000000"/>
        <rFont val="Arial"/>
      </rPr>
      <t>Taenia solium</t>
    </r>
    <r>
      <rPr>
        <sz val="10"/>
        <color rgb="FF000000"/>
        <rFont val="Arial"/>
      </rPr>
      <t xml:space="preserve"> e </t>
    </r>
    <r>
      <rPr>
        <i/>
        <sz val="10"/>
        <color rgb="FF000000"/>
        <rFont val="Arial"/>
      </rPr>
      <t>Taenia saginata.</t>
    </r>
  </si>
  <si>
    <r>
      <rPr>
        <sz val="10"/>
        <color rgb="FF000000"/>
        <rFont val="Arial"/>
      </rPr>
      <t xml:space="preserve">• Identificar o ciclo de vida dos platelmintos </t>
    </r>
    <r>
      <rPr>
        <i/>
        <sz val="10"/>
        <color rgb="FF000000"/>
        <rFont val="Arial"/>
      </rPr>
      <t xml:space="preserve">Taenia solium </t>
    </r>
    <r>
      <rPr>
        <sz val="10"/>
        <color rgb="FF000000"/>
        <rFont val="Arial"/>
      </rPr>
      <t xml:space="preserve">e </t>
    </r>
    <r>
      <rPr>
        <i/>
        <sz val="10"/>
        <color rgb="FF000000"/>
        <rFont val="Arial"/>
      </rPr>
      <t xml:space="preserve">Taenia saginata.
</t>
    </r>
    <r>
      <rPr>
        <sz val="10"/>
        <color rgb="FF000000"/>
        <rFont val="Arial"/>
      </rPr>
      <t>• Diferenciar a teníase da cisticercose, destacando as diferenças entre as espécies de tênias.</t>
    </r>
  </si>
  <si>
    <t>Principais doenças humanas causadas por protozoários: malária e doença de Chagas</t>
  </si>
  <si>
    <r>
      <rPr>
        <sz val="10"/>
        <color rgb="FF000000"/>
        <rFont val="Arial"/>
      </rPr>
      <t xml:space="preserve">
Protozooses: ciclos de vida dos parasitas </t>
    </r>
    <r>
      <rPr>
        <i/>
        <sz val="10"/>
        <color rgb="FF000000"/>
        <rFont val="Arial"/>
      </rPr>
      <t>Plasmodium sp</t>
    </r>
    <r>
      <rPr>
        <sz val="10"/>
        <color rgb="FF000000"/>
        <rFont val="Arial"/>
      </rPr>
      <t xml:space="preserve">. (agente etiológico da malária) e </t>
    </r>
    <r>
      <rPr>
        <i/>
        <sz val="10"/>
        <color rgb="FF000000"/>
        <rFont val="Arial"/>
      </rPr>
      <t>Trypanosoma cruzi</t>
    </r>
    <r>
      <rPr>
        <sz val="10"/>
        <color rgb="FF000000"/>
        <rFont val="Arial"/>
      </rPr>
      <t xml:space="preserve"> (agente etiológico da doença de Chagas).</t>
    </r>
  </si>
  <si>
    <r>
      <rPr>
        <sz val="10"/>
        <color rgb="FF000000"/>
        <rFont val="Arial"/>
      </rPr>
      <t xml:space="preserve">• Listar as etapas dos ciclos de vida do </t>
    </r>
    <r>
      <rPr>
        <i/>
        <sz val="10"/>
        <color rgb="FF000000"/>
        <rFont val="Arial"/>
      </rPr>
      <t>Plasmodium sp</t>
    </r>
    <r>
      <rPr>
        <sz val="10"/>
        <color rgb="FF000000"/>
        <rFont val="Arial"/>
      </rPr>
      <t xml:space="preserve">. e </t>
    </r>
    <r>
      <rPr>
        <i/>
        <sz val="10"/>
        <color rgb="FF000000"/>
        <rFont val="Arial"/>
      </rPr>
      <t>Trypanosoma cruzi</t>
    </r>
    <r>
      <rPr>
        <sz val="10"/>
        <color rgb="FF000000"/>
        <rFont val="Arial"/>
      </rPr>
      <t>.
• Identificar os vetores da malária (Anopheles) e da doença de Chagas (barbeiro).
• Relacionar condições socioambientais e a transmissão dessas doenças.</t>
    </r>
  </si>
  <si>
    <t>Bloco 4
 Zoonoses</t>
  </si>
  <si>
    <t>Ciência a serviço da saúde</t>
  </si>
  <si>
    <t>• Zoonoses.
• Racismo climático e acesso desigual a recursos de saúde.</t>
  </si>
  <si>
    <t>• Relacionar conhecimentos científicos à promoção da saúde e de hábitos de vida.
• Aplicar a ciência para enfrentar desigualdades socioambientais.</t>
  </si>
  <si>
    <t>Aula complementar</t>
  </si>
  <si>
    <t>Demonstrando a capacidade de:
Analisar criticamente textos de divulgação e artigos científicos produzidos pelas comunidades acadêmico-científicas da Física, Química e Biologia, identificando hipóteses, tratamento de dados, conceitos, explicações, relevância, aplicabilidade e confiabilidade das informações.</t>
  </si>
  <si>
    <t>Vacinas como medida de saúde coletiva</t>
  </si>
  <si>
    <t>• Vacinas como medidas de prevenção contra doenças virais.
• "Efeito funil".</t>
  </si>
  <si>
    <t>Inferir como as vacinas atuam profilaticamente para o controle de doenças virais.</t>
  </si>
  <si>
    <t>Bloco 5
 Vacinas como medida de saúde coletiva</t>
  </si>
  <si>
    <t>Simulação de "efeito funil"</t>
  </si>
  <si>
    <t>Ilustrar o "efeito funil" como estratégia de saúde coletiva.</t>
  </si>
  <si>
    <t>Demonstrar a capacidade de: Analisar criticamente textos de divulgação e artigos científicos produzidos pelas comunidades acadêmico-científicas da Física, Química e Biologia, identificando hipóteses, tratamento de dados, conceitos, explicações, relevância, aplicabilidade e confiabilidade das informações.</t>
  </si>
  <si>
    <t>Conscientização vacinal como ação de responsabilidade coletiva</t>
  </si>
  <si>
    <t>Vacinas como medidas de prevenção contra doenças virais.</t>
  </si>
  <si>
    <t>Planejar e promover a conscientização sobre a importância da vacinação como responsabilidade coletiva.</t>
  </si>
  <si>
    <t>3°</t>
  </si>
  <si>
    <t>Demonstrar a capacidade de: Formular hipóteses e explicações sobre fenômenos naturais e suas relações com dinâmicas sociais, fundamentando-se no método científico e mobilizando conceitos de Física, Química e Biologia, além de diferentes linguagens e tecnologias.</t>
  </si>
  <si>
    <t>Filogenia vegetal.</t>
  </si>
  <si>
    <t>Organização filogenética dos grandes grupos vegetais</t>
  </si>
  <si>
    <t>Demonstrar, com uso de cladogramas, o processo evolutivo dos vegetais.</t>
  </si>
  <si>
    <t>Bloco 1
 Grandes grupos vegetais</t>
  </si>
  <si>
    <t>Características gerais dos grupos de vegetais</t>
  </si>
  <si>
    <t>Classificação dos vegetais.</t>
  </si>
  <si>
    <t>• Analisar as formas atuais de classificação dos vegetais.
 • Identificar as principais características dos grupos de vegetais.</t>
  </si>
  <si>
    <t>Anatomia vegetal.</t>
  </si>
  <si>
    <t>Anatomia vegetal: conceitos gerais</t>
  </si>
  <si>
    <t>Estruturas básicas dos vegetais.</t>
  </si>
  <si>
    <t>Identificar e descrever os órgãos vegetativos dos vegetais.</t>
  </si>
  <si>
    <t>Bloco 2
 Raíz, caule, folha, flor, fruto e semente.</t>
  </si>
  <si>
    <t>Anatomia vegetal: raiz, caule e folha</t>
  </si>
  <si>
    <t>Descrever e analisar as estruturas da raiz e do caule. 
 Identificar as estruturas da folha. 
 Relacionar as estruturas com suas funções.</t>
  </si>
  <si>
    <t>Anatomia e fisiologia vegetal.</t>
  </si>
  <si>
    <t>Anatomia e fisiologia vegetal: flor</t>
  </si>
  <si>
    <t>Anatomia e fisiologia da flor.</t>
  </si>
  <si>
    <t>Identificar as estruturas da flor.
 Relacionar as estruturas das flores com suas funções.</t>
  </si>
  <si>
    <t>Anatomia e fisiologia vegetal: fruto e semente</t>
  </si>
  <si>
    <t>Anatomia e fisiologia dos frutos e sementes</t>
  </si>
  <si>
    <t>Identificar as principais estruturas dos frutos. 
 Relacionar as estruturas dos frutos e sementes com suas funções.</t>
  </si>
  <si>
    <t>Fisiologia vegetal.</t>
  </si>
  <si>
    <t>Briófitas e pteridófitas: a dependência da água na reprodução</t>
  </si>
  <si>
    <t>Reprodução das briófitas e pteridófitas.</t>
  </si>
  <si>
    <t>Demonstrar, com uso de esquemas, o processo reprodutivo das briófitas e pteridófitas.</t>
  </si>
  <si>
    <t>Bloco 3
 Reprodução das espermatófitas</t>
  </si>
  <si>
    <t>Gimnospermas e angiospermas: independência da água e conquista do ambiente terrestre</t>
  </si>
  <si>
    <t>Reprodução das gimnospermas. Reprodução das angiospermas.</t>
  </si>
  <si>
    <t>Demonstrar, com uso de esquemas, o processo reprodutivo das gimnospermas e angiospermas.</t>
  </si>
  <si>
    <t>Hormônios vegetais: etileno e auxina</t>
  </si>
  <si>
    <t>Hormônios vegetais: etileno e auxina.</t>
  </si>
  <si>
    <t>Identificar as principais características e funções do etileno e da auxina.</t>
  </si>
  <si>
    <t>Bloco 4
 Etileno e auxina</t>
  </si>
  <si>
    <t>Fototropismo: ação da luz e da auxina no desenvolvimento das plantas</t>
  </si>
  <si>
    <t>Fototropismo.</t>
  </si>
  <si>
    <t>Relacionar o papel da luz e da auxina com o crescimento e desenvolvimento das plantas.</t>
  </si>
  <si>
    <t>Bloco 5
 Fototropismo</t>
  </si>
  <si>
    <t>Modelo didático: fototropismo</t>
  </si>
  <si>
    <t>Ação da luz no crescimento das plantas.</t>
  </si>
  <si>
    <t>Demonstrar, com uso de experimentação, o papel da luz no crescimento e desenvolvimento das plantas.</t>
  </si>
  <si>
    <t>Modelo didático: sistematização</t>
  </si>
  <si>
    <t>Descrever e analisar a ação da luz no crescimento das plantas.</t>
  </si>
  <si>
    <t>4°</t>
  </si>
  <si>
    <t>Explicar a contribuição das Ciências da Natureza para a compreensão e o tratamento de questões contemporâneas relacionadas a diferentes instâncias da vida humana, como a profissional, social, econômica, cultural e ambiental.
 Avaliar criticamente as relações entre as Ciências da Natureza e as tecnologias, reconhecendo seus impactos, positivos e negativos, na vida das pessoas e comunidades ao longo do tempo.</t>
  </si>
  <si>
    <t>Testes de DNA.</t>
  </si>
  <si>
    <t>Genética forense: conceitos base para entender a ciência por trás das investigações</t>
  </si>
  <si>
    <t>DNA.
 Genes.
 Genoma.
 Genótipo.
 Fenótipo.
 Código genético.</t>
  </si>
  <si>
    <t>Definir e diferenciar os conceitos fundamentais da genética e aplicá-los à genética forense.</t>
  </si>
  <si>
    <t>Bloco 1
 Testes de DNA</t>
  </si>
  <si>
    <t>Biologia molecular aplicada à genética forense: do DNA às proteínas</t>
  </si>
  <si>
    <t>RNA.
 mRNA.
 tRNA.
 Transcrição.
 Tradução.
 Síntese de proteínas.</t>
  </si>
  <si>
    <t>Reconhecer o processo de síntese proteica (DNA → RNA → proteína).</t>
  </si>
  <si>
    <t>Técnica de eletroforese: uma possibilidade para montar uma impressão digital genética</t>
  </si>
  <si>
    <t>Eletroforese.
 Marcadores STR.</t>
  </si>
  <si>
    <t>Identificar os componentes essenciais da técnica de eletroforese, incluindo equipamentos, reagentes e princípios básicos de funcionamento da técnica.</t>
  </si>
  <si>
    <t>Sequenciamento de DNA na genética forense</t>
  </si>
  <si>
    <t>Sequenciamento de DNA.
 Método de Sanger.</t>
  </si>
  <si>
    <t>Identificar os princípios básicos e aplicações do sequenciamento de DNA.</t>
  </si>
  <si>
    <t>Amplificação de DNA: a técnica PCR</t>
  </si>
  <si>
    <t>Amplificação de DNA.
 PCR: reação em cadeia da polimerase.</t>
  </si>
  <si>
    <t>Relacionar os princípios básicos e a aplicação da reação em cadeia da polimerase como técnica para amplificar um segmento de DNA.</t>
  </si>
  <si>
    <t>Principais tipos de mutação</t>
  </si>
  <si>
    <t>Principais tipos de mutação: substituição, inserção e deleção.</t>
  </si>
  <si>
    <t>• Reconhecer os tipos de mutações genéticas (substituições, inserções, deleções).
 • Relacionar tipos específicos de mutações com possíveis erros de interpretação de perfis genéticos.</t>
  </si>
  <si>
    <t>Bloco 2
 Genética forense</t>
  </si>
  <si>
    <t>Investigação forense</t>
  </si>
  <si>
    <t>DNA mitocondrial.
 Perfil genético.</t>
  </si>
  <si>
    <t>Identificar as técnicas laboratoriais mais utilizadas (análise de DNA mitocondrial e nuclear, PCR, eletroforese).</t>
  </si>
  <si>
    <t>Aplicando conhecimentos de genética em uma investigação forense.</t>
  </si>
  <si>
    <t>Relacionar técnicas moleculares (PCR, eletroforese) com a resolução de um estudo de caso forense, interpretando resultados para estabelecer relações familiares entre vítimas e suspeitos.</t>
  </si>
  <si>
    <t>Simulando a análise de um crime: conceitos base de genética</t>
  </si>
  <si>
    <t>Tipagem sanguínea.
 Interpretação de cariótipo para determinação de sexo biológico.
 Herança mendeliana.</t>
  </si>
  <si>
    <t>Reconhecer conhecimentos de genética para resolver um caso fictício.</t>
  </si>
  <si>
    <t>Bloco 3
 Aplicação de conceitos base de genética</t>
  </si>
  <si>
    <t>Simulando a análise de um crime: análise de tipagem sanguínea e cariótipo.</t>
  </si>
  <si>
    <t>Sistema ABO.
 Herança mendeliana;
 cariótipo.
 Teste de paternidade: amplificação do DNA de marcadores STR.</t>
  </si>
  <si>
    <t>Aplicar conhecimentos de genética para resolver um caso fictício.</t>
  </si>
  <si>
    <t>Biotecnologia e saúde.</t>
  </si>
  <si>
    <t>Simulando a análise de um crime: comparando perfis genéticos</t>
  </si>
  <si>
    <t>Sequenciamento de DNA.
 Comparação do perfil genético.</t>
  </si>
  <si>
    <t>Demonstrar a capacidade de: Utilizar os conhecimentos das Ciências da Natureza na análise de desafios contemporâneos, apontando soluções relacionadas a sustentabilidade ambiental, saúde individual e coletiva, transição energética e cadeias produtivas.</t>
  </si>
  <si>
    <t>Biotecnologia contra a dengue: transgenia para reduzir a população de mosquitos</t>
  </si>
  <si>
    <t>Combate à dengue.
 Desenvolvimento de mosquitos transgênicos.</t>
  </si>
  <si>
    <t>Analisar o potencial da tecnologia dos mosquitos transgênicos para reduzir a transmissão de doenças como dengue, zika e chikungunya.</t>
  </si>
  <si>
    <t>Bloco 4
 Biotecnologia e saúde</t>
  </si>
  <si>
    <t>BLOCO DE CONTEÚDOS</t>
  </si>
  <si>
    <t>O que buscavam os primeiros filósofos?</t>
  </si>
  <si>
    <t>Caracterizar a evolução histórica do conhecimento científico, compreendendo suas relações com as transformações sociais, econômicas, culturais e políticas e reconhecendo suas interfaces com outros saberes, tanto na interação com os fenômenos da natureza quanto no desenvolvimento das sociedades. [Ciências da Natureza C1]</t>
  </si>
  <si>
    <t>Os desafios de pensar o real.</t>
  </si>
  <si>
    <t>Os primeiros filósofos da cultura grega</t>
  </si>
  <si>
    <t>• A distinção entre mythos e logos.
• Os conceitos de arkhé e de phýsis.
• Diferentes concepções da arkhé.</t>
  </si>
  <si>
    <t>• Distinguir logos e mythos enquanto diferentes modos de pensar a partir da comparação de excertos de narrativas mitológicas e explicações filosóficas sobre a origem do cosmos.
• Relacionar os conceitos de phýsis e de arkhé, em suas diversas concepções, ao contexto de nascimento da filosofia ocidental.
• Caracterizar o surgimento do lógos como condição para a evolução histórica do conhecimento científico ocidental, reconhecendo a sua interface com as transformações socioculturais da antiguidade.</t>
  </si>
  <si>
    <t>Pré-socráticos e Sócrates</t>
  </si>
  <si>
    <t>Permanência ou mudança: dois olhares sobre o ser</t>
  </si>
  <si>
    <t>• Heráclito e a noção de devir.
• Parmênides e os caminhos da verdade e da opinião.
• A crítica de Parmênides aos sentidos como fonte de conhecimento.</t>
  </si>
  <si>
    <t>• Comparar as posições de Heráclito e Parmênides sobre a natureza do ser.
• Caracterizar o surgimento do lógos como condição para a evolução histórica do conhecimento científico ocidental, reconhecendo sua interface com as transformações socioculturais da antiguidade.</t>
  </si>
  <si>
    <t>Discutir o papel do jovem como agente social, político, ambiental, profissional e cultural, compreendendo as dinâmicas que moldam suas identidades e expressões nas culturas juvenis contemporâneas. [Ciências Humanas C5]</t>
  </si>
  <si>
    <t>Duas práticas filosóficas: sofística e maiêutica.</t>
  </si>
  <si>
    <t>Sofística e formação do cidadão ateniense</t>
  </si>
  <si>
    <t>• Os sofistas e a arte de persuadir.
• A valorização social da sofística no contexto da democracia ateniense.
• Características gerais da democracia ateniense.</t>
  </si>
  <si>
    <t>• Relacionar a sofística ao contexto da democracia ateniense.
• Distinguir a concepção grega de democracia da concepção contemporânea.
• Discutir o papel do jovem no compartilhamento responsável de conteúdos digitais, refletindo criticamente sobre as influências exercidas por produtores de conteúdo nas redes sociais.</t>
  </si>
  <si>
    <t>O método socrático</t>
  </si>
  <si>
    <t>• As interlocuções entre Sócrates e os sofista.
• As figuras de Sócrates e suas fontes históricas.
• Características do método socrático.</t>
  </si>
  <si>
    <t>• Analisar as principais características das figuras de Sócrates e a contribuição das diferentes fontes para a aproximação de sua figura histórica.
• Estabelecer comparações entre a sofística e a maiêutica socrática, destacando suas convergências e conflitos no contexto da democracia ateniense.
• Discutir o papel do jovem no compartilhamento responsável de conteúdos digitais, refletindo criticamente sobre as influências exercidas por produtores de conteúdo nas redes sociais.</t>
  </si>
  <si>
    <t>Platão.</t>
  </si>
  <si>
    <t>O mito da caverna e o mito de Er</t>
  </si>
  <si>
    <t>• A alegoria da caverna e a teoria das ideias de Platão.
• Os modos de conhecimento do mundo sensível e do mundo inteligível.
• O mito de Er e a verdade como alethea.
• O conceito de Anamnese (reminiscência).</t>
  </si>
  <si>
    <t>• Relacionar a teoria das ideias de Platão aos diferentes modos de conhecimento do mundo sensível e do mundo inteligível.
• Explicar a concepção platônica do conhecimento como Anamnese mobilizando o mito de Er e a noção de verdade como alethea.
• Discutir o papel do jovem no compartilhamento responsável de conteúdos digitais, refletindo criticamente sobre as influências exercidas por produtores de conteúdo nas redes sociais.</t>
  </si>
  <si>
    <t>Platão e Aristóteles</t>
  </si>
  <si>
    <t>Platão</t>
  </si>
  <si>
    <t>O Rei filósofo</t>
  </si>
  <si>
    <t>• Críticas de Platão à democracia ateniense.
• A ideia de bem como finalidade da política.
• O papel da educação na formação do cidadão e do governante; a figura do Rei-filósofo.</t>
  </si>
  <si>
    <t>• Discutir as críticas de Platão à democracia ateniense a partir da relação entre a ideia de bem e a finalidade da vida política segundo Platão.
• Explicar a dimensão política da educação na formação do cidadão e do governante ideal constituído enquanto Rei-filósofo, a partir de excertos de texto de Platão.
• Discutir o papel do jovem no compartilhamento responsável de conteúdos digitais, refletindo criticamente sobre as influências exercidas por produtores de conteúdo nas redes sociais.</t>
  </si>
  <si>
    <t>Desenvolver produções artísticas e culturais, como performances, vídeos, jogos e produções multimodais, articuladas às identidades e pluralidades dos territórios, ampliando o repertório cultural e promovendo a mediação sociocultural para contribuir com a transformação social. [Linguagens C3]</t>
  </si>
  <si>
    <t>Aristóteles.</t>
  </si>
  <si>
    <t>A admiração como motivação do filosofar</t>
  </si>
  <si>
    <t>• A admiração como motivação do filosofar.
• A conceção aristotélica dos processos, fontes e tipos de conhecimento.
• A teoria das quatro causas e os conceitos fundamentais de essência e acidente, matéria e forma, potência e ato.</t>
  </si>
  <si>
    <t>• Compreender a admiração como motivação do filosofar segundo Aristóteles.
• Distinguir a concepção de conhecimento de Platão daquela de Aristóteles, destacando os papéis dos sentidos e do intelecto na concepção aristotélica, bem como a diferença entre tipos de conhecimento.
• Desenvolver produção cultural que reflita a identidade dos estudantes da escola e incentive os ingressantes do Ensino Médio a se entusiasmarem pelos estudos.</t>
  </si>
  <si>
    <t>A felicidade como fim último das ações humanas</t>
  </si>
  <si>
    <t>• A felicidade como telos das ações humanas.
• A distinção entre vida dos prazeres, vida política e vida contemplativa.
• A felicidade do indivíduo como objeto da ética, e a felicidade da cidade como objeto da política.</t>
  </si>
  <si>
    <t>• Compreender a felicidade como fim visado nas ações humanas segundo Aristóteles, comparando os três modos de vida que permitem alcançá-la.
• Distinguir os objetos da ética e da política a partir da comparação de excertos de texto.
• Desenvolver produção cultural que reflita a identidade dos estudantes da escola e incentive os ingressantes do Ensino Médio a se entusiasmarem pelos estudos.</t>
  </si>
  <si>
    <t>Filosofia e bem viver.</t>
  </si>
  <si>
    <t>A filosofia como suspensão do juízo</t>
  </si>
  <si>
    <t>• Ataraxia como objetivo do filosofar.
• A noção de zétesis.
• As diferentes escolas do ceticismo antigo.
• A filosofia como prática da epoché.</t>
  </si>
  <si>
    <t>• Compreender a noção de ataraxia como objetivo que o filósofo cético busca alcançar através da zétesis.
• Analisar a estrutura de argumentações céticas características da prática da epoché, distinguindo teses e argumentos.
• Desenvolver produção cultural que reflita a identidade dos estudantes da escola e incentive os ingressantes do Ensino Médio a se entusiasmarem pelos estudos.</t>
  </si>
  <si>
    <t>Escolas Helenísticas</t>
  </si>
  <si>
    <t>A filosofia como terapia da alma</t>
  </si>
  <si>
    <t>• A concepção epicurista da filosofia.
• A concepção estoica da filosofia.
• Os modelos epicurista e estoico de sabedoria.</t>
  </si>
  <si>
    <t>• Distinguir as concepções epicurista e estoica da filosofia a partir da comparação de elementos conceituais.
• Estabelecer comparações entre os modelos epicuristas e estoicos de sabedoria. 
• Desenvolver produção cultural que reflita a identidade dos estudantes da escola e incentive os ingressantes do Ensino Médio a se entusiasmarem pelos estudos.</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</si>
  <si>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[Linguagens C1]</t>
  </si>
  <si>
    <t>A lógica como instrumento da filosofia.</t>
  </si>
  <si>
    <t>Estruturas argumentativas dedutivas e falácias formais</t>
  </si>
  <si>
    <t>• Aristóteles como fundador da lógica.
• A noção de proposição.
• O argumento dedutivo como estrutura lógica formada por premissas e conclusão.
• Tipos de argumentos dedutivos.
• Exemplos de falácias formais.</t>
  </si>
  <si>
    <t>• Compreender a noção de proposição, identificando premissas e conclusão como elementos constituintes de um argumento dedutivo.
• Analisar estruturas argumentativas dedutivas identificando argumentos válidos e falácias formais.
• Examinar criticamente conteúdos digitais e midiáticos, avaliando seus impactos na construção de relações interpessoais, bem como seu papel no enfrentamento da desinformação.</t>
  </si>
  <si>
    <t>Lógica e argumentação</t>
  </si>
  <si>
    <t>Estruturas argumentativas indutivas e falácias informais</t>
  </si>
  <si>
    <t>• Características de estruturas argumentativas indutivas.
• Exemplos de uso de argumentos indutivos.
• Critérios de avaliação da força de argumentos indutivos.
• Exemplos de falácias informais.</t>
  </si>
  <si>
    <t>• Reconhecer elementos característicos de argumentos indutivos, identificando usos do discurso que mobilizam argumentos indutivos.
• Analisar estruturas argumentativas indutivas identificando argumentos fortes, fracos e falácias informais.
• Examinar criticamente conteúdos digitais e midiáticos, avaliando seus impactos na construção de relações interpessoais, bem como seu papel no enfrentamento da desinformação.</t>
  </si>
  <si>
    <t>Produzir textos orais, escritos e multimodais em diferentes contextos sociais, mobilizando conhecimentos linguísticos e discursivos para analisar criticamente desigualdades históricas e estruturais, promover o diálogo intercultural e fortalecer a participação cidadã. [Linguagens C3]</t>
  </si>
  <si>
    <t>Posições e oposições filosóficas.</t>
  </si>
  <si>
    <t>• Exposição das áreas da filosofia tratadas na unidade temática.
• Identificação dos principais períodos da história da filosofia discutidos.
• Contextualização das escolas e dos filósofos em destaque.</t>
  </si>
  <si>
    <t>• Reconhecer as diferentes áreas de investigação da filosofia e os filósofos, escolas e períodos históricos abordados na unidade temática.
• Relacionar a produção filosófica ao seu contexto de produção.
 • Produzir textos escritos mobilizando conhecimentos prévios, articulando conceitos e autores em diálogo com diferentes visões de mundo.</t>
  </si>
  <si>
    <t>Os desafios da busca pela verdade na era da desinformação</t>
  </si>
  <si>
    <t>Orientação para a produção de texto dissertativo.</t>
  </si>
  <si>
    <t>• Estabelecer comparações entre posições filosóficas, identificando semelhanças e diferenças entre autores, escolas do mesmo contextos históricos ou de contextos distintos.
• Discutir concepções e posições filosóficos considerando suas implicações e consequências diante de valores sociais, costumes, crenças religiosas, instituições políticas, saberes científicos, posições de poder e/ou interesses econômicos.
• Produzir textos escritos mobilizando posições filosóficas no campo da metafísica, articulando conceitos e autores em diálogo com diferentes visões de mundo, de modo a promover a reflexão crítica.</t>
  </si>
  <si>
    <t>O que podemos saber?</t>
  </si>
  <si>
    <t>Avaliar os impactos das decisões mediadas sobre diferentes grupos sociais, garantindo que os processos de resolução de conflitos sejam inclusivos, equitativos e coerentes com princípios éticos e democráticos. [Ciências Humanas C3]</t>
  </si>
  <si>
    <t>Diferenças entre fé e razão.</t>
  </si>
  <si>
    <t>Fé e razão</t>
  </si>
  <si>
    <t>• Fé e razão: diferentes modos de fundamentação e de validação.
• A pretensão de universalidade.
• Os saberes na ciência, na religião e no senso comum.</t>
  </si>
  <si>
    <t>• Explicar os diferentes modos de fundamentação da fé e da razão, e as características dos saberes na ciência, na religião e no senso comum.
• Comparar as pretensões de universalidade e os modos de validação dos saberes científicos, religiosos e do senso comum.
• Avaliar criticamente os possíveis impactos de propostas de resolução de conflitos religiosos sobre diferentes grupos sociais à luz de princípios éticos e democráticos, promovendo o respeito à diversidade de convicções.</t>
  </si>
  <si>
    <t>Fé e razão podem se apoiar mutuamente?</t>
  </si>
  <si>
    <t>• A filosofia patrística e Agostinho de Hipona.
• A filosofia escolástica e Tomas de Aquino.</t>
  </si>
  <si>
    <t>• Compreender as principais características da filosofia Patrística e da filosofia Escolástica, destacando a influência das obras filosóficas de Agostinho de Hipona e de Tomás de Aquino para essas escolas.
• Comparar as abordagens filosóficas de Agostinho de Hipona e Tomás de Aquino quanto à relação entre fé e razão, identificando suas semelhanças e diferenças.
• Avaliar criticamente os possíveis impactos de propostas de resolução de conflitos religiosos sobre diferentes grupos sociais à luz de princípios éticos e democráticos, promovendo o respeito à diversidade de convicções..</t>
  </si>
  <si>
    <t>Explicar a contribuição das Ciências da Natureza para a compreensão e tratamento de questões contemporâneas relacionadas a diferentes instâncias da vida humana, como a profissional, social, econômica, cultural e ambiental. [Ciências da Natureza C1]</t>
  </si>
  <si>
    <t>O rompimento com o princípio de autoridade.</t>
  </si>
  <si>
    <t>Renascimento e humanismo</t>
  </si>
  <si>
    <t>• Os questionamentos renascentistas à autoridade da Igreja, da escolástica e dos textos sagrados.
 • O humanismo de Pico Della Mirandola.
• A autonomia do pensamento científico e os conflitos com a autoridade religiosa: a nova visão de mundo de Copérnico, Bruno e Galilei.</t>
  </si>
  <si>
    <t>• Explicar os principais questionamentos renascentistas à autoridade da Igreja e da escolástica, e a emergência do humanismo e do pensamento científico autônomo.
• Analisar os conflitos entre a nova visão de mundo científica (proposta por Copérnico, Bruno e Galileu) e a autoridade religiosa, destacando seus impactos na época.
• Explicar a contribuição das Ciências da Natureza para o enfrentamento de questões contemporâneas, considerando exemplos históricos dos impactos sociais das transformações no modo de buscar e validar o conhecimento na modernidade.</t>
  </si>
  <si>
    <t>A autoridade da razão</t>
  </si>
  <si>
    <t>• Galileu e o método científico.
• Observação de fenômenos naturais, experimentação e identificação de regularidades matemáticas como fundamentos da ciência moderna.
• O projeto filosófico de René Descartes.
• O método matemático como modelo para o conhecimento científico.</t>
  </si>
  <si>
    <t>• Reconhecer a importância de Galileu para o método científico moderno, destacando a observação, a experimentação e a identificação de regularidades matemáticas como seus fundamentos.
•  Analisar o objetivo central do projeto filosófico de René Descartes e a concepção do método matemático como modelo para a validação do conhecimento científico.
• Explicar a contribuição das Ciências da Natureza para o enfrentamento de questões contemporâneas, considerando exemplos históricos dos impactos sociais das transformações no modo de buscar e validar o conhecimento na modernidade.</t>
  </si>
  <si>
    <t>Racionalismo e empirismo na filosofia moderna.</t>
  </si>
  <si>
    <t>O racionalismo moderno</t>
  </si>
  <si>
    <t>• O uso metódico da dúvida. 
• A evidência como critério racional da verdade.
• O cógito como fundamento seguro do conhecimento.
• A noção de ideias inatas.</t>
  </si>
  <si>
    <t>• Compreender os elementos centrais ao projeto filosófico cartesiano: o uso metódico da dúvida, a evidência como critério da verdade, o cogito e a noção de ideias inatas.
• Explicar a contribuição das Ciências da Natureza para o enfrentamento de questões contemporâneas, considerando exemplos históricos dos impactos sociais das transformações no modo de buscar e validar o conhecimento na modernidade.</t>
  </si>
  <si>
    <t>Teoria do conhecimento</t>
  </si>
  <si>
    <t>O empirismo britânico</t>
  </si>
  <si>
    <t>• Críticas empiristas ao inatismo e ao solipsismo racionalistas.
• A experiência como origem do conhecimento.
• A mente humana como tábula rasa.</t>
  </si>
  <si>
    <t>• Distinguir a concepção racionalista da concepção empirista do conhecimento.
• Discutir as críticas desenvolvidas pelos empiristas ao inatismo e ao solipsismo racionalistas.
• Explicar a contribuição das Ciências da Natureza para o enfrentamento de questões contemporâneas, considerando exemplos históricos dos impactos sociais das transformações no modo de buscar e validar o conhecimento na modernidade.</t>
  </si>
  <si>
    <t>A questão do conhecimento no Iluminismo.</t>
  </si>
  <si>
    <t>Ceticismo e empirismo</t>
  </si>
  <si>
    <t>• A concepção da causalidade como hábito mental.
• A distinção entre percepções e ideias.
• O problema da indução.</t>
  </si>
  <si>
    <t>• Compreender a distinção entre impressões e ideias para David Hume, relacionando-a à sua compreensão da causalidade como hábito mental.
• Utilizar a noção humana de causalidade para interpretar o problema da indução na ciência.
• Explicar a contribuição das Ciências da Natureza para o enfrentamento de questões contemporâneas, considerando exemplos históricos dos impactos sociais das transformações no modo de buscar e validar o conhecimento na modernidade.</t>
  </si>
  <si>
    <t>A filosofia crítica</t>
  </si>
  <si>
    <t>• O despertar do sono dogmático.
• As ilusões do uso dogmático da razão.
• A limitação ao uso teórico da razão pura.
• A extensão da razão pura ao domínio moral.</t>
  </si>
  <si>
    <t>• Analisar as ideias centrais da crítica kantiana ao sono dogmático que conduz a razão a ilusões.
• Estabelecer comparações entre a aplicação da razão pura no domínio teórico e sua extensão ao domínio moral na filosofia de Kant.
• Explicar a contribuição das Ciências da Natureza para o enfrentamento de questões contemporâneas, considerando exemplos históricos dos impactos sociais das transformações no modo de buscar e validar o conhecimento na modernidade.</t>
  </si>
  <si>
    <t>Elaborar argumentos fundamentados, considerando as discussões e os acordos ambientais internacionais, de modo a articular o conhecimento científico e ético para defender alternativas sustentáveis a problemas socioambientais em nível local, regional, nacional e global. [Ciências Humanas C2]</t>
  </si>
  <si>
    <t>Usos da ciência na contemporaneidade.</t>
  </si>
  <si>
    <t>A ciência como instrumento de dominação</t>
  </si>
  <si>
    <t>• A noção de razão instrumental em Adorno e Horkheimer.
• A ciência moderna como continuidade do mito do iluminismo.</t>
  </si>
  <si>
    <t>• Compreender as características principais da noção de razão instrumental em Adorno e Horkheimer.
• Aplicar as críticas de Adorno e Horkheimer à razão instrumental para interpretar a ciência moderna como uma continuidade do mito do iluminismo.
• Elaborar argumentos fundamentados para defender alternativas éticas e sustentáveis a problemas socioambientais, considerando criticamente os usos da ciência e da tecnologia na contemporaneidade.</t>
  </si>
  <si>
    <t>Filosofia da ciência</t>
  </si>
  <si>
    <t>Elaborar argumentos fundamentados, considerando as discussões e acordos ambientais internacionais, de modo a articular o conhecimento científico e ético para defender alternativas sustentáveis a problemas socioambientais em nível local, regional, nacional e global. [Ciências Humanas C2]</t>
  </si>
  <si>
    <t>Produção científica e responsabilidade</t>
  </si>
  <si>
    <t>• A ruptura dos limites humanos pela ciência segundo Arendt.
• Os desafios da política diante dos avanços científicos.
•  A ética da responsabilidade de Hans Jonas.</t>
  </si>
  <si>
    <t>• Relacionar a concepção de Hannah Arendt sobre a ruptura dos limites humanos pela Ciência aos desafios políticos gerados pelos avanços científicos.
• Analisar os princípios da ética da responsabilidade de Hans Jonas como uma resposta aos dilemas morais da ciência e tecnologia.
• Elaborar argumentos fundamentados para defender alternativas éticas e sustentáveis a problemas socioambientais, considerando criticamente os usos da ciência e da tecnologia na contemporaneidade.</t>
  </si>
  <si>
    <t>Construir argumentos fundamentados e coerentes, integrando conhecimentos científicos, históricos e culturais e contemplando a valorização da produção científica de grupos marginalizados para posicionar-se criticamente sobre questões sociais e propor soluções para problemas contemporâneos de maneira ética e embasada. [Ciências Humanas C1]</t>
  </si>
  <si>
    <t>Valores na produção do conhecimento.</t>
  </si>
  <si>
    <t>A ciência como prática social e política</t>
  </si>
  <si>
    <t>• A ciência como prática situada e construída socialmente.
• Críticas de Bruno Latour à ideia de neutralidade científica.
• O papel dos cientistas nas questões ambientais.</t>
  </si>
  <si>
    <t>• Explicar a concepção da ciência como prática situada e socialmente construída e as críticas de Bruno Latour à ideia de neutralidade científica.
• Compreender o papel e a responsabilidade dos cientistas nas questões ambientais contemporâneas.
• Construir argumentos fundamentados para posicionar-se criticamente sobre questões sociais, reconhecendo os valores implícitos na produção científica e valorizando a contribuição de grupos marginalizados.</t>
  </si>
  <si>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 [Ciências Humanas C1]</t>
  </si>
  <si>
    <t>A diversidade na produção científica</t>
  </si>
  <si>
    <t>• A diversidade na produção científica.
• A noção de justiça epistêmica.
• A epistemologia feminista de Sandra Harding.</t>
  </si>
  <si>
    <t>• Relacionar a importância da diversidade na produção científica com a noção de justiça epistêmica e a proposta da epistemologia feminista de Sandra Harding;
• Analisar os pressupostos e as principais críticas da epistemologia feminista de Sandra Harding à ciência tradicional.
• Construir argumentos fundamentados para posicionar-se criticamente sobre questões sociais, reconhecendo os valores implícitos na produção científica e valorizando a contribuição de grupos marginalizados.</t>
  </si>
  <si>
    <t>Complementar</t>
  </si>
  <si>
    <t>• Exposição das áreas da filosofia tratadas na unidade temática.
• Identificação dos principais períodos da história da filosofia discutidos.
• Contextualização das escolas e filósofos em destaque.</t>
  </si>
  <si>
    <t>• Reconhecer as diferentes áreas de investigação da filosofia, e os filósofos, escolas e períodos históricos abordados na unidade temática.
• Relacionar a produção filosófica ao seu contexto de produção.
• Produzir textos escritos mobilizando conhecimentos prévios, articulando conceitos e autores em diálogo com diferentes visões de mundo.</t>
  </si>
  <si>
    <t>Os desafios para uma ciência mais aberta e inclusiva no Brasil</t>
  </si>
  <si>
    <t>• Estabelecer comparações entre posições filosóficas, identificando semelhanças e diferenças entre autores, escolas do mesmo contexto histórico ou de contextos distintos.
• Discutir concepções e posições filosóficas, considerando suas implicações e consequências diante de valores sociais, costumes, crenças religiosas, instituições políticas, saberes científicos, posições de poder e/ou interesses econômicos.
• Produzir textos escritos mobilizando posições filosóficas no campo da metafísica e articulando conceitos e autores em diálogo com diferentes visões de mundo, de modo a promover a reflexão crítica.</t>
  </si>
  <si>
    <t>Como devemos viver?</t>
  </si>
  <si>
    <t>Desenvolver a criticidade para elaborar projetos de vida éticos e autênticos, articulando aspirações pessoais ao protagonismo juvenil e ao impacto positivo na sociedade, explorando diferentes possibilidades de carreira. [Ciências Humanas C5]</t>
  </si>
  <si>
    <t>Ética e virtude.</t>
  </si>
  <si>
    <t>O que é ética mesmo?</t>
  </si>
  <si>
    <t>• Características da reflexão ética.
• Diferentes critérios de avaliação das condutas humanas.</t>
  </si>
  <si>
    <t>• Explicar as principais características da reflexão ética enquanto campo de investigação filosófica.
• Discutir os diferentes critérios filosóficos utilizados para a avaliação das condutas humanas.
• Desenvolver a criticidade para elaborar projetos de vida éticos e autênticos, articulando aspirações pessoais e impacto positivo na sociedade, com base nos fundamentos da ética filosófica.</t>
  </si>
  <si>
    <t>Ética</t>
  </si>
  <si>
    <t>Ética das virtudes</t>
  </si>
  <si>
    <t>• A ética aristotélica.
• As noções de moderação, prudência e virtude.</t>
  </si>
  <si>
    <t>• Compreender os princípios fundamentais da ética aristotélica, incluindo as noções de moderação, prudência e virtude.
• Aplicar as noções aristotélicas de moderação, prudência e virtude na análise de situações cotidianas.
• Desenvolver a criticidade para elaborar projetos de vida éticos e autênticos, articulando aspirações pessoais e impacto positivo na sociedade, com base nos fundamentos da ética filosófica.</t>
  </si>
  <si>
    <t>Ética e racionalidade</t>
  </si>
  <si>
    <t>Ética deontológica.</t>
  </si>
  <si>
    <t>• A ética de Immanuel Kant.
• O imperativo categórico como fundamento da conduta ética.</t>
  </si>
  <si>
    <t>• Compreender a fundamentação das ações morais segundo Immanuel Kant. 
• Aplicar o imperativo categórico como critério para analisar a moralidade de diferentes regras de conduta.
• Desenvolver a criticidade para elaborar projetos de vida éticos e autênticos, articulando aspirações pessoais e impacto positivo na sociedade, com base nos fundamentos da ética filosófica.</t>
  </si>
  <si>
    <t>Ética consequencialista</t>
  </si>
  <si>
    <t>• A ética utilitarista de Bentham e Mills.
• O princípio de utilidade.
• O cálculo utilitarista.
• O consequencialismo contemporâneo de Peter Singer.</t>
  </si>
  <si>
    <t>• Compreender os princípios do utilitarismo de Bentham e Mill e do consequencialismo contemporâneo de Peter Singer.
• Aplicar o consequencialismo à proposição de resolução de um dilema ético contemporâneo.
• Desenvolver a criticidade para elaborar projetos de vida éticos e autênticos, articulando aspirações pessoais e impacto positivo na sociedade, com base nos fundamentos da ética filosófica.</t>
  </si>
  <si>
    <t>Debater estratégias de mediação de conflitos e solução coletiva de problemas de ordem política, econômica, ambiental, com base na diplomacia internacional, a partir do desenvolvimento de projetos que articulem teoria e prática. [Ciências Humanas C3]</t>
  </si>
  <si>
    <t>Fundamentos do pensamento político.</t>
  </si>
  <si>
    <t>O que constitui um bom governo?</t>
  </si>
  <si>
    <t>• A constituição do bom governo segundo autores clássicos da filosofia ocidental: Platão, Aristóteles, Agostinho e Tomás de Aquino.
• Princípios éticos como critérios de avaliação da ação política.</t>
  </si>
  <si>
    <t>• Comparar as concepções e critérios clássicos do que constitui um bom governo segundo Platão, Aristóteles, Agostinho e Tomás de Aquino.
• Discutir o papel dos princípios éticos como critérios para a avaliação das ações políticas.
• Identificar problemas coletivos de ordem política, articulando elementos de teorias filosóficas com práticas políticas.</t>
  </si>
  <si>
    <t>Política</t>
  </si>
  <si>
    <t>Um novo modo de pensar a política</t>
  </si>
  <si>
    <t>• A ruptura com o idealismo político-teológico.
• O realismo político.
• Os papéis da fortuna e da virtú na fundação e manutenção do Estado.
• A eficácia como critério de ação.
• O maquiavelismo.</t>
  </si>
  <si>
    <t>• Explicar a ruptura de Maquiavel com o idealismo político-teológico, caracterizando a perspectiva realista que marca sua reflexão política.
• Problematizar os usos possíveis da eficácia como critério central para a ação política, considerando as noções de fortuna e virtù segundo Maquiavel.
• Debater estratégias de solução de problemas coletivos de ordem política, articulando elementos de teorias filosóficas com práticas políticas.</t>
  </si>
  <si>
    <t>Contratualismo.</t>
  </si>
  <si>
    <t>Absolutismo e contratualismo</t>
  </si>
  <si>
    <t>• O problema da legitimidade do poder soberano.
• A concepção do estado de Natureza em Hobbes.
• O direito natural à vida e à segurança.
• O contrato social.
• O modelo de Estado hobbesiano.</t>
  </si>
  <si>
    <t>• Relacionar os conceitos de estado de natureza, direito natural e contrato social à constituição do modelo de Estado hobbesiano.
• Analisar o problema da legitimidade do poder soberano mobilizando a concepção hobbesiana do direito natural à vida e à segurança.
• Identificar problemas coletivos de ordem política, articulando elementos de teorias filosóficas com práticas políticas.</t>
  </si>
  <si>
    <t>Liberalismo e republicanismo</t>
  </si>
  <si>
    <t>• A concepção de estado de natureza em Locke e em Rousseau.
• A ampliação dos direitos naturais em Locke e Rousseau.
• Liberalismo e proteção aos direitos individuais em Locke.
• Republicanismo e soberania popular em Rousseau.</t>
  </si>
  <si>
    <t>• Distinguir as concepções de estado de natureza e de direitos naturais na filosofia de John Locke e Jean-Jacques Rousseau.
• Comparar os modelos políticos de Locke (liberalismo e proteção aos direitos individuais) e Rousseau (republicanismo e soberania popular).
• Debater estratégias de solução de problemas coletivos de ordem política, articulando elementos de teorias filosóficas com práticas políticas.</t>
  </si>
  <si>
    <t>Desenvolver estratégias de escuta ativa, autoconhecimento, empatia e argumentação, favorecendo o diálogo e a construção de consensos na compreensão e mediação de conflitos pessoais, coletivos e relacionados ao mundo do trabalho. [Ciências Humanas C3]</t>
  </si>
  <si>
    <t>Política e justiça.</t>
  </si>
  <si>
    <t>A justiça como equidade</t>
  </si>
  <si>
    <t>• O conceito de justiça como equidade em Ralws.
• A noção de posição original e o experimento do véu da ignorância.
• O desenho de instituições justas.
• Críticas ao neocontratualismo de Rawls.</t>
  </si>
  <si>
    <t>• Analisar os fundamentos da teoria da justiça como equidade de John Rawls, incluindo a posição original, o véu da ignorância e a concepção de instituições justas.
• Discutir as principais críticas e objeções levantadas contra o neocontratualismo de Rawls.
• Desenvolver estratégias de diálogo e argumentação para a mediação de conflitos fundamentadas em concepções filosóficas de justiça, visando à construção de consensos sobre desafios da atualidade.</t>
  </si>
  <si>
    <t>Justiça e esfera pública</t>
  </si>
  <si>
    <t>• O papel da esfera pública na promoção da justiça.
• A esfera pública como local de formação da opinião política, do debate e da deliberação segundo Jürgen Habermas.</t>
  </si>
  <si>
    <t>• Explicar o conceito de esfera pública de Jürgen Habermas e seu papel na formação da opinião política e do debate deliberativo.
• Estabelecer comparações entre o ideal da esfera pública e seus desafios na promoção efetiva da justiça social.
• Desenvolver estratégias de diálogo e argumentação para a mediação de conflitos, fundamentadas em concepções filosóficas de justiça, visando à construção de consensos sobre desafios da atualidade.</t>
  </si>
  <si>
    <t>Os desafios da promoção da justiça social no Brasil</t>
  </si>
  <si>
    <t>• Estabelecer comparações entre posições filosóficas, identificando semelhanças e diferenças entre autores e escolas do mesmo contexto histórico ou de contextos distintos.
• Discutir concepções e posições filosóficos, considerando suas implicações e consequências diante de valores sociais, costumes, crenças religiosas, instituições políticas, saberes científicos, posições de poder e/ou interesses econômicos.
• Produzir textos escritos mobilizando posições filosóficas no campo da metafísica, articulando conceitos e autores em diálogo com diferentes visões de mundo, de modo a promover a reflexão crítica.</t>
  </si>
  <si>
    <t>O que é ser humano?</t>
  </si>
  <si>
    <t>Relacionar discursos artísticos e culturais regionais e globais, articulando conhecimentos interdisciplinares e valores ancestrais para compreender suas funções sociais e propor narrativas que favoreçam a inclusão e o respeito às múltiplas identidades. [Linguagens C2]</t>
  </si>
  <si>
    <t>Subjetividade e genealogia.</t>
  </si>
  <si>
    <t>A construção do sujeito moral</t>
  </si>
  <si>
    <t>• A genealogia da moral em Nietzsche.
• O caráter histórico dos valores morais segundo Nietzsche.
• A crítica nietzscheana à ideia metafísica de uma essência fixa e imutável do sujeito.
• A subjetividade como resultado de eventos históricos.</t>
  </si>
  <si>
    <t>• Analisar a genealogia da moral em Nietzsche, identificando a constituição histórica e a origem dos valores morais segundo o filósofo.
• Relacionar a crítica nietzscheana à ideia de uma essência fixa do sujeito com sua concepção da subjetividade como resultado de processos históricos.
• Relacionar discursos à constituição histórica de identidades subjetivas, promovendo o respeito às diferenças.</t>
  </si>
  <si>
    <t>Filosofia, instituições e práticas sociais</t>
  </si>
  <si>
    <t>Subjetivação e relações de poder</t>
  </si>
  <si>
    <t>• A produção histórica da subjetividade por práticas de saber e relações de poder segundo Foucault.
• A ética do cuidado de si e a criação de uma estética da existência.</t>
  </si>
  <si>
    <t>• Explicar a perspectiva de Michel Foucault sobre a produção histórica da subjetividade, considerando a ligação entre as práticas de saber e as relações de poder.
• Aplicar os conceitos da ética do cuidado de si e da estética da existência de Foucault na reflexão sobre a constituição da identidade pessoal.
• Relacionar discursos à constituição histórica de identidades subjetivas, promovendo o respeito às diferenças.</t>
  </si>
  <si>
    <t>Criar produções artísticas e culturais a partir de diferentes linguagens e suportes, mobilizando referências estéticas, históricas e identitárias na promoção de equidade, justiça social e valorização da diversidade cultural e dos Direitos Humanos. [Linguagens C2]</t>
  </si>
  <si>
    <t>Função social da arte.</t>
  </si>
  <si>
    <t>A arte e utopia</t>
  </si>
  <si>
    <t>• A arte como possibilidade de negação do sistema de dominação social vigente segundo Marcuse.
• A imaginação utópica.
• O papel da sensibilidade na emancipação humana.</t>
  </si>
  <si>
    <t>• Compreender a concepção de Herbert Marcuse sobre a arte como força de negação do sistema de dominação social e o papel da imaginação utópica.
• Discutir a relevância da sensibilidade para a emancipação humana na filosofia de Marcuse.
• Refletir sobre produções artísticas e culturais que tematizam os desafios da sociedade do consumo, visando a promoção da equidade e a valorização da diversidade cultural.</t>
  </si>
  <si>
    <t>Experiência estética e consciência crítica</t>
  </si>
  <si>
    <t>Arte e técnica na modernidade</t>
  </si>
  <si>
    <t>• A noção de aura, segundo Benjamin.
• O advento da reprodutibilidade técnica.
• Politização da arte e estetização da política.</t>
  </si>
  <si>
    <t>• Explicar a noção de aura em Walter Benjamin e como sua transformação com o advento dos meios de reprodutibilidade técnica da obra de arte.
• Analisar as implicações da reprodutibilidade técnica na arte, focando na politização da arte e na estetização da política.
•  Refletir sobre produções artísticas e culturais que tematizam os desafios da sociedade do consumo, visando a promoção da equidade e a valorização da diversidade cultural.</t>
  </si>
  <si>
    <t>Sociedade e consumo.</t>
  </si>
  <si>
    <t>O consumo cultural</t>
  </si>
  <si>
    <t>• A noção de fetiche da mercadoria em Marx.
• O conceito de indústria cultural em Adorno e Horkheimer.
• A alienação e passividade do consumidor de produtos culturais.</t>
  </si>
  <si>
    <t>• Relacionar o conceito de fetiche da mercadoria em Marx com a noção de indústria cultural de Adorno e Horkheimer.
• Discutir as causas e consequências da alienação e passividade do consumidor de produtos culturais na sociedade contemporânea.
• Criar produções artísticas e culturais que provocam reflexões filosóficas sobre os desafios da sociedade do consumo, visando a promoção da equidade e a valorização da diversidade cultural.</t>
  </si>
  <si>
    <t>Filosofia e sociedade</t>
  </si>
  <si>
    <t>A sociedade do espetáculo</t>
  </si>
  <si>
    <t>• O conceito de espetáculo em Guy Debord.
• A representação artificial da vida social.
• Os processos de homogeneização cultural.</t>
  </si>
  <si>
    <t>• Compreender o conceito de espetáculo de Guy Debord e como ele representa uma vida social artificialmente construída.
• Analisar os processos de homogeneização cultural como uma das formas de manifestação da sociedade do espetáculo.
• Criar produções artísticas e culturais que provocam reflexões filosóficas sobre os desafios da sociedade do consumo, visando a promoção da equidade e a valorização da diversidade cultural.</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</si>
  <si>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[Linguagens C1]</t>
  </si>
  <si>
    <t>Sociedade e trabalho.</t>
  </si>
  <si>
    <t>Trabalho e condição humana</t>
  </si>
  <si>
    <t>• A condição humana como ponto de partida para a análise das atividades humanas em Hannah Arendt.
• A distinção entre labor, trabalho e ação.
• A crítica à modernidade centrada no labor.</t>
  </si>
  <si>
    <t>• Distinguir as atividades de labor, trabalho e ação na filosofia de Hannah Arendt, compreendendo-as como pontos de partida para sua análise da condição humana.
• Discutir a crítica arendtiana à modernidade, que prioriza o labor, e suas implicações para a vida política e a ação.
• Elaborar uma charge que, articulando reflexões filosóficas sobre o mundo do trabalho, destaque diferentes modos de transformação da sociedade e do território através do trabalho.</t>
  </si>
  <si>
    <t>Emancipação e alienação</t>
  </si>
  <si>
    <t>As promessas de emancipação humana por meio do trabalho; o conceito de alienação na filosofia de György Lukács.</t>
  </si>
  <si>
    <t>• Analisar as promessas de emancipação humana por meio do trabalho.
• Aplicar a noção de alienação de Lukács para interpretar os desafios às promessas de emancipação humana por meio do trabalho.
• Elaborar uma charge que, articulando reflexões filosóficas sobre o mundo do trabalho, destaque diferentes modos de transformação da sociedade e do território através do trabalho.</t>
  </si>
  <si>
    <t>Valorizar os saberes tradicionais de povos originários, comunidades quilombolas e outros grupos historicamente marginalizados, compreendendo sua importância na construção de conhecimentos, na preservação cultural e na promoção da diversidade. [Ciências Humanas C4]</t>
  </si>
  <si>
    <t>Filosofias contra coloniais.</t>
  </si>
  <si>
    <t>Natureza e cultura</t>
  </si>
  <si>
    <t>• A separação de natureza e cultura no pensamento ocidental como pressuposto para a exploração dos 'recursos naturais'.
• Outros modos de pensar o humano e o não humano: o perspectivismo ameríndio segundo Eduardo Viveiros de Castro.</t>
  </si>
  <si>
    <t>• Explicar a separação entre natureza e cultura no pensamento ocidental enquanto pressuposto para a exploração dos 'recursos naturais'.
• Distinguir o perspectivismo ameríndio, conforme descrito por Eduardo Viveiros de Castro, como um modo alternativo de pensar a relação entre o humano e o não humano.
• Valorizar os saberes tradicionais de povos originários e grupos historicamente marginalizados, compreendendo sua importância filosófica na construção de outras formas de conhecimento e na promoção da diversidade cultural e epistêmica.</t>
  </si>
  <si>
    <t>Filosofia e pluralidade epistêmica</t>
  </si>
  <si>
    <t>Filósofos negros contra o colonialismo</t>
  </si>
  <si>
    <t>• Críticas de filósofos negros ao colonialismo.
• Os processos de violência e alienação psíquica no colonialismo segundo Frantz Fanon.
• A noção de negritude de Aimé Cesaire.</t>
  </si>
  <si>
    <t>• Explicar os processos de violência e alienação psíquica causados pelo colonialismo segundo a perspectiva de Frantz Fanon.
• Analisar a noção de Negritude de Aimé Césaire e sua importância para as críticas filosóficas negras ao colonialismo.
• Valorizar os saberes tradicionais de povos originários e grupos historicamente marginalizados, compreendendo sua importância filosófica na construção de outras formas de conhecimento e na promoção da diversidade cultural e epistêmica.</t>
  </si>
  <si>
    <t>O que é o homem?</t>
  </si>
  <si>
    <t>• Reconhecer as diferentes áreas de investigação da filosofia e os filósofos, escolas e períodos históricos abordados na unidade temática.
• Relacionar a produção filosófica ao seu contexto de produção.
• Produzir textos escritos mobilizando conhecimentos prévios, articulando conceitos e autores em diálogo com diferentes visões de mundo.</t>
  </si>
  <si>
    <t>Os desafios da convivência em um mundo plural</t>
  </si>
  <si>
    <t>BLOCO DE EXERCÍCIOS</t>
  </si>
  <si>
    <t>Globalização e meio ambiente.</t>
  </si>
  <si>
    <t>Avaliar as relações entre ações humanas e o espaço geográfico, utilizando a análise de dados, padrões e variações de fenômenos naturais para compreender impactos ambientais e subsidiar a tomada de decisões frente à emergência climática.</t>
  </si>
  <si>
    <t>Recursos naturais.</t>
  </si>
  <si>
    <t>Uso de recursos naturais na sociedade contemporânea</t>
  </si>
  <si>
    <t>• Definição de recurso natural.
• Importância econômica dos recursos naturais.
• Exploração de recursos naturais mais utilizados no mundo contemporâneo.</t>
  </si>
  <si>
    <t>• Reconhecer o conceito de recursos naturais.
• Identificar os principais recursos naturais utilizados no mundo contemporâneo.
• Identificar as principais regiões do mundo ricas em recursos naturais.</t>
  </si>
  <si>
    <t>Recursos naturais, energia e geopolítica na globalização</t>
  </si>
  <si>
    <t>Disputas por recursos naturais</t>
  </si>
  <si>
    <t>• Recursos naturais e o comércio global de matéria-prima.
• Relações comerciais e as disputas por recursos naturais.
• Recursos naturais como ferramenta de poder geopolítico.</t>
  </si>
  <si>
    <t>• Identificar as disputas geopolíticas associadas aos recursos naturais.
• Reconhecer como a dependência econômica por recursos naturais afeta os países produtores.
• Relacionar o comércio mundial com as disputas por recursos naturais.</t>
  </si>
  <si>
    <t>Recursos estratégicos</t>
  </si>
  <si>
    <t>• Recursos naturais como recursos estratégicos.
• Domínio dos recursos estratégicos e influência geopolítica.
• Disputas por recursos estratégicos, território e conflitos.</t>
  </si>
  <si>
    <t>• Reconhecer que recursos naturais (petróleo, gás e minerais raros) são considerados estratégicos no contexto geopolítico.
• Analisar as disputas geopolíticas por recursos estratégicos em algumas regiões do mundo.</t>
  </si>
  <si>
    <t>Geopolítica do petróleo</t>
  </si>
  <si>
    <t>• Relevância do petróleo no mundo contemporâneo.
• Disputas e conflitos por petróleo.</t>
  </si>
  <si>
    <t>• Reconhecer a relevância do petróleo para a economia global e sua influência nas políticas energéticas dos países.
• Identificar as principais regiões produtoras de petróleo e sua importância no cenário geopolítico global.
• Analisar as disputas e conflitos por petróleo.</t>
  </si>
  <si>
    <t>Analisar os impactos ambientais sobre as populações mais vulneráveis, refletindo sobre as desigualdades socioambientais e propondo estratégias para o enfrentamento do racismo ambiental e a promoção da justiça climática.</t>
  </si>
  <si>
    <t>Petróleo e impactos socioambientais</t>
  </si>
  <si>
    <t>• Impactos ambientais da exploração e uso do petróleo.
• Possíveis alternativas ao petróleo.</t>
  </si>
  <si>
    <t>• Identificar alguns dos principais casos de poluição ambiental decorrentes da exploração do petróleo.
• Avaliar os impactos sociais e ambientais da exploração e uso do petróleo.
• Identificar medidas de mitigação dos impactos sociais e ambientais decorrentes da exploração do petróleo.</t>
  </si>
  <si>
    <t>Elaborar argumentos fundamentados, considerando as discussões e os acordos ambientais internacionais, de modo a articular o conhecimento científico e ético para defender alternativas sustentáveis a problemas socioambientais em nível local, regional, nacional e global.</t>
  </si>
  <si>
    <t>Estudo de caso: petróleo e conflitos internacionais</t>
  </si>
  <si>
    <t>• Estudos de caso sobre conflitos por petróleo.
• Proposta de resolução de conflito.</t>
  </si>
  <si>
    <t>• Analisar casos de conflitos internacionais por petróleo em diferentes regiões do mundo.
• Aplicar conceitos de geopolítica do petróleo para propor resoluções de conflitos em situações baseadas em estudos de caso.</t>
  </si>
  <si>
    <t>Geopolítica das fontes de energia</t>
  </si>
  <si>
    <t>• Fontes de energia e comércio mundial.
• Independência energética.
• Conflitos por fontes de energia.</t>
  </si>
  <si>
    <t>• Identificar as principais fontes de energia utilizadas no comércio global e sua relevância para as economias dos países produtores e consumidores.
• Analisar os impactos econômicos e políticos dos conflitos por fontes de energia.</t>
  </si>
  <si>
    <t>Fontes de energia renovável</t>
  </si>
  <si>
    <t>• Fontes de energia renovável.
• Transição energética.
• Mudanças climáticas e política energética.</t>
  </si>
  <si>
    <t>• Reconhecer as fontes de energia renovável.
• Identificar a importância da transição energética.
• Avaliar como as mudanças climáticas estão impactando as políticas energéticas globais.</t>
  </si>
  <si>
    <t>Produção agropecuária e meio ambiente.</t>
  </si>
  <si>
    <t>Segurança alimentar</t>
  </si>
  <si>
    <t>• Soberania alimentar.
• Novas formas de uso dos Recursos Naturais.</t>
  </si>
  <si>
    <t>• Relacionar o conceito de soberania alimentar aos impactos das crises globais.
• Analisar novas tecnologias e usos da terra que influenciam a produção de alimentos.</t>
  </si>
  <si>
    <t>Agropecuária, segurança alimentar e sustentabilidade</t>
  </si>
  <si>
    <t>Analisar dados e evidências provenientes de diferentes métodos científicos, como análises quantitativas e qualitativas, utilizando-os para compreender fenômenos locais, regionais, nacionais e globais em diferentes contextos temporais.</t>
  </si>
  <si>
    <t>Sistemas de produção agropecuários</t>
  </si>
  <si>
    <t>• Sistemas de produção agropecuários: intensivo e extensivo.
• Agricultura familiar.
• Agricultura empresarial.</t>
  </si>
  <si>
    <t>Identificar diferentes sistemas de produção agropecuários, como agropecuária intensiva e extensiva, agricultura familiar, agricultura empresarial.</t>
  </si>
  <si>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</si>
  <si>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Modernização da agricultura</t>
  </si>
  <si>
    <t>• Revolução Verde.
• Novas tecnologias no campo.
• Consequências da modernização no campo (foco no aumento da produtividade).</t>
  </si>
  <si>
    <t>• Reconhecer a Revolução Verde e seus impactos na produtividade agrícola.
• Avaliar o uso de novas tecnologias no campo, como a agricultura de precisão, biotecnologia e organismos geneticamente modificados.</t>
  </si>
  <si>
    <t>Produção agropecuária do Brasil</t>
  </si>
  <si>
    <t>• Estrutura produtiva da agropecuária no Brasil.
• Aumento da demanda por alimentos no mundo.
• Desafios da agropecuária brasileira para ampliar a participação no mercado global.</t>
  </si>
  <si>
    <t>• Reconhecer a estrutura produtiva da produção agropecuária no Brasil.
• Relacionar a crescente demanda por alimentos no mundo ao potencial de produção agropecuária do Brasil.
• Identificar os desafios que o Brasil enfrenta no comércio mundial de produtos agropecuários.</t>
  </si>
  <si>
    <t>Impactos ambientais da modernização agrícola</t>
  </si>
  <si>
    <t>• Modernização agrícola e impactos ambientais.
• Exploração sustentável dos recursos naturais.
• Equilíbrio entre desenvolvimento econômico e preservação ambiental.</t>
  </si>
  <si>
    <t>• Identificar os principais impactos ambientais decorrentes da modernização agrícola.
• Avaliar a importância da exploração sustentável de recursos naturais no futuro das economias globais.
• Propor ações que equilibrem o desenvolvimento econômico e a preservação ambiental.</t>
  </si>
  <si>
    <t>Estudo de caso: conflitos ambientais na agropecuária</t>
  </si>
  <si>
    <t>• Estudo de caso sobre impactos socioambientais da produção agropecuária intensiva.
• Propostas de uso sustentável da terra.</t>
  </si>
  <si>
    <t>• Analisar impactos socioambientais gerados por modelos intensivos de produção agropecuária.
• Propor soluções sustentáveis para o uso da terra, com base em estudos de caso e nas discussões sobre soberania alimentar e modernização agrícola.</t>
  </si>
  <si>
    <t>Modos de vida em um mundo globalizado.</t>
  </si>
  <si>
    <t>O impacto do consumo na sociedade</t>
  </si>
  <si>
    <t>• Consumismo e cultura global.
• Impactos ambientais do consumo globalizado.</t>
  </si>
  <si>
    <t>• Identificar os principais elementos da globalização que influenciam o consumo, como a expansão de mercados e a integração econômica global.
• Analisar os impactos ambientais do consumo globalizado, focando em práticas de produção em massa e suas consequências para o meio ambiente.</t>
  </si>
  <si>
    <t>Consumo, cultura global e soft power</t>
  </si>
  <si>
    <t>Analisar criticamente as influências da globalização e mundialização nas juventudes, avaliando como esses processos impactam diferentes contextos sociais, econômicos e culturais e as oportunidades e desafios no mundo do trabalho.</t>
  </si>
  <si>
    <t>Cultura: entre a tradição e a nova cultura global</t>
  </si>
  <si>
    <t>• A Geopolítica da Cultura Global.
• Hibridização Cultural.</t>
  </si>
  <si>
    <t>• Reconhecer como a geopolítica cultural influencia a disseminação de valores, tradições e produtos culturais ao redor do mundo.
• Analisar os impactos da hibridização cultural em diferentes regiões, comparando a fusão de culturas locais com a cultura global.</t>
  </si>
  <si>
    <t>Cultura e Soft Power</t>
  </si>
  <si>
    <t>Cultura e Soft Power na Geopolítica.</t>
  </si>
  <si>
    <t>• Identificar o conceito de soft power.
• Analisar de que modo países como Estados Unidos e Coreia do Sul utilizam sua cultura para exercer influência geopolítica.</t>
  </si>
  <si>
    <t>Turismo: novas percepções em um mundo globalizado</t>
  </si>
  <si>
    <t>• Turismo e Soft Power.
• Turismo e Globalização.</t>
  </si>
  <si>
    <t>Aplicar o conceito de soft power para analisar lugares pelo mundo e como isso reflete na percepção de países no cenário global.</t>
  </si>
  <si>
    <t>Migrações internacionais</t>
  </si>
  <si>
    <t>• Causas das migrações internacionais.
• Migração por oportunidade de trabalho e qualidade de vida.</t>
  </si>
  <si>
    <t>• Identificar as principais causas das migrações internacionais, como conflitos, mudanças climáticas, perseguições políticas e crises econômicas.
• Relacionar de que modo a globalização contribui para a migração das pessoas que buscam melhores condições de trabalho e qualidade de vida em economias emergentes e desenvolvidas.</t>
  </si>
  <si>
    <t>Migração e ajuda humanitária</t>
  </si>
  <si>
    <t>Migração legal e ilegal</t>
  </si>
  <si>
    <t>Migrantes legais e ilegais.</t>
  </si>
  <si>
    <t>• Identificar as diferenças entre migrantes legais e ilegais.
• Reconhecer os direitos e as restrições que se aplicam a cada tipo de migrante (legal e ilegal).</t>
  </si>
  <si>
    <t>Refugiados</t>
  </si>
  <si>
    <t>Causas dos fluxos de refugiados.</t>
  </si>
  <si>
    <t>• Identificar as principais causas que levam ao deslocamento forçado de pessoas e à criação de fluxos de refugiados, como guerras, perseguições políticas e crises ambientais.
• Analisar mapas e gráficos sobre o fluxo de refugiados no mundo.</t>
  </si>
  <si>
    <t>Xenofobia</t>
  </si>
  <si>
    <t>• Migração e Xenofobia.
• Políticas públicas para imigrantes no Brasil.</t>
  </si>
  <si>
    <t>• Analisar os fatores que impulsionam a xenofobia em países receptores de migrantes.
• Identificar algumas políticas públicas para acolhimento de imigrantes no Brasil.</t>
  </si>
  <si>
    <t>Combate à xenofobia</t>
  </si>
  <si>
    <t>• Medidas de combate à xenofobia.
• Iniciativas para acolhimento de imigrantes.</t>
  </si>
  <si>
    <t>• Reconhecer medidas de combate à xenofobia.
• Propor medidas para combater a xenofobia na escola.</t>
  </si>
  <si>
    <t>Organizações internacionais.</t>
  </si>
  <si>
    <t>Organizações humanitárias</t>
  </si>
  <si>
    <t>• O papel das Organizações Humanitárias no cenário Geopolítico.
• O impacto da Ajuda Humanitária em regiões de crise.</t>
  </si>
  <si>
    <t>• Identificar as principais organizações humanitárias globais.
• Analisar os impactos da ajuda humanitária em regiões de crise.
• Identificar os benefícios imediatos e os desafios enfrentados pelas regiões que recebem ajuda humanitária.</t>
  </si>
  <si>
    <t>Conflitos geopolíticos.</t>
  </si>
  <si>
    <t>Analisar criticamente conflitos em diferentes contextos históricos, culturais, sociais e políticos, com foco no Sul Global, identificando suas causas e impactos para fundamentar debates, aprimorar processos de mediação e fortalecer a construção de argumentações embasadas em perspectivas éticas, democráticas e sustentáveis.</t>
  </si>
  <si>
    <t>Conflitos e guerras da atualidade.</t>
  </si>
  <si>
    <t>Rússia e Ucrânia</t>
  </si>
  <si>
    <t>• Estudo de caso: Conflito na Ucrânia (invasão pela Rússia).
• Razões geopolíticas e estratégicas da invasão russa.</t>
  </si>
  <si>
    <t>• Identificar os principais eventos que levaram ao início do conflito entre Rússia e Ucrânia.
• Reconhecer as razões geopolíticas que motivaram a invasão da Ucrânia pela Rússia e suas implicações regionais.</t>
  </si>
  <si>
    <t>Conflitos contemporâneos</t>
  </si>
  <si>
    <t>Guerra da Síria</t>
  </si>
  <si>
    <t>• Estudo de caso: Guerra Civil na Síria.
• Principais grupos envolvidos e suas motivações.
• Reconstrução e desafios econômicos e sociais no pós-guerra.</t>
  </si>
  <si>
    <t>• Analisar os impactos sociais, econômicos e políticos da Guerra Civil na Síria.
• Propor estratégias para enfrentar os desafios da reconstrução e promover a estabilidade no período pós-guerra.</t>
  </si>
  <si>
    <t>Analisar criticamente conflitos em diferentes contextos históricos, culturais, sociais e políticos, com foco no Sul Global, identificando causas e impactos para fundamentar debates, aprimorar processos de mediação e fortalecer a construção de argumentações embasadas em perspectivas éticas, democráticas e sustentáveis.</t>
  </si>
  <si>
    <t>Israel e Palestina</t>
  </si>
  <si>
    <t>• Estudo de caso: Conflito israelense-palestino.
• Origem histórica do conflito: da partilha da Palestina à criação do Estado de Israel.
• Jerusalém: importância religiosa e disputas territoriais.</t>
  </si>
  <si>
    <t>• Identificar os eventos históricos que levaram à ocupação dos territórios palestinos por Israel.
• Reconhecer os fatores religiosos, culturais e territoriais que tornam Jerusalém um ponto central de disputa no conflito.</t>
  </si>
  <si>
    <t>Guerra do Iêmen</t>
  </si>
  <si>
    <t>• Estudo de caso: Guerra do Iêmen.
• Causas do conflito, intervenção internacional e crise humanitária.
• Impactos geopolíticos e sociais da guerra.</t>
  </si>
  <si>
    <t>• Compreender as origens da Guerra do Iêmen e os principais atores envolvidos.
• Analisar o papel das potências regionais e internacionais no prolongamento do conflito.
• Avaliar as consequências humanitárias.</t>
  </si>
  <si>
    <t>3º</t>
  </si>
  <si>
    <t>Urbanização no mundo contemporâneo.</t>
  </si>
  <si>
    <t>Urbanização.</t>
  </si>
  <si>
    <t>Urbanização mundial: evolução e redes urbanas</t>
  </si>
  <si>
    <t>• Processo de urbanização global.
• Crescimento das cidades.
• Rede urbana e hierarquia urbana.</t>
  </si>
  <si>
    <t>• Identificar as principais etapas do processo de urbanização mundial.
• Analisar suas consequências socioespaciais.</t>
  </si>
  <si>
    <t>Construir argumentos fundamentados e coerentes, integrando conhecimentos científicos, históricos e culturais, para posicionar-se criticamente sobre questões sociais.</t>
  </si>
  <si>
    <t>Cidades globais e megacidades</t>
  </si>
  <si>
    <t>• Cidades globais.
• Megacidades.
• Funções urbanas.
• Concentração de poder econômico e influência cultural.</t>
  </si>
  <si>
    <t>• Analisar as características das cidades globais.
• Classificar as funções das megacidades no sistema urbano mundial.</t>
  </si>
  <si>
    <t>Construir argumentos fundamentados e coerentes, integrando conhecimentos científicos, históricos e culturais, para posicionar-se criticamente sobre questões sociais e propor soluções para problemas contemporâneos de maneira ética e embasada.</t>
  </si>
  <si>
    <t>Segregação urbana e gentrificação</t>
  </si>
  <si>
    <t>• Desigualdade urbana.
• Segregação socioespacial.
• Gentrificação e exclusão territorial.</t>
  </si>
  <si>
    <t>• Identificar os processos de segregação socioespacial.
• Reconhecer os efeitos da gentrificação nas áreas urbanas.</t>
  </si>
  <si>
    <t>Relacionar os resultados das análises científicas às dinâmicas sociais e culturais, avaliando os impactos políticos, econômicos e ambientais de decisões humanas e refletindo sobre sua própria atuação como agente transformador na sociedade.</t>
  </si>
  <si>
    <t>Moradia precária e mobilidade nas cidades</t>
  </si>
  <si>
    <t>• Favelização e moradias irregulares.
• Mobilidade urbana e transporte público.</t>
  </si>
  <si>
    <t>• Reconhecer os principais desafios relacionados a moradia.
• Listar problemas de mobilidade urbana no Brasil.</t>
  </si>
  <si>
    <t>Explorar ferramentas tecnológicas emergentes na implementação de projetos sustentáveis, fundamentados na consciência socioambiental e no consumo responsável, com o objetivo de minimizar impactos ambientais e promover uma relação equilibrada entre sociedade e natureza.</t>
  </si>
  <si>
    <t>Cidades inteligentes e inclusão digital</t>
  </si>
  <si>
    <t>• Conceito de cidade inteligente.
• Tecnologia urbana.
• Desigualdade no acesso à tecnologia.</t>
  </si>
  <si>
    <t>• Avaliar o papel das cidades inteligentes.
• Analisar o impacto da inclusão digital nas dinâmicas urbanas.</t>
  </si>
  <si>
    <t>Metrópoles, regiões metropolitanas e gestão urbana</t>
  </si>
  <si>
    <t>• Metrópoles e regiões metropolitanas.
• Políticas públicas urbanas.
• Gestão de cidades.</t>
  </si>
  <si>
    <t>• Examinar o funcionamento das regiões metropolitanas.
• Identificar desafios da gestão urbana integrada.</t>
  </si>
  <si>
    <t>• Organizações internacionais.
• Blocos econômicos.</t>
  </si>
  <si>
    <t>Avaliar fontes confiáveis e variadas para analisar processos históricos, políticos, econômicos, sociais, ambientais e culturais, considerando diferentes perspectivas, inclusive a feminina, assegurando a diversidade epistemológica no estudo de fenômenos sociais e promovendo o combate à desinformação por meio da verificação crítica e da disseminação responsável do conhecimento.</t>
  </si>
  <si>
    <t>Brasil nas organizações internacionais</t>
  </si>
  <si>
    <t>• Relação entre o Brasil e as organizações internacionais.
• Contribuições para o comércio internacional, a preservação ambiental, a segurança global e as políticas de saúde pública.
• O Brasil e suas atuações em fóruns globais: mediação, proposição de acordos e defesa de interesses nacionais.</t>
  </si>
  <si>
    <t>• Analisar o papel do Brasil nas organizações internacionais.
• Avaliar a importância das organizações internacionais para o Brasil.</t>
  </si>
  <si>
    <t>Principais blocos econômicos mundiais</t>
  </si>
  <si>
    <t>• Principais blocos econômicos e suas características: União Europeia, Mercosul, ASEAN, USMCA.
• Propósito dos blocos econômicos mundiais.
• Impactos desses blocos econômicos mundiais no contexto geopolítico.</t>
  </si>
  <si>
    <t>• Identificar os principais blocos econômicos mundiais.
• Descrever o propósito dos blocos econômicos e como eles promovem a integração econômica entre seus membros.</t>
  </si>
  <si>
    <t>Expansão do BRICS</t>
  </si>
  <si>
    <t>• Expansão do BRICS: potenciais novos membros.
• BRICS e a Diplomacia Sul-Sul.
• Impacto do BRICS na economia brasileira.</t>
  </si>
  <si>
    <t>• Observar a expansão do BRICS e a intenção de alterar a dinâmica geopolítica global.
• Interpretar o papel do BRICS na promoção de uma ordem multipolar e na promoção da cooperação Sul-Sul.</t>
  </si>
  <si>
    <t>Debater estratégias de mediação de conflitos e solução coletiva de problemas de ordem política, econômica e ambiental, com base na diplomacia internacional, a partir do desenvolvimento de projetos que articulem teoria e prática.</t>
  </si>
  <si>
    <t>Preparação do jogo: negociações comerciais e geopolíticas</t>
  </si>
  <si>
    <t>• Comércio mundial.
• Importação e exportação.
• Negociações comerciais internacionais.</t>
  </si>
  <si>
    <t>• Compreender os conceitos de comércio mundial, importação e exportação e sua relevância na economia global.
• Identificar os fatores que influenciam as negociações comerciais entre países.
• Analisar exemplos de acordos comerciais internacionais e suas implicações econômicas e geopolíticas.</t>
  </si>
  <si>
    <t>Debater estratégias de mediação de conflitos e solução coletiva de problemas de ordem política, econômica, ambiental, com base na diplomacia internacional, a partir do desenvolvimento de projetos que articulem teoria e prática.</t>
  </si>
  <si>
    <t>Regras do jogo: negociações comerciais e geopolíticas</t>
  </si>
  <si>
    <t>• Planejamento estratégico para negociações comerciais.
• Definição de papéis no jogo: países, blocos econômicos e setores econômicos.
• Levantamento de dados e preparação para o jogo.</t>
  </si>
  <si>
    <t>• Planejar estratégias para negociações comerciais, considerando interesses econômicos e geopolíticos de diferentes atores.
• Relacionar os conceitos teóricos ao contexto prático do jogo.
• Preparar argumentos e contrapartidas para representar os interesses dos países ou blocos econômicos no jogo.</t>
  </si>
  <si>
    <t>Hora do jogo: negociações comerciais e geopolíticas</t>
  </si>
  <si>
    <t>• Execução do jogo de negociações comerciais.
• Simulação de acordos comerciais e resolução de conflitos.
• Avaliação dos resultados e impacto das decisões tomadas no jogo.</t>
  </si>
  <si>
    <t>• Aplicar as estratégias e regras estabelecidas na simulação de negociações comerciais e geopolíticas.
• Resolver problemas e desafios propostos durante o jogo, usando conhecimentos de comércio internacional, economia e alianças geopolíticas.
• Avaliar o impacto das decisões tomadas durante a dinâmica.</t>
  </si>
  <si>
    <t>• Geopolítica econômica.
• Tecnologia.</t>
  </si>
  <si>
    <t>Analisar criticamente as desigualdades históricas e estruturais que impactam diferentes grupos sociais, compreendendo os mecanismos de exclusão e os desafios enfrentados pelas minorias na luta por direitos e transformações sociais.</t>
  </si>
  <si>
    <t>Globalização e seus impactos desiguais</t>
  </si>
  <si>
    <t>• Globalização econômica.
• Impactos da globalização nos países centrais e periféricos.
• Fluxos de capital, produção e tecnologia.</t>
  </si>
  <si>
    <t>• Discutir os efeitos da globalização econômica sobre diferentes países.
• Comparar os impactos positivos e negativos da globalização entre países desenvolvidos e em desenvolvimento.</t>
  </si>
  <si>
    <t>Países em desenvolvimento: principais desafios</t>
  </si>
  <si>
    <t>• Desafios enfrentados pelos países em desenvolvimento em um contexto globalizado.
• Propostas para a redução das desigualdades econômicas globais.</t>
  </si>
  <si>
    <t>• Aplicar os conceitos discutidos sobre comércio global e desigualdade econômica em estudos de caso reais.
• Propor soluções para reduzir as desigualdades econômicas globais, com base nos desafios apresentados pela globalização.</t>
  </si>
  <si>
    <t>Produtividade e tecnologia</t>
  </si>
  <si>
    <t>• Impacto da automação na produtividade global.
• Produtividade e tecnologia nas economias emergentes e desenvolvidas.</t>
  </si>
  <si>
    <t>• Discutir como a produtividade impulsionada pela tecnologia pode influenciar a competitividade global entre países emergentes e desenvolvidos.
• Analisar os desafios enfrentados pelas economias emergentes na incorporação de tecnologias avançadas, como falta de infraestrutura e educação tecnológica.</t>
  </si>
  <si>
    <t>Corrida tecnológica e a nova corrida espacial</t>
  </si>
  <si>
    <t>• O renascimento da corrida espacial no século XXI.
• Competição tecnológica entre grandes potências espaciais.</t>
  </si>
  <si>
    <t>• Analisar a competição tecnológica entre as grandes potências (Estados Unidos, China, Rússia) na corrida espacial e os efeitos dessa disputa na geopolítica global.
• Diferenciar a corrida espacial atual da corrida espacial da Guerra Fria em termos de motivações e atores envolvidos, incluindo empresas privadas e novas potências espaciais.</t>
  </si>
  <si>
    <t>Mundo do Trabalho e Transformação Social</t>
  </si>
  <si>
    <t>Indústria 4.0</t>
  </si>
  <si>
    <t>• Desafios da adoção tecnológica nas economias de países desenvolvidos e  em desenvolvimento.
• Impactos no mercado de trabalho.
• Qualificação profissional e políticas públicas.</t>
  </si>
  <si>
    <t>• Analisar os desafios enfrentados por países na incorporação das tecnologias da Indústria 4.0.
• Refletir sobre os impactos no mercado de trabalho e a necessidade de políticas de requalificação.</t>
  </si>
  <si>
    <t>• Mundo digital.
• Corrida tecnológica.</t>
  </si>
  <si>
    <t>Empresas, trabalho e economia: empresas no mundo digital.</t>
  </si>
  <si>
    <t>Globalização digital</t>
  </si>
  <si>
    <t>• Globalização digital e cadeias de suprimentos.
• Relação entre empresa e trabalhador no mundo digital.</t>
  </si>
  <si>
    <t>• Reconhecer como a globalização digital está afetando as empresas cadeias de suprimentos pelo mundo.
• Avaliar os impactos da transformação digital sobre o trabalhador.
• Discutir as consequências geopolíticas da digitalização.</t>
  </si>
  <si>
    <t>Avaliar a participação ativa dos jovens na sociedade, promovendo reflexões sobre sua contribuição para a diversidade, o bem-estar coletivo e a transformação social, com base nos princípios dos Direitos Humanos e no fortalecimento de uma convivência ética e inclusiva.</t>
  </si>
  <si>
    <t>Empresas, trabalho e economia: trabalho no mundo digital.</t>
  </si>
  <si>
    <t>O mundo digital – Trabalho</t>
  </si>
  <si>
    <t>• Transformação digital e o impacto no trabalho.
• Mudanças nas profissões e funções tradicionais.</t>
  </si>
  <si>
    <t>• Simular novos cenários de trabalho digital, utilizando ferramentas tecnológicas para desempenhar funções emergentes no mercado.
• Propor soluções práticas para os desafios enfrentados por trabalhadores e empresas com as mudanças digitais.</t>
  </si>
  <si>
    <t>Empresas, trabalho e economia: dinheiro.</t>
  </si>
  <si>
    <t>Geopolítica e dinheiro</t>
  </si>
  <si>
    <t>• Guerra cambial e competitividade global.
• O papel do dólar na geopolítica.</t>
  </si>
  <si>
    <t>• Analisar como as guerras cambiais podem influenciar a competitividade global.
• Reconhecer como as políticas monetárias dos Estados Unidos afetam a economia global, com foco na influência do dólar nas relações econômicas e políticas entre países.</t>
  </si>
  <si>
    <t>Geopolítica e a informação: Big Techs.</t>
  </si>
  <si>
    <t>Geopolítica da informação e as Big Techs</t>
  </si>
  <si>
    <t>• O papel da informação na geopolítica global.
• O poder geopolítico das Big Techs.
• Desinformação e fake news como ferramentas de poder.</t>
  </si>
  <si>
    <t>• Reconhecer que o acesso e/ou a manipulação da informação afeta o equilíbrio de poder entre nações, alterando cenários políticos e econômicos globais.
• Identificar os principais conceitos relacionados ao uso da informação como ferramenta geopolítica, incluindo as fake news.
• Identificar a influência das Big Techs no cenário político e econômico global.</t>
  </si>
  <si>
    <t>Geopolítica e a informação.</t>
  </si>
  <si>
    <t>Geopolítica e a informação: preparação do simulado</t>
  </si>
  <si>
    <t>• O papel da informação na geopolítica global.
• Informações estratégicas.
• Soberania digital e o controle de dados.</t>
  </si>
  <si>
    <t>• Compreender como a informação atua como um recurso estratégico na geopolítica global.
• Analisar os papéis e interesses de diferentes atores (Estado, empresas Big Tech e usuários) na disputa por soberania digital e controle de dados.</t>
  </si>
  <si>
    <t>Desenvolver criticidade para elaborar projetos de vida éticos e autênticos, articulando aspirações pessoais ao protagonismo juvenil e ao impacto positivo na sociedade, explorando diferentes possibilidades de carreira.</t>
  </si>
  <si>
    <t>Geopolítica e a informação: planejamento</t>
  </si>
  <si>
    <t>• Estruturação do fórum de debate.
• Planejamento estratégico: definição de papéis, argumentos e contrapartidas.
• Levantamento de dados e exemplos práticos para embasar os argumentos.</t>
  </si>
  <si>
    <t>• Planejar estratégias de argumentação para representar os interesses de cada ator (Estado, empresas Big Tech e usuários) no fórum.
• Relacionar os conceitos estudados às problemáticas debatidas na simulação.
• Preparar dados, exemplos e contrapartidas para o confronto de ideias no fórum de debate.</t>
  </si>
  <si>
    <t>Geopolítica e a informação: prática da simulação</t>
  </si>
  <si>
    <t>• Fórum de debate: execução da simulação.
• Interação entre os diferentes atores geopolíticos.
• Análise das soluções e propostas levantadas no debate.</t>
  </si>
  <si>
    <t>• Simular um fórum de debate sobre geopolítica e a informação.
• Aplicar os conceitos de soberania digital, controle de dados e informações estratégicas durante o debate.
• Avaliar as propostas apresentadas pelos grupos, considerando sua viabilidade econômica, política e social.
• Refletir sobre as lições aprendidas e os desafios enfrentados na dinâmica.</t>
  </si>
  <si>
    <t>Analisar propriedades de materiais utilizados em produtos e processos tecnológicos.</t>
  </si>
  <si>
    <t>Hidrocarbonetos e funções orgânicas oxigenadas.</t>
  </si>
  <si>
    <t>Moléculas do cotidiano: hidrocarbonetos e compostos oxigenados.</t>
  </si>
  <si>
    <t>• Relacionar as principais funções orgânicas: hidrocarbonetos, álcoois, fenóis, éteres, aldeídos, cetonas, ácidos carboxílicos, ésteres com suas aplicações.
• Identificar grupos funcionais e nomenclatura básica.</t>
  </si>
  <si>
    <t>Compostos Orgânicos</t>
  </si>
  <si>
    <t>Funções orgânicas nitrogenadas e com haletos.</t>
  </si>
  <si>
    <t>Compostos nitrogenados e haletos orgânicos.</t>
  </si>
  <si>
    <t>• Relacionar as principais: aminas, amidas, nitrilas e haletos com suas aplicações.
• Identificar grupos funcionais e nomenclatura básica.</t>
  </si>
  <si>
    <t>Analisar criticamente dados e propor soluções, com base em diferentes linguagens científicas.</t>
  </si>
  <si>
    <t>Funções orgânicas.</t>
  </si>
  <si>
    <t>Funções orgânicas em foco.</t>
  </si>
  <si>
    <t>• Funções orgânicas.
• Revisão e resolução de questões de ENEM e outros vestibulares sobre funções orgânicas.</t>
  </si>
  <si>
    <t>• Consolidar os conteúdos principais de química orgânica estudados ao longo das aulas anteriores.
• Aplicar os conceitos teóricos à resolução de questões do ENEM, UNICAMP, FUVEST, entre outros.
• Desenvolver estratégias de leitura e análise de enunciados contextualizados.</t>
  </si>
  <si>
    <t>• Teoria de Brønsted-Lowry e Lewis.
• Principais ácidos e bases orgânicas.</t>
  </si>
  <si>
    <t>Ácidos e bases orgânicas: Teorias e aplicações.</t>
  </si>
  <si>
    <t>• Diferenciar as teorias ácido-base de Arrhenius, Brønsted-Lowry e Lewis.
• Identificar ácidos e bases em diferentes contextos e compreender o papel de grupos funcionais como ácidos e bases em compostos orgânicos.
• Resolver questões aplicadas ao ENEM e outros vestibulares sobre o tema.</t>
  </si>
  <si>
    <t>Ácidos e Bases Orgânicas</t>
  </si>
  <si>
    <t>Ácidos e bases orgânicas em foco.</t>
  </si>
  <si>
    <t>• Teoria de Brønsted-Lowry e Lewis.
• Principais ácidos e bases orgânicas.
• Revisão e resolução de questões de ENEM e outros vestibulares sobre teoria de Brønsted-Lowry e Lewis.</t>
  </si>
  <si>
    <t>• Consolidar os conteúdos principais de química orgânica estudados ao longo da aula anterior.
• Aplicar os conceitos teóricos à resolução de questões do ENEM, UNICAMP, FUVEST, entre outros.
• Desenvolver estratégias de leitura e análise de enunciados contextualizados.</t>
  </si>
  <si>
    <t xml:space="preserve">
Analisar propriedades de materiais utilizados em produtos e processos tecnológicos.</t>
  </si>
  <si>
    <t>Isomeria plana (cadeia, posição, função, metameria, tautomeria).</t>
  </si>
  <si>
    <t>Tipos de isomeria plana.</t>
  </si>
  <si>
    <t>• Compreender os diferentes tipos de isomeria plana (constitucional): cadeia, posição, função, metameria e tautomeria e associar as estruturas com propriedades físico-químicas distintas.
• Identificar e representar isômeros estruturais por meio de fórmulas estruturais planas.
• Resolver questões de vestibulares que envolvem isomeria.</t>
  </si>
  <si>
    <t>Isomeria</t>
  </si>
  <si>
    <t>Isomeria plana na prática.</t>
  </si>
  <si>
    <t>• Isomeria plana (cadeia, posição, função, metameria, tautomeria).
• Revisão e resolução de questões de ENEM e outros vestibulares sobre isomeria plana.</t>
  </si>
  <si>
    <t>Isomeria geométrica (cis-trans/E-Z) e óptica.</t>
  </si>
  <si>
    <t>As múltiplas faces das moléculas: isomeria geométrica e óptica.</t>
  </si>
  <si>
    <t>• Compreender o conceito de isomeria espacial (ou estereoisomeria) e diferenciar isomeria geométrica (cis/trans e E/Z) e isomeria óptica.
• Identificar compostos com centro quiral (carbono assimétrico) e relacionar a isomeria óptica com aplicações biológicas e farmacêuticas.
• Resolver questões de vestibulares aplicando os conceitos estudados.</t>
  </si>
  <si>
    <t>Isomeria espacial em foco.</t>
  </si>
  <si>
    <t>• Isomeria geométrica (cis-trans/E-Z) e óptica.
• Revisão e resolução de questões de ENEM e outros vestibulares sobre isomeria espacial.</t>
  </si>
  <si>
    <t>Reatividade e mecanismos de reação de compostos orgânicos.</t>
  </si>
  <si>
    <t>Como as moléculas reagem? Reatividade e mecanismos das reações orgânicas.</t>
  </si>
  <si>
    <t>• Compreender o conceito de reatividade química em compostos orgânicos e reconhecer espécies eletrofílicas, nucleofílicas e intermediários reacionais.
• Relacionar a reatividade com o tipo de ligação e grupos funcionais envolvidos.
• Aplicar os conceitos na resolução de questões do ENEM e de outros vestibulares.</t>
  </si>
  <si>
    <t>Reações de Compostos Orgânicos</t>
  </si>
  <si>
    <t>Reações de adição.</t>
  </si>
  <si>
    <t>• Compreender o que caracteriza uma reação de adição em compostos orgânicos.
• Identificar diferentes tipos de reações de adição (hidrogenação, halogenação, hidro-halogenação e hidratação) e aplicar a regra de Markovnikov na previsão de produtos majoritários.
• Resolver questões de vestibulares e ENEM aplicando os conhecimentos desenvolvidos.</t>
  </si>
  <si>
    <t>• Reatividade e mecanismos de reação de compostos orgânicos.
• Reações de adição.</t>
  </si>
  <si>
    <t>Reatividade e mecanismos de reações orgânicas em foco.</t>
  </si>
  <si>
    <t>• Reatividade e mecanismos de reação de compostos orgânicos.
• Reações de adição.
• Revisão e resolução de questões de ENEM e outros vestibulares sobre reatividade e mecanismos de reações em reação de adição.</t>
  </si>
  <si>
    <t>• Consolidar os conteúdos principais de química orgânica estudados ao longo das aulas anteriores.
• Aplicar os conceitos teóricos à resolução de questões de ENEM, UNICAMP, FUVEST, entre outros.
• Desenvolver estratégias de leitura e análise de enunciados contextualizados.</t>
  </si>
  <si>
    <t>Reações substituição.</t>
  </si>
  <si>
    <t>Reações de substituição.</t>
  </si>
  <si>
    <t>• Compreender o conceito e os tipos de reações de substituição em compostos orgânicos.
• Diferenciar as principais classes de substituição – nucleofílica (SN1 e SN2), eletrofílica aromática – e radicalar e analisar os mecanismos envolvidos, destacando a estrutura do substrato e o tipo de reagente.
• Resolver questões do ENEM e vestibulares aplicando os conceitos de reatividade.</t>
  </si>
  <si>
    <t>Reações de Substituição em Compostos Orgânicos.</t>
  </si>
  <si>
    <t>Reações de substituição em foco.</t>
  </si>
  <si>
    <t>• Consolidar os conteúdos principais de química orgânica estudados ao longo da aula anterior.
• Aplicar os conceitos teóricos à resolução de questões de ENEM, UNICAMP, FUVEST, entre outros.
• Desenvolver estratégias de leitura e análise de enunciados contextualizados.</t>
  </si>
  <si>
    <t>Reações de eliminação.</t>
  </si>
  <si>
    <t>• Compreender o conceito de reações de eliminação em compostos orgânicos saturados e identificar os principais tipos de eliminação: E1 e E2.
• Reconhecer os substratos mais comuns (álcoois e haletos de alquila) e relacionar essas reações com processos industriais, como a produção de alcenos e combustíveis.
• Resolver questões de vestibulares aplicadas a esse conteúdo.</t>
  </si>
  <si>
    <t>Reações de Eliminação em Compostos Orgânicos</t>
  </si>
  <si>
    <t>Revisão e resolução de questões de ENEM e vestibulares.</t>
  </si>
  <si>
    <t>Aula Complementar - Reações de eliminação em foco.</t>
  </si>
  <si>
    <t>Revisão e resolução de questões de ENEM e vestibulares sobre reações de eliminação.</t>
  </si>
  <si>
    <t>Reações de oxidação.</t>
  </si>
  <si>
    <t>Transformações e aplicações das reações de oxidação orgânica.</t>
  </si>
  <si>
    <t>• Compreender o conceito de oxidação aplicado a compostos orgânicos e identificar reagentes oxidantes comuns e os produtos formados a partir de álcoois, aldeídos e álcoois secundários.
• Representar reações químicas de oxidação orgânica e relacionar as reações de oxidação com contextos industriais, biológicos e ambientais.
• Resolver questões de vestibulares e ENEM sobre o tema.</t>
  </si>
  <si>
    <t>Reações de Oxidação</t>
  </si>
  <si>
    <t>Revisão e resolução de questões de ENEM e outros vestibulares.</t>
  </si>
  <si>
    <t>Reações de oxidação em foco.</t>
  </si>
  <si>
    <t>Revisão e resolução de questões de ENEM e vestibulares sobre reações de oxidação.</t>
  </si>
  <si>
    <t>Reações de esterificação.</t>
  </si>
  <si>
    <t>Reação de esterificação.</t>
  </si>
  <si>
    <t>• Compreender o que caracteriza uma reação de esterificação e identificar os reagentes (ácido carboxílico e álcool) e os produtos (éster e água).
• Reconhecer o mecanismo da reação de esterificação de Fischer e relacionar a formação de ésteres com a produção de fragrâncias, aromas artificiais e biodiesel.
• Aplicar os conceitos em questões do ENEM e outros vestibulares.</t>
  </si>
  <si>
    <t>Reação de Esterificação</t>
  </si>
  <si>
    <t>Reações de esterificação em foco.</t>
  </si>
  <si>
    <t>Revisão e resolução de questões de ENEM e de outros vestibulares sobre reações de esterificação.</t>
  </si>
  <si>
    <t>Analisar propriedades de materiais utilizados em produtos e processos tecnológicos, como na produção agropecuária, indústria automobilística e produção de medicamentos e cosméticos, propondo ações que ajudem a solucionar riscos à saúde e promovam a sustentabilidade e a justiça social e climática.</t>
  </si>
  <si>
    <t>Reações com ésteres.</t>
  </si>
  <si>
    <t>Reações com ésteres e a saponificação.</t>
  </si>
  <si>
    <t>• Compreender como ocorrem as principais reações com ésteres e identificar os reagentes e produtos envolvidos na hidrólise de ésteres e na saponificação.
• Relacionar essas reações à produção de sabões, perfumes e biodiesel e diferenciar a hidrólise ácida da básica (saponificação).
• Resolver questões de vestibulares com foco em reações orgânicas de ésteres.</t>
  </si>
  <si>
    <t>Reações com Ésteres e a Saponificação.</t>
  </si>
  <si>
    <t>Reações com ésteres e a saponificação em foco.</t>
  </si>
  <si>
    <t>Revisão e resolução de questões de ENEM e outros vestibulares sobre reações com ésteres e saponificação.</t>
  </si>
  <si>
    <t>Utilizar os conhecimentos das Ciências da Natureza na análise de desafios contemporâneos, apontando soluções relacionadas à sustentabilidade ambiental, saúde individual e coletiva, transição energética e cadeias produtivas.</t>
  </si>
  <si>
    <t>Principais reações entre ácidos e bases orgânicas.</t>
  </si>
  <si>
    <t>Reações ácido-base na química orgânica.</t>
  </si>
  <si>
    <t xml:space="preserve">
• Compreender como ocorrem reações ácido-base no contexto da química orgânica e identificar os principais ácidos e bases orgânicas (ácidos carboxílicos, fenóis, aminas).
• Representar reações de neutralização e formação de sais orgânicos e relacionar essas reações a contextos biológicos, industriais e farmacológicos.
• Resolver questões do ENEM e outros vestibulares que envolvem interações ácido-base entre compostos orgânicos.</t>
  </si>
  <si>
    <t>Reações entre Ácidos e Bases Orgânicas.</t>
  </si>
  <si>
    <t>Analisar métodos de produção de materiais alternativos, como bioplásticos e materiais reciclados, comparando seus aspectos ambientais, socioeconômicos e culturais, avaliando vantagens e desvantagens</t>
  </si>
  <si>
    <t>Reação de transesterificação.</t>
  </si>
  <si>
    <t>• Compreender o que é e como ocorre uma reação de transesterificação e identificar os reagentes e produtos envolvidos (óleos, álcoois, ésteres).
• Relacionar a transesterificação com a produção de biodiesel e questões ambientais e diferenciar transesterificação de esterificação.
• Aplicar os conceitos em questões de vestibulares e em contextos tecnológicos e sustentáveis.</t>
  </si>
  <si>
    <t>Reação de Transesterificação.</t>
  </si>
  <si>
    <t>Aula Complementar - Reação de transesterificação em foco.</t>
  </si>
  <si>
    <t>Revisão e resolução de questões de ENEM e outros vestibulares sobre reações de esterificação.</t>
  </si>
  <si>
    <t>Tipos de polímeros (foco nas reações químicas envolvidas na polimerização).</t>
  </si>
  <si>
    <t>De pequenas unidades a grandes estruturas: reações de polimerização.</t>
  </si>
  <si>
    <t>• Compreender o conceito de polímeros e sua classificação e identificar os tipos de polimerização: adição e condensação.
• Relacionar as reações químicas envolvidas na formação dos polímeros com seus monômeros e analisar as aplicações e impactos ambientais dos polímeros sintéticos e naturais.
• Resolver questões de vestibulares e ENEM envolvendo reações de polimerização.</t>
  </si>
  <si>
    <t>Polímeros</t>
  </si>
  <si>
    <t>Tipos de polímeros em foco.</t>
  </si>
  <si>
    <t>Revisão e resolução de questões de ENEM e outros vestibulares sobre polímeros.</t>
  </si>
  <si>
    <t>Propor soluções para produção sustentável, técnicas de manejo ambiental e remediação biológica, visando o desenvolvimento econômico sustentável, o respeito aos direitos ambientais e a promoção da justiça social e climática.</t>
  </si>
  <si>
    <t>Experimento produção de polímero.</t>
  </si>
  <si>
    <t>Mãos na massa: produzindo e compreendendo polímeros em laboratório.</t>
  </si>
  <si>
    <t>Experimento de produção de polímero.</t>
  </si>
  <si>
    <t>• Realizar a síntese de um polímero sintético em ambiente escolar, com segurança, e identificar reagentes, produtos e o tipo de reação envolvida na polimerização.
• Relacionar as propriedades observadas com a estrutura do polímero produzido e compreender a diferença entre polímeros por adição e condensação.
• Refletir sobre aplicações, impactos e desafios ambientais relacionados aos polímeros.</t>
  </si>
  <si>
    <t>Soluções, componentes e tipos.</t>
  </si>
  <si>
    <t>Soluções</t>
  </si>
  <si>
    <t>• Conceito de solução.
• Componentes (soluto e solvente).
• Tipos de soluções e unidades de concentração (g/L, mol/L, %).</t>
  </si>
  <si>
    <t>• Retomar os conceitos fundamentais sobre soluções.
• Identificar e classificar soluções de acordo com a natureza do soluto e do solvente.</t>
  </si>
  <si>
    <t>Formular hipóteses e explicações sobre fenômenos naturais e suas relações com dinâmicas sociais, fundamentando-se no método científico e mobilizando conceitos de Física, Química e Biologia, além de diferentes linguagens e tecnologias.</t>
  </si>
  <si>
    <t>Concentração comum e molar, transformações entre unidades.</t>
  </si>
  <si>
    <t>Concentrações</t>
  </si>
  <si>
    <t>• Cálculo de concentração comum (g/L), molar (mol/L) e percentual (% m/v).
• Relações entre massa, volume e mol.</t>
  </si>
  <si>
    <t>• Retomar os cálculos envolvendo diferentes unidades de concentração.
• Desenvolver fluência na conversão entre unidades e resolução de problemas práticos.</t>
  </si>
  <si>
    <t>Aplicações dos conceitos de soluções em diferentes contextos.</t>
  </si>
  <si>
    <t>Soluções e concentrações em foco</t>
  </si>
  <si>
    <t>Revisão e resolução de questões de ENEM e outros vestibulares sobre soluções e concentrações.</t>
  </si>
  <si>
    <t>Aspectos quantitativos das soluções – concentração e diluição.</t>
  </si>
  <si>
    <t>Diluição de soluções</t>
  </si>
  <si>
    <t>• Conceitos e cálculos relacionados à diluição de soluções.
• Conservação da quantidade de soluto.</t>
  </si>
  <si>
    <t>• Compreender o conceito de diluição como redução da concentração sem alteração da quantidade de soluto.
• Aplicar a fórmula da diluição (C₁·V₁ = C₂·V₂) para resolver problemas contextualizados.</t>
  </si>
  <si>
    <t>Diluição de Soluções</t>
  </si>
  <si>
    <t>Diluição de soluções em foco</t>
  </si>
  <si>
    <t>Revisão e resolução de questões de ENEM e outros vestibulares sobre diluição de soluções.</t>
  </si>
  <si>
    <t>Explicar a contribuição das Ciências da Natureza para a compreensão e tratamento de questões contemporâneas relacionadas a diferentes instâncias da vida humana, como a profissional, social, econômica, cultural e ambiental.</t>
  </si>
  <si>
    <t>Análise volumétrica: titulação ácido-base.</t>
  </si>
  <si>
    <t>Titulação</t>
  </si>
  <si>
    <t>• Procedimento de titulação.
• Ponto de equivalência.
• Cálculo da concentração.</t>
  </si>
  <si>
    <t>• Compreender o processo de titulação e sua importância para a Química.
• Relacionar as quantidades de reagentes envolvidos na reação química para determinar a concentração de uma substância.</t>
  </si>
  <si>
    <t>Titulação.</t>
  </si>
  <si>
    <t>Titulação em foco</t>
  </si>
  <si>
    <t>Revisão e resolução de questões de ENEM e outros vestibulares sobre titulação.</t>
  </si>
  <si>
    <t>Propriedades coligativas das soluções: pressão de vapor.</t>
  </si>
  <si>
    <t>Pressão máxima de vapor</t>
  </si>
  <si>
    <t>• Conceito de pressão de vapor.
• Influência de solutos não voláteis.</t>
  </si>
  <si>
    <t>• Compreender o conceito de pressão máxima de vapor em líquidos puros e soluções.
• Relacionar a pressão de vapor com o ponto de ebulição e a presença de soluto.</t>
  </si>
  <si>
    <t>Propriedades Coligativas</t>
  </si>
  <si>
    <t>Estados físicos da matéria e mudanças de fase.</t>
  </si>
  <si>
    <t>Diagrama de fases</t>
  </si>
  <si>
    <t>• Interpretação do diagrama de fases genérico e da água.
• Ponto triplo e ponto crítico.</t>
  </si>
  <si>
    <t>• Identificar os estados físicos em função da temperatura e pressão.
• Compreender os conceitos de ponto triplo e ponto crítico.</t>
  </si>
  <si>
    <t>Diagrama de Fases.</t>
  </si>
  <si>
    <t>Energia nas reações químicas: processos endotérmicos e exotérmicos.</t>
  </si>
  <si>
    <t>Energia nas reações químicas</t>
  </si>
  <si>
    <t>• Reações endotérmicas e exotérmicas.
• Conceito de entalpia (∆H).</t>
  </si>
  <si>
    <t>• Compreender como o calor participa das transformações químicas.
• Diferenciar processos que liberam dos que absorvem calor.</t>
  </si>
  <si>
    <t>Entalpia</t>
  </si>
  <si>
    <t>Variação de entalpia e Lei de Hess.</t>
  </si>
  <si>
    <t>Caminhos diferentes, mesmo destino: a Lei de Hess</t>
  </si>
  <si>
    <t>• Cálculo de ∆H por diferentes vias.
• Aplicação da Lei de Hess.</t>
  </si>
  <si>
    <t>• Utilizar a Lei de Hess para calcular variação de entalpia em reações indiretas.
• Relacionar entalpias parciais com a global de uma reação.</t>
  </si>
  <si>
    <t>• Energia nas reações químicas: processos endotérmicos e exotérmicos.
• Variação de entalpia e Lei de Hess.</t>
  </si>
  <si>
    <t>Energia nas reações químicas em foco</t>
  </si>
  <si>
    <t>Revisão e resolução de questões de ENEM e outros vestibulares sobre energia nas reações.</t>
  </si>
  <si>
    <t>Utilizar os conhecimentos das Ciências da Natureza na análise de desafios contemporâneos, apontando soluções relacionadas à sustentabilidade ambiental.</t>
  </si>
  <si>
    <t>Rapidez das reações químicas.</t>
  </si>
  <si>
    <t>Rapidez das reações químicas</t>
  </si>
  <si>
    <t>Conceito de rapidez de reação; cálculo de rapidez.</t>
  </si>
  <si>
    <t>• Compreender o conceito de rapidez de reação.
• Calcular e interpretar a variação da concentração dos reagentes ao longo do tempo (rapidez média da reação e lei da rapidez).</t>
  </si>
  <si>
    <t>Cinética Química</t>
  </si>
  <si>
    <t>Formular hipóteses e explicações sobre fenômenos naturais, mobilizando conceitos de Química e tecnologias.</t>
  </si>
  <si>
    <t>Teoria das colisões e fatores que influenciam a rapidez.</t>
  </si>
  <si>
    <t>Fatores que influenciam a rapidez das reações químicas</t>
  </si>
  <si>
    <t>• Energia de ativação.
• Fatores como temperatura, concentração, superfície de contato e catalisadores.</t>
  </si>
  <si>
    <t>• Compreender como os fatores externos influenciam a rapidez das reações.
• Interpretar a ação dos catalisadores.</t>
  </si>
  <si>
    <t>Equilíbrio químico e expressão da constante.</t>
  </si>
  <si>
    <t>Equilíbrio químico</t>
  </si>
  <si>
    <t>Reversibilidade das reações químicas; conceito de equilíbrio dinâmico; constante de equilíbrio (Kc). Quociente de equilíbrio (Qc)</t>
  </si>
  <si>
    <t>• Entender o conceito de equilíbrio dinâmico em sistemas reversíveis.
• Escrever e interpretar expressões da constante de equilíbrio (Kc e Kp).
• Relacionar constante de equilíbrio (Kc) e quociente de equilíbrio (Qc).</t>
  </si>
  <si>
    <t>Equilíbrio Químico</t>
  </si>
  <si>
    <t>Analisar criticamente textos de divulgação e artigos científicos produzidos pelas comunidades acadêmico-científicas da Física, Química e Biologia, identificando hipóteses, tratamento de dados, conceitos, explicações, relevância, aplicabilidade e confiabilidade das informações.</t>
  </si>
  <si>
    <t>Deslocamento do equilíbrio – Princípio de Le Chatelier.</t>
  </si>
  <si>
    <t>Como deslocar o equilíbrio de uma reação?</t>
  </si>
  <si>
    <t>Efeitos da variação de concentração, temperatura e pressão sobre o equilíbrio.</t>
  </si>
  <si>
    <t>• Aplicar o Princípio de Le Chatelier para prever alterações em sistemas em equilíbrio.
• Interpretar gráficos e dados experimentais sobre deslocamentos.</t>
  </si>
  <si>
    <t>• Equilíbrio químico e expressão da constante.
• Deslocamento do equilíbrio – Princípio de Le Chatelier.</t>
  </si>
  <si>
    <t>Equilíbrio químico em foco</t>
  </si>
  <si>
    <t>Revisão e resolução de questões de ENEM e outros vestibulares sobre equilíbrio químico.</t>
  </si>
  <si>
    <t>•Consolidar os conteúdos principais de equilíbrio químico estudados ao longo da aula anterior.
•Aplicar os conceitos teóricos à resolução de questões de ENEM, UNICAMP, FUVEST, entre outros.
•Desenvolver estratégias de leitura e análise de enunciados contextualizados.</t>
  </si>
  <si>
    <t>• Equilíbrio heterogêneo.
• Produto de solubilidade.</t>
  </si>
  <si>
    <t>Produto de solubilidade</t>
  </si>
  <si>
    <t>• Definição de Kps.
• Cálculo da solubilidade e da constante.</t>
  </si>
  <si>
    <t>• Compreender o equilíbrio entre orecipitado e íons em solução.
• Calcular a solubilidade a partir de Kps e vice-versa</t>
  </si>
  <si>
    <t>Produto de Solubilidade</t>
  </si>
  <si>
    <t>Produto de solubilidade em foco</t>
  </si>
  <si>
    <t>Revisão e resolução de questões de ENEM e outros vestibulares sobre produto de solubilidade.</t>
  </si>
  <si>
    <t>Avaliar criticamente as relações entre as Ciências da Natureza e as tecnologias, reconhecendo seus impactos, positivos e negativos, na vida das pessoas e comunidades ao longo do tempo.</t>
  </si>
  <si>
    <t>Reações de oxirredução e pilhas.</t>
  </si>
  <si>
    <t>Pilhas</t>
  </si>
  <si>
    <t>Transferência de elétrons, número de oxidação, funcionamento de pilhas.</t>
  </si>
  <si>
    <t>• Identificar agentes redutores e oxidantes.
• Compreender o funcionamento das pilhas como geradoras de corrente elétrica.</t>
  </si>
  <si>
    <t>Eletroquímica</t>
  </si>
  <si>
    <t>Analisar métodos de produção de materiais alternativos, como bioplásticos e materiais reciclados, comparando seus aspectos ambientais, socioeconômicos e culturais, avaliando vantagens e desvantagens.</t>
  </si>
  <si>
    <t>Potenciais-padrão e cálculo da força eletromotriz (fem).</t>
  </si>
  <si>
    <t>Qual pilha gera mais energia?</t>
  </si>
  <si>
    <t>Potencial de redução e cálculo da fem de uma pilha.</t>
  </si>
  <si>
    <t>• Calcular a diferença de potencial entre eletrodos.
• Relacionar a espontaneidade da reação com o sinal da fem.</t>
  </si>
  <si>
    <t>• Reações de oxirredução, pilhas e baterias.
• Potenciais-padrão e cálculo da força eletromotriz (fem).</t>
  </si>
  <si>
    <t>Pilhas e baterias em foco</t>
  </si>
  <si>
    <t>Revisão e resolução de questões de ENEM e outros vestibulares sobre pilhas e baterias.</t>
  </si>
  <si>
    <t>Reações não espontâneas e eletrólise ígnea.</t>
  </si>
  <si>
    <t>Eletrólise</t>
  </si>
  <si>
    <t>Conceito de eletrólise, célula eletrolítica, eletrólise do NaCl fundido.</t>
  </si>
  <si>
    <t>• Compreender o funcionamento de uma célula eletrolítica.
• Identificar o ânodo e o cátodo na eletrólise ígnea.</t>
  </si>
  <si>
    <t>Eletrólise aquosa e aspectos quantitativos.</t>
  </si>
  <si>
    <t>Eletrólise aquosa</t>
  </si>
  <si>
    <t>• Eletrólise de soluções aquosas.
• Produtos nos eletrodos.
• Leis de Faraday.</t>
  </si>
  <si>
    <t>• Prever os produtos da eletrólise aquosa com base na fila de descarga.
• Calcular a massa dos produtos eletrolíticos a partir da carga elétrica.</t>
  </si>
  <si>
    <t>OBJETO DE CONHECIMENTO</t>
  </si>
  <si>
    <t>Pensamento sociológico clássico e relações de poder.</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</si>
  <si>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</si>
  <si>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Sociologia funcionalista (ou Funcionalismo).</t>
  </si>
  <si>
    <t>Émile Durkheim: a abordagem objetiva da sociedade e das relações de poder</t>
  </si>
  <si>
    <t>Fato social; Solidariedade social;​ Consciência coletiva;​ Poder como coesão moral e organizador da solidariedade social.</t>
  </si>
  <si>
    <t>Compreender como a sociologia de Durkheim explica o funcionamento e a estabilidade das instituições sociais a partir de sua função na manutenção da coesão social; Analisar a explicação de Durkheim sobre a ordem social para contrastá-la com outras perspectivas sociológicas que enfatizam o poder e o conflito.​</t>
  </si>
  <si>
    <t>Sociologia clássica e relações de poder</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</si>
  <si>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</si>
  <si>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O Estado em Émile Durkheim</t>
  </si>
  <si>
    <t>A função do Estado como instituição social reguladora da ordem moral; Anomia​.</t>
  </si>
  <si>
    <t>Analisar situações da vida cotidiana a partir da abordagem funcionalista, identificando como as instituições sociais atuam para garantir a coesão e a manutenção da ordem na sociedade.</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</si>
  <si>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</si>
  <si>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Sociologia compreensiva.</t>
  </si>
  <si>
    <t>Max Weber: a abordagem compreensiva da sociedade</t>
  </si>
  <si>
    <t>Indivíduo e sociedade em Weber: ação social e racionalização; Tipos ideais de ação social.</t>
  </si>
  <si>
    <t>Compreender como a sociologia de Max Weber explica as relações entre indivíduo e sociedade a partir do conceito de ação social, analisando os tipos ideais e sua expressão em processos sociais, políticos, econômicos e culturais.​</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</si>
  <si>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</si>
  <si>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Relações de poder em Weber: aplicando a perspectiva weberiana</t>
  </si>
  <si>
    <t>• Indivíduo e sociedade em Weber: ação social e racionalização.
• Poder e dominação: os três tipos puros de dominação legítima (Tradicional, Carismática, Racional-legal).
• Poder e burocracia.</t>
  </si>
  <si>
    <t>Analisar situações da vida cotidiana a partir da abordagem compreensiva de Max Weber, identificando como as relações de poder se manifestam em diferentes processos sociais, políticos, econômicos e culturais.</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</si>
  <si>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</si>
  <si>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Materialismo histórico-dialético.</t>
  </si>
  <si>
    <t>Karl Marx: a abordagem dialética da sociedade e das relações de poder</t>
  </si>
  <si>
    <t>Indivíduo e sociedade na perspectiva do materialismo histórico-dialético;​ Modo de produção; Estrutura social: Infraestrutura e superestrutura​; Luta de classe</t>
  </si>
  <si>
    <t>Compreender, a partir da teoria de Karl Marx, como as condições materiais e as desigualdades sociais estruturam as relações de poder presentes em diferentes contextos da vida social.</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</si>
  <si>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</si>
  <si>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Relações de poder em Marx: aplicando a perspectiva marxiana</t>
  </si>
  <si>
    <t>Poder como dominação de classe;​ Poder e ideologia;​ Estado como instrumento de poder e dominação de classe.​</t>
  </si>
  <si>
    <t>Analisar situações da vida cotidiana a partir da abordagem materialista e dialética da sociedade, identificando e caracterizando as relações de poder que permeiam processos sociais, políticos, econômicos e/ou culturais.</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</si>
  <si>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</si>
  <si>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Teoria crítica da sociedade.</t>
  </si>
  <si>
    <t>Escola de Frankfurt: a abordagem crítica da sociedade e das relações de poder</t>
  </si>
  <si>
    <t>Razão instrumental e dominação: racionalidade técnica como instrumento de poder; Indústria cultural: cultura e consumo como mecanismos ideológicos de dominação.</t>
  </si>
  <si>
    <t>Reconhecer e discutir as principais ideias da Teoria Crítica da Escola de Frankfurt, analisando como elas explicam as formas de poder e dominação nas relações sociais, políticas, econômicas e culturais; Compreender e aplicar o conceito de razão instrumental, a partir de Adorno e Horkheimer, para refletir sobre o papel da ciência, da tecnologia e da racionalidade técnica na sociedade contemporânea.</t>
  </si>
  <si>
    <t>Sociologia contemporânea e relações de poder</t>
  </si>
  <si>
    <t>Pensamento sociológico contemporâneo e relações de poder.</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</si>
  <si>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</si>
  <si>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Relações de poder na Teoria Crítica: aplicando a perspectiva frankfurtiana</t>
  </si>
  <si>
    <t>Estado, razão instrumental e dominação; Estado, Indústria cultural e dominação; Dialética do esclarecimento: razão crítica para transformar a sociedade e emancipar o indivíduo.​</t>
  </si>
  <si>
    <t>Analisar situações do cotidiano a partir da Teoria Crítica da sociedade, reconhecendo como as relações de poder e dominação se manifestam em diferentes contextos — como no consumo, na mídia, na política e na cultura — e refletindo sobre formas de agir de maneira mais crítica e autônoma.</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</si>
  <si>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</si>
  <si>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Sociologia do poder, da desigualdade e da reprodução social.</t>
  </si>
  <si>
    <t>Pierre Bourdieu: a abordagem reflexiva da sociedade e das relações de poder</t>
  </si>
  <si>
    <t>• Habitus.
• Campo.
• Capital.</t>
  </si>
  <si>
    <t>• Identificar e analisar os elementos fundamentais da abordagem bourdiana sobre as relações de poder na sociedade que permeiam processos sociais, políticos, econômicos e/ou culturais.
• Compreender como os indivíduos agem dentro de contextos estruturados e contribuem para a reprodução (ou transformação) dessas estruturas, a partir da teoria sociológica de Pierre Bourdieu.</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</si>
  <si>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</si>
  <si>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Relações de poder em Bourdieu: aplicando a perspectiva bourdiana</t>
  </si>
  <si>
    <t>• Reprodução social.
• Poder simbólico.</t>
  </si>
  <si>
    <t>Analisar situações da vida cotidiana a partir da abordagem bourdiana da sociedade, identificando e caracterizando as relações de poder que permeiam processos sociais, políticos, econômicos e/ou culturais.</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</si>
  <si>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</si>
  <si>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Sociologia analítica do poder.</t>
  </si>
  <si>
    <t>Michel Foucault: a abordagem analítica da sociedade e das relações de poder</t>
  </si>
  <si>
    <t>• Poder como relação.
• Poder e conhecimento.
• Discurso.
• Poder disciplinar.
• Biopolítica e vigilância.
• Resistência.</t>
  </si>
  <si>
    <t>• Identificar e analisar os elementos fundamentais da abordagem foucaultiana sobre as relações de poder na sociedade que permeiam processos sociais, políticos, econômicos e/ou culturais.
• Compreender as relações entre poder e conhecimento e os sistemas organizacionais modernos que controlam e vigiam, a partir de Michel Foucault.</t>
  </si>
  <si>
    <r>
      <rPr>
        <b/>
        <sz val="10"/>
        <color rgb="FF000000"/>
        <rFont val="Arial"/>
      </rPr>
      <t xml:space="preserve">• FGB - EM13CHS101: </t>
    </r>
    <r>
      <rPr>
        <sz val="10"/>
        <color rgb="FF000000"/>
        <rFont val="Arial"/>
      </rPr>
      <t xml:space="preserve">Identificar, analisar e comparar diferentes fontes e narrativas expressas em diversas linguagens, com vistas à compreensão de ideias filosóficas e de processos e eventos históricos, geográficos, políticos, econômicos, sociais, ambientais e culturais.
</t>
    </r>
    <r>
      <rPr>
        <b/>
        <sz val="10"/>
        <color rgb="FF000000"/>
        <rFont val="Arial"/>
      </rPr>
      <t>• IFA - CHS OA 1:</t>
    </r>
    <r>
      <rPr>
        <sz val="10"/>
        <color rgb="FF000000"/>
        <rFont val="Arial"/>
      </rPr>
      <t xml:space="preserve">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r>
  </si>
  <si>
    <t>Relações de poder em Foucault: aplicando a perspectiva foucaultiana</t>
  </si>
  <si>
    <t>Analisar situações da vida cotidiana a partir da abordagem foucaultiana da sociedade, identificando e caracterizando as relações de poder que permeiam processos sociais, políticos, econômicos e/ou culturais.</t>
  </si>
  <si>
    <t>Pensamento sociológico e relações de poder na sociedade.</t>
  </si>
  <si>
    <r>
      <rPr>
        <b/>
        <sz val="10"/>
        <color rgb="FF000000"/>
        <rFont val="Arial"/>
      </rPr>
      <t xml:space="preserve">• FGB - EM13CHS103: </t>
    </r>
    <r>
      <rPr>
        <sz val="10"/>
        <color rgb="FF000000"/>
        <rFont val="Arial"/>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t>
    </r>
    <r>
      <rPr>
        <b/>
        <sz val="10"/>
        <color rgb="FF000000"/>
        <rFont val="Arial"/>
      </rPr>
      <t xml:space="preserve">• IFA - CHS OA 1: </t>
    </r>
    <r>
      <rPr>
        <sz val="10"/>
        <color rgb="FF000000"/>
        <rFont val="Arial"/>
      </rPr>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r>
  </si>
  <si>
    <t>Praticando sociologia: analisando as relações de poder na sociedade.</t>
  </si>
  <si>
    <t>Síntese: sociologia e as relações de poder na sociedade</t>
  </si>
  <si>
    <t>• Síntese do pensamento sociológico clássico e as relações de poder.
• Síntese do pensamento sociológico contemporâneo e as relações de poder.
• Resolução de questões sobre relações de poder na sociedade.</t>
  </si>
  <si>
    <t>• Consolidar os conteúdos desenvolvidos ao longo do bimestre sobre as relações de poder na perspectiva dos autores clássicos e contemporâneos da sociologia.
• Aplicar as perspectivas de análise sobre as relações de poder à resolução de questões do ENEM, UNICAMP, FUVEST, entre outros.</t>
  </si>
  <si>
    <r>
      <rPr>
        <b/>
        <sz val="10"/>
        <color rgb="FF000000"/>
        <rFont val="Arial"/>
      </rPr>
      <t xml:space="preserve">• FGB - EM13CHS103: </t>
    </r>
    <r>
      <rPr>
        <sz val="10"/>
        <color rgb="FF000000"/>
        <rFont val="Arial"/>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t>
    </r>
    <r>
      <rPr>
        <b/>
        <sz val="10"/>
        <color rgb="FF000000"/>
        <rFont val="Arial"/>
      </rPr>
      <t xml:space="preserve">• IFA - CHS OA 1: </t>
    </r>
    <r>
      <rPr>
        <sz val="10"/>
        <color rgb="FF000000"/>
        <rFont val="Arial"/>
      </rPr>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r>
  </si>
  <si>
    <t>Produção de texto dissertativo-argumentativo</t>
  </si>
  <si>
    <t>Orientação para a produção de texto dissertativo-argumentativo.</t>
  </si>
  <si>
    <t>Produzir texto dissertativo-argumentativo aplicando conceitos, ideais e teorias estudados no bimestre para elaborar hipóteses, selecionar evidências e compor argumentos relativos a processos políticos e sociais na sociedade.</t>
  </si>
  <si>
    <t>Problemáticas contemporâneas.</t>
  </si>
  <si>
    <r>
      <rPr>
        <b/>
        <sz val="10"/>
        <color rgb="FF000000"/>
        <rFont val="Arial"/>
      </rPr>
      <t xml:space="preserve">• FGB - EM13CHS202: </t>
    </r>
    <r>
      <rPr>
        <sz val="10"/>
        <color rgb="FF000000"/>
        <rFont val="Arial"/>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b/>
        <sz val="10"/>
        <color rgb="FF000000"/>
        <rFont val="Arial"/>
      </rPr>
      <t xml:space="preserve">• IFA - CHS OA 5: </t>
    </r>
    <r>
      <rPr>
        <sz val="10"/>
        <color rgb="FF000000"/>
        <rFont val="Arial"/>
      </rPr>
      <t>Analisar criticamente as influências da globalização e mundialização nas juventudes, avaliando como esses processos impactam diferentes contextos sociais, econômicos e culturais e as oportunidades e desafios no mundo do trabalho.</t>
    </r>
  </si>
  <si>
    <t>Mudanças sociais na contemporaneidade: a globalização.</t>
  </si>
  <si>
    <t>A globalização como intensificação da modernidade</t>
  </si>
  <si>
    <t>• Globalização.
• Intensificação da modernidade.</t>
  </si>
  <si>
    <t>Compreender que, segundo Anthony Giddens, a globalização é um fenômeno multidimensional e ambivalente, que transforma profundamente a vida social.</t>
  </si>
  <si>
    <t>Globalização e modernidade</t>
  </si>
  <si>
    <r>
      <rPr>
        <b/>
        <sz val="10"/>
        <color rgb="FF000000"/>
        <rFont val="Arial"/>
      </rPr>
      <t xml:space="preserve">• FGB - EM13CHS202: </t>
    </r>
    <r>
      <rPr>
        <sz val="10"/>
        <color rgb="FF000000"/>
        <rFont val="Arial"/>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b/>
        <sz val="10"/>
        <color rgb="FF000000"/>
        <rFont val="Arial"/>
      </rPr>
      <t xml:space="preserve">• IFA - CHS OA 5: </t>
    </r>
    <r>
      <rPr>
        <sz val="10"/>
        <color rgb="FF000000"/>
        <rFont val="Arial"/>
      </rPr>
      <t>Analisar criticamente as influências da globalização e mundialização nas juventudes, avaliando como esses processos impactam diferentes contextos sociais, econômicos e culturais e as oportunidades e desafios no mundo do trabalho.</t>
    </r>
  </si>
  <si>
    <t>Globalização e modernidade reflexiva</t>
  </si>
  <si>
    <r>
      <rPr>
        <sz val="10"/>
        <color rgb="FF000000"/>
        <rFont val="Arial"/>
      </rPr>
      <t>• Processo de desencaixe (</t>
    </r>
    <r>
      <rPr>
        <i/>
        <sz val="10"/>
        <color rgb="FF000000"/>
        <rFont val="Arial"/>
      </rPr>
      <t>Disembedding</t>
    </r>
    <r>
      <rPr>
        <sz val="10"/>
        <color rgb="FF000000"/>
        <rFont val="Arial"/>
      </rPr>
      <t>) e reencaixe (</t>
    </r>
    <r>
      <rPr>
        <i/>
        <sz val="10"/>
        <color rgb="FF000000"/>
        <rFont val="Arial"/>
      </rPr>
      <t>Reembedding</t>
    </r>
    <r>
      <rPr>
        <sz val="10"/>
        <color rgb="FF000000"/>
        <rFont val="Arial"/>
      </rPr>
      <t>).
• Reflexividade.
• Ambivalência.</t>
    </r>
  </si>
  <si>
    <t>• Analisar situações relacionadas ao processo de globalização, aplicando esquemas analíticos e conceitos chaves de Anthony Giddens.
• Avaliar como as transformações tecnológicas promoveram mudanças profundas nas instituições, identidades e relações sociais no contexto da globalização.</t>
  </si>
  <si>
    <r>
      <rPr>
        <b/>
        <sz val="10"/>
        <color rgb="FF000000"/>
        <rFont val="Arial"/>
      </rPr>
      <t xml:space="preserve">• FGB - EM13CHS201: </t>
    </r>
    <r>
      <rPr>
        <sz val="10"/>
        <color rgb="FF000000"/>
        <rFont val="Arial"/>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
</t>
    </r>
    <r>
      <rPr>
        <b/>
        <sz val="10"/>
        <color rgb="FF000000"/>
        <rFont val="Arial"/>
      </rPr>
      <t>• IFA - CHS OA 5:</t>
    </r>
    <r>
      <rPr>
        <sz val="10"/>
        <color rgb="FF000000"/>
        <rFont val="Arial"/>
      </rPr>
      <t xml:space="preserve"> Analisar criticamente as influências da globalização e mundialização nas juventudes, avaliando como esses processos impactam diferentes contextos sociais, econômicos e culturais e as oportunidades e desafios no mundo do trabalho.</t>
    </r>
  </si>
  <si>
    <t>Mudanças sociais na contemporaneidade: identidade e cultura.</t>
  </si>
  <si>
    <t>Identidade e cultura na contemporaneidade</t>
  </si>
  <si>
    <t>• Identidade como processo e construção.
• Globalização e desestabilização das identidades.
• Fragmentação e fluidez identitária.
• Hibridização.
• Ambivalência das identidades.</t>
  </si>
  <si>
    <t>• Compreender a noção de globalização em Stuart Hall.
• Refletir sobre os impactos da globalização nas identidades culturais.
• Analisar como a identidade pode ser transformada, fragmentada ou híbrida em contextos globais.</t>
  </si>
  <si>
    <t>Identidade e cultura em Stuart Hall</t>
  </si>
  <si>
    <r>
      <rPr>
        <b/>
        <sz val="10"/>
        <color rgb="FF000000"/>
        <rFont val="Arial"/>
      </rPr>
      <t xml:space="preserve">• FGB - EM13CHS201: </t>
    </r>
    <r>
      <rPr>
        <sz val="10"/>
        <color rgb="FF000000"/>
        <rFont val="Arial"/>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
</t>
    </r>
    <r>
      <rPr>
        <b/>
        <sz val="10"/>
        <color rgb="FF000000"/>
        <rFont val="Arial"/>
      </rPr>
      <t>• IFA - CHS OA 5:</t>
    </r>
    <r>
      <rPr>
        <sz val="10"/>
        <color rgb="FF000000"/>
        <rFont val="Arial"/>
      </rPr>
      <t xml:space="preserve"> Analisar criticamente as influências da globalização e mundialização nas juventudes, avaliando como esses processos impactam diferentes contextos sociais, econômicos e culturais e as oportunidades e desafios no mundo do trabalho.</t>
    </r>
  </si>
  <si>
    <t>Globalização, identidade e cultura: análise de situações na perspectiva de Hall</t>
  </si>
  <si>
    <t>• Cultura e identidades como campo de luta política.
• Identidades e conflitos na contemporaneidade: movimentos identitários, nacionalistas etc.</t>
  </si>
  <si>
    <t>• Analisar situações que envolvam a reconfiguração de identidades devido ao processo de globalização, aplicando esquemas analíticos e conceitos chaves de Stuart Hall.
• Avaliar como as transformações tecnológicas impactam a construção das identidades no contexto da globalização.</t>
  </si>
  <si>
    <r>
      <rPr>
        <b/>
        <sz val="10"/>
        <color rgb="FF000000"/>
        <rFont val="Arial"/>
      </rPr>
      <t xml:space="preserve">• FGB - EM13CHS201: </t>
    </r>
    <r>
      <rPr>
        <sz val="10"/>
        <color rgb="FF000000"/>
        <rFont val="Arial"/>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
</t>
    </r>
    <r>
      <rPr>
        <b/>
        <sz val="10"/>
        <color rgb="FF000000"/>
        <rFont val="Arial"/>
      </rPr>
      <t>• IFA - CHS OA 5:</t>
    </r>
    <r>
      <rPr>
        <sz val="10"/>
        <color rgb="FF000000"/>
        <rFont val="Arial"/>
      </rPr>
      <t xml:space="preserve"> Analisar criticamente as influências da globalização e mundialização nas juventudes, avaliando como esses processos impactam diferentes contextos sociais, econômicos e culturais e as oportunidades e desafios no mundo do trabalho.</t>
    </r>
  </si>
  <si>
    <t>Mudanças sociais na contemporaneidade: migrações e mobilidade.</t>
  </si>
  <si>
    <t>Migrações e mobilidade na contemporaneidade</t>
  </si>
  <si>
    <t>• Cidades globais.
• Migração sistêmica.
• Processos estruturais de expulsão.
• Migração em rede.</t>
  </si>
  <si>
    <t>Compreender as relações entre aumento dos fluxos migratórios, fomentado pelas transformações tecnológicas, e as tensões culturais e sociais nas sociedades de origem e de destino no contexto da globalização, a partir da perspectiva de Saskia Sassen.</t>
  </si>
  <si>
    <t>Migração e mobilidade na contemporaneidade em Saskia Sassen</t>
  </si>
  <si>
    <r>
      <rPr>
        <b/>
        <sz val="10"/>
        <color rgb="FF000000"/>
        <rFont val="Arial"/>
      </rPr>
      <t xml:space="preserve">• FGB - EM13CHS201: </t>
    </r>
    <r>
      <rPr>
        <sz val="10"/>
        <color rgb="FF000000"/>
        <rFont val="Arial"/>
      </rPr>
      <t xml:space="preserve">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
</t>
    </r>
    <r>
      <rPr>
        <b/>
        <sz val="10"/>
        <color rgb="FF000000"/>
        <rFont val="Arial"/>
      </rPr>
      <t>• IFA - CHS OA 5:</t>
    </r>
    <r>
      <rPr>
        <sz val="10"/>
        <color rgb="FF000000"/>
        <rFont val="Arial"/>
      </rPr>
      <t xml:space="preserve"> Analisar criticamente as influências da globalização e mundialização nas juventudes, avaliando como esses processos impactam diferentes contextos sociais, econômicos e culturais e as oportunidades e desafios no mundo do trabalho.</t>
    </r>
  </si>
  <si>
    <t>Globalização, migração e mobilidade: análise de situações na perspectiva de Sassen</t>
  </si>
  <si>
    <t>• Analisar situações que envolvam impactos dos fluxos migratórios nas sociedades de origem e de destino, gerando tensões culturais e sociais, aplicando esquemas analíticos e conceitos-chave de Saskia Sassen.
• Avaliar como as transformações tecnológicas impactam os fluxos migratórios e geram tensões nas sociedades de origem e de destino no contexto da globalização.</t>
  </si>
  <si>
    <r>
      <rPr>
        <b/>
        <sz val="10"/>
        <color rgb="FF000000"/>
        <rFont val="Arial"/>
      </rPr>
      <t xml:space="preserve">• FGB - EM13CHS202: </t>
    </r>
    <r>
      <rPr>
        <sz val="10"/>
        <color rgb="FF000000"/>
        <rFont val="Arial"/>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b/>
        <sz val="10"/>
        <color rgb="FF000000"/>
        <rFont val="Arial"/>
      </rPr>
      <t xml:space="preserve">• IFA - CHS OA 5: </t>
    </r>
    <r>
      <rPr>
        <sz val="10"/>
        <color rgb="FF000000"/>
        <rFont val="Arial"/>
      </rPr>
      <t>Analisar criticamente as influências da globalização e da mundialização nas juventudes, avaliando como esses processos impactam diferentes contextos sociais, econômicos e culturais e as oportunidades e desafios no mundo do trabalho.</t>
    </r>
  </si>
  <si>
    <t>Mudanças sociais na contemporaneidade: desigualdades sociais.</t>
  </si>
  <si>
    <t>Desigualdades globais na contemporaneidade</t>
  </si>
  <si>
    <t>• Globalização: integração e exclusão.
• Mobilidade como marcador de desigualdade social.
• Metáforas dos “turistas” e “vagabundos”.
• Globalização, insegurança e precarização social.</t>
  </si>
  <si>
    <t>• Compreender a análise de Bauman sobre a globalização como um processo ambivalente.
• Identificar os impactos da globalização na produção e intensificação das desigualdades.
• Refletir sobre as metáforas sociais dos “turistas” e dos “vagabundos”.
• Relacionar a perspectiva de Bauman com a realidade contemporânea.</t>
  </si>
  <si>
    <t>Desigualdades globais em Zygmunt Bauman</t>
  </si>
  <si>
    <r>
      <rPr>
        <b/>
        <sz val="10"/>
        <color rgb="FF000000"/>
        <rFont val="Arial"/>
      </rPr>
      <t xml:space="preserve">• FGB - EM13CHS202: </t>
    </r>
    <r>
      <rPr>
        <sz val="10"/>
        <color rgb="FF000000"/>
        <rFont val="Arial"/>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b/>
        <sz val="10"/>
        <color rgb="FF000000"/>
        <rFont val="Arial"/>
      </rPr>
      <t xml:space="preserve">• IFA - CHS OA 5: </t>
    </r>
    <r>
      <rPr>
        <sz val="10"/>
        <color rgb="FF000000"/>
        <rFont val="Arial"/>
      </rPr>
      <t>Analisar criticamente as influências da globalização e da mundialização nas juventudes, avaliando como esses processos impactam diferentes contextos sociais, econômicos e culturais e as oportunidades e desafios no mundo do trabalho.</t>
    </r>
  </si>
  <si>
    <t>Globalização e desigualdades: análise de situações na perspectiva de Bauman</t>
  </si>
  <si>
    <t>• Aplicar os conceitos de Zygmunt Bauman sobre globalização (turistas e vagabundos; integração e exclusão) à análise de situações concretas do cotidiano.
• Avaliar como as transformações tecnológicas podem produzir essas situações de desigualdade.</t>
  </si>
  <si>
    <r>
      <rPr>
        <b/>
        <sz val="10"/>
        <color rgb="FF000000"/>
        <rFont val="Arial"/>
      </rPr>
      <t xml:space="preserve">• FGB - EM13CHS202: </t>
    </r>
    <r>
      <rPr>
        <sz val="10"/>
        <color rgb="FF000000"/>
        <rFont val="Arial"/>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b/>
        <sz val="10"/>
        <color rgb="FF000000"/>
        <rFont val="Arial"/>
      </rPr>
      <t xml:space="preserve">• IFA - CHS OA 5: </t>
    </r>
    <r>
      <rPr>
        <sz val="10"/>
        <color rgb="FF000000"/>
        <rFont val="Arial"/>
      </rPr>
      <t>Analisar criticamente as influências da globalização e da mundialização nas juventudes, avaliando como esses processos impactam diferentes contextos sociais, econômicos e culturais e as oportunidades e desafios no mundo do trabalho.</t>
    </r>
  </si>
  <si>
    <t>Mudanças sociais na contemporaneidade: Estados e instituições transnacionais.</t>
  </si>
  <si>
    <t>Estados e instituições transnacionais na contemporaneidade</t>
  </si>
  <si>
    <t xml:space="preserve">• A crítica de Boaventura à ideia de globalização única.
• Tipos de globalização: globalização hegemônica e globalização contra-hegemônica.
• O papel dos Estados nacionais na era global.
• O poder das empresas transnacionais.
• O papel de atores internacionais (organizações multilaterais, ONGs, movimentos sociais).
</t>
  </si>
  <si>
    <t xml:space="preserve">• Compreender a análise crítica de Boaventura sobre a globalização.
• Identificar os diferentes tipos de globalização propostos pelo autor.
• Refletir sobre o papel dos Estados, das empresas transnacionais e dos atores internacionais na configuração do mundo globalizado.
• Estimular uma visão crítica da globalização como processo de disputas e não apenas de integração.
</t>
  </si>
  <si>
    <t>Estados e instituições transnacionais em Boaventura de Sousa Santos</t>
  </si>
  <si>
    <r>
      <rPr>
        <b/>
        <sz val="10"/>
        <color rgb="FF000000"/>
        <rFont val="Arial"/>
      </rPr>
      <t xml:space="preserve">•  FGB - EM13CHS202: </t>
    </r>
    <r>
      <rPr>
        <sz val="10"/>
        <color rgb="FF000000"/>
        <rFont val="Arial"/>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b/>
        <sz val="10"/>
        <color rgb="FF000000"/>
        <rFont val="Arial"/>
      </rPr>
      <t xml:space="preserve">• IFA - CHS OA 5: </t>
    </r>
    <r>
      <rPr>
        <sz val="10"/>
        <color rgb="FF000000"/>
        <rFont val="Arial"/>
      </rPr>
      <t>Analisar criticamente as influências da globalização e da mundialização nas juventudes, avaliando como esses processos impactam diferentes contextos sociais, econômicos e culturais e as oportunidades e desafios no mundo do trabalho.</t>
    </r>
  </si>
  <si>
    <t>Globalização, Estados e instituições globais: análise de situações</t>
  </si>
  <si>
    <t>• Globalização hegemônica.
• Transformação do Estado e crise da soberania.
• Papel das Organizações Internacionais e das corporações na difusão de valores globais.
• Resistências e globalização contra-hegemônica.</t>
  </si>
  <si>
    <t>• Aplicar os conceitos de globalização hegemônica e globalização contra-hegemônica para interpretar situações reais.
• Avaliar como as transformações tecnológicas impactam as relações entre indivíduos, Estados e organizações e corporações multinacionais no contexto da globalização.</t>
  </si>
  <si>
    <r>
      <rPr>
        <b/>
        <sz val="10"/>
        <color rgb="FF000000"/>
        <rFont val="Arial"/>
      </rPr>
      <t xml:space="preserve">• FGB - EM13CHS202: </t>
    </r>
    <r>
      <rPr>
        <sz val="10"/>
        <color rgb="FF000000"/>
        <rFont val="Arial"/>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b/>
        <sz val="10"/>
        <color rgb="FF000000"/>
        <rFont val="Arial"/>
      </rPr>
      <t xml:space="preserve">• IFA - CHS OA 5: </t>
    </r>
    <r>
      <rPr>
        <sz val="10"/>
        <color rgb="FF000000"/>
        <rFont val="Arial"/>
      </rPr>
      <t>Analisar criticamente as influências da globalização e da mundialização nas juventudes, avaliando como esses processos impactam diferentes contextos sociais, econômicos e culturais e as oportunidades e desafios no mundo do trabalho.</t>
    </r>
  </si>
  <si>
    <t>Mudanças sociais na contemporaneidade: tecnologia e política.</t>
  </si>
  <si>
    <t>Redes, tecnologias e política na contemporaneidade</t>
  </si>
  <si>
    <t xml:space="preserve">• Sociedade em rede e globalização.
• Poder na era das redes: controle, acesso e circulação da informação.
• Redes digitais e movimentos sociais: usos estratégicos da informação.
• Exclusão, vigilância e desigualdade na sociedade em rede.
</t>
  </si>
  <si>
    <t xml:space="preserve">• Compreender a visão de Castells sobre sociedade em rede e globalização.
• Refletir sobre como o poder é estruturado em torno do controle dos fluxos de informação.
• Analisar o papel de movimentos sociais que utilizam redes digitais para contestar ou disputar o poder.
• Discutir desigualdades de acesso à informação e suas implicações sociais e políticas.
</t>
  </si>
  <si>
    <t>Redes, tecnologias e política em Manuel Castells</t>
  </si>
  <si>
    <r>
      <rPr>
        <b/>
        <sz val="10"/>
        <color rgb="FF000000"/>
        <rFont val="Arial"/>
      </rPr>
      <t xml:space="preserve">• FGB - EM13CHS202: </t>
    </r>
    <r>
      <rPr>
        <sz val="10"/>
        <color rgb="FF000000"/>
        <rFont val="Arial"/>
      </rPr>
      <t xml:space="preserve">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t>
    </r>
    <r>
      <rPr>
        <b/>
        <sz val="10"/>
        <color rgb="FF000000"/>
        <rFont val="Arial"/>
      </rPr>
      <t xml:space="preserve">• IFA - CHS OA 5: </t>
    </r>
    <r>
      <rPr>
        <sz val="10"/>
        <color rgb="FF000000"/>
        <rFont val="Arial"/>
      </rPr>
      <t>Analisar criticamente as influências da globalização e da mundialização nas juventudes, avaliando como esses processos impactam diferentes contextos sociais, econômicos e culturais e as oportunidades e desafios no mundo do trabalho.</t>
    </r>
  </si>
  <si>
    <t>Globalização, redes e política: análise de situações na perspectiva de Castells</t>
  </si>
  <si>
    <t>• Aplicar os conceitos de Castells para analisar como movimentos sociais usam redes digitais e como o poder se organiza em torno do controle da informação.
• Avaliar como as transformações tecnológicas impactam os processos políticos no contexto da globalização.</t>
  </si>
  <si>
    <t>Pensar sociologicamente.</t>
  </si>
  <si>
    <r>
      <rPr>
        <b/>
        <sz val="10"/>
        <color rgb="FF000000"/>
        <rFont val="Arial"/>
      </rPr>
      <t xml:space="preserve">• FGB - EM13CHS103: </t>
    </r>
    <r>
      <rPr>
        <sz val="10"/>
        <color rgb="FF000000"/>
        <rFont val="Arial"/>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t>
    </r>
    <r>
      <rPr>
        <b/>
        <sz val="10"/>
        <color rgb="FF000000"/>
        <rFont val="Arial"/>
      </rPr>
      <t xml:space="preserve">• IFA - CHS OA 1: </t>
    </r>
    <r>
      <rPr>
        <sz val="10"/>
        <color rgb="FF000000"/>
        <rFont val="Arial"/>
      </rPr>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r>
  </si>
  <si>
    <t>Pensamento sociológico e as transformações tecnológicas e sociais contemporâneas.</t>
  </si>
  <si>
    <t>Sociologia e as transformações tecnológicas e sociais na contemporaneidade</t>
  </si>
  <si>
    <t>• Síntese do pensamento sociológico contemporâneo sobre as transformações tecnológicas e sociais contemporâneas.
• Resolução de questões sobre transformações tecnológicas e sociais contemporâneas.</t>
  </si>
  <si>
    <t>• Consolidar os conteúdos desenvolvidos ao longo do bimestre sobre as transformações tecnológicas e sociais e suas problemáticas na contemporaneidade na perspectiva dos autores contemporâneos da sociologia.
• Aplicar as perspectivas de análise à resolução de questões de ENEM, UNICAMP, FUVEST.</t>
  </si>
  <si>
    <t>Pensamento sociológico e as transformações tecnológicas e sociais contemporâneas</t>
  </si>
  <si>
    <r>
      <rPr>
        <b/>
        <sz val="10"/>
        <color rgb="FF000000"/>
        <rFont val="Arial"/>
      </rPr>
      <t xml:space="preserve">• FGB - EM13CHS103: </t>
    </r>
    <r>
      <rPr>
        <sz val="10"/>
        <color rgb="FF000000"/>
        <rFont val="Arial"/>
      </rPr>
      <t xml:space="preserve">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t>
    </r>
    <r>
      <rPr>
        <b/>
        <sz val="10"/>
        <color rgb="FF000000"/>
        <rFont val="Arial"/>
      </rPr>
      <t xml:space="preserve">• IFA - CHS OA 1: </t>
    </r>
    <r>
      <rPr>
        <sz val="10"/>
        <color rgb="FF000000"/>
        <rFont val="Arial"/>
      </rPr>
      <t>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r>
  </si>
  <si>
    <t>Praticando sociologia: analisando as mudanças sociais na contemporaneidade.</t>
  </si>
  <si>
    <t>Pensar sociologicamente. as mudanças sociais contemporâneas</t>
  </si>
  <si>
    <t>Produzir texto dissertativo-argumentativo aplicando conceitos, ideais e teorias estudados no bimestre para elaborar hipóteses, selecionar evidências e compor argumentos relativos às mudanças sociais na contemporaneidade.</t>
  </si>
  <si>
    <t>Mediação e Intervenção Sociocultural</t>
  </si>
  <si>
    <t>Problemáticas brasileiras</t>
  </si>
  <si>
    <t>• FGB - EM13CHS602: Identificar e caracterizar a presença do paternalismo, do autoritarismo e do populismo na política, na sociedade e nas culturas brasileira e latino-americana, em períodos ditatoriais e democráticos, relacionando-os às formas de organização e de articulação das sociedades em defesa da autonomia, da liberdade, do diálogo e da promoção da democracia, da cidadania e dos direitos humanos na sociedade atual.
• IFA - CHS OA 4: Analisar criticamente as desigualdades históricas e estruturais que impactam diferentes grupos sociais, compreendendo os mecanismos de exclusão e os desafios enfrentados pelas minorias na luta por direitos e transformações sociais.</t>
  </si>
  <si>
    <t>A ideia de "Brasil Moderno" na perspectiva da Sociologia Crítica brasileira</t>
  </si>
  <si>
    <t>A formação da sociedade brasileira: entre o arcaico e o moderno</t>
  </si>
  <si>
    <t>• Sérgio Buarque de Holanda: o homem cordial e o patrimonialismo.
• A permanência de estruturas coloniais na modernização brasileira.</t>
  </si>
  <si>
    <t xml:space="preserve">• Compreender a interpretação de Sérgio Buarque de Holanda sobre a formação do Brasil.
• Analisar o conceito de “homem cordial” e suas implicações políticas e sociais.
• Relacionar heranças históricas à organização do Estado e da vida pública no Brasil.
</t>
  </si>
  <si>
    <t>A ideia de Brasil moderno</t>
  </si>
  <si>
    <t>Problemáticas brasileiras.</t>
  </si>
  <si>
    <t>A "modernização conservadora" no Brasil</t>
  </si>
  <si>
    <t>• O Estado e a modernização conservadora no Brasil, segundo Octavio Ianni.
• O modelo de Estado Capitalista Autoritário: regime militar, desenvolvimento e "milagre econômico".</t>
  </si>
  <si>
    <t xml:space="preserve">• Compreender o conceito de modernização na obra de Octavio Ianni.
• Analisar a modernização brasileira como um processo desigual, dependente e excludente.
• Relacionar a teoria sociológica com a realidade social brasileira contemporânea.
</t>
  </si>
  <si>
    <t>Estado, democracia e modernização conservadora no Brasil</t>
  </si>
  <si>
    <t>• A formação da burguesia dependente no Brasil.
A modernização autoritária e o pacto das elites, segundo Florestan Fernandes.
• A crítica à democracia excludente e à modernização conservadora.</t>
  </si>
  <si>
    <t xml:space="preserve">• Compreender como Florestan Fernandes analisou a formação do Estado brasileiro.
• Entender o conceito de modernização conservadora em sua relação com a democracia.
• Analisar os limites da democracia brasileira a partir da sociologia crítica.
</t>
  </si>
  <si>
    <t>O Brasil é moderno? A perspectiva crítica da sociologia brasileira</t>
  </si>
  <si>
    <t>Síntese do pensamento crítico sobre o processo de modernização no Brasil.</t>
  </si>
  <si>
    <t xml:space="preserve">• Comparar diferentes interpretações sociológicas sobre a formação e a modernização do Brasil.
• Analisar criticamente a noção de “modernidade” no contexto brasileiro.
• Desenvolver argumentação sociológica a partir do trabalho colaborativo.
</t>
  </si>
  <si>
    <t>• FGB - EM13CHS205: Analisar a produção de diferentes territorialidades em suas dimensões culturais, econômicas, ambientais, políticas e sociais, no Brasil e no mundo contemporâneo, com destaque para as culturas juvenis.
• IFA - CHS OA 4: Analisar criticamente as desigualdades históricas e estruturais que impactam diferentes grupos sociais, compreendendo os mecanismos de exclusão e os desafios enfrentados pelas minorias na luta por direitos e transformações sociais.</t>
  </si>
  <si>
    <t>Questão rural no Brasil.</t>
  </si>
  <si>
    <t>A questão rural: Estrutura fundiária, modernização conservadora e poder no campo</t>
  </si>
  <si>
    <t>• Concentração fundiária e poder no campo: o coronelismo.
• Modernização conservadora do campo.</t>
  </si>
  <si>
    <t>• Analisar como a concentração fundiária se articula com as relações de poder político no campo, destacando o papel do coronelismo e das oligarquias rurais na consolidação do poder local.
• Reconhecer o conceito de modernização conservadora do campo, avaliando como a introdução de tecnologias agrícolas e políticas de desenvolvimento manteve, em muitos casos, a estrutura desigual de posse da terra.</t>
  </si>
  <si>
    <t>A questão rural</t>
  </si>
  <si>
    <t>• FGB - EM13CHS403: Caracterizar e analisar os impactos das transformações tecnológicas nas relações sociais e de trabalho próprias da contemporaneidade, promovendo ações voltadas à superação das desigualdades sociais, da opressão e da violação dos Direitos Humanos.
• IFA - CHS OA 4: Analisar criticamente as desigualdades históricas e estruturais que impactam diferentes grupos sociais, compreendendo os mecanismos de exclusão e os desafios enfrentados pelas minorias na luta por direitos e transformações sociais.</t>
  </si>
  <si>
    <t>Transformação no campo e impactos sociais</t>
  </si>
  <si>
    <t>• Modernização tecnológica do campo
• Expansão do agronegócio e inserção nos mercados globais.
• Impactos sobre pequenos agricultores e seus modos de vida.</t>
  </si>
  <si>
    <t>• Analisar os efeitos sociais e culturais da modernização rural.
• Compreender o êxodo rural e as mudanças nos modos de vida.
• Valorizar a diversidade cultural do campo.</t>
  </si>
  <si>
    <t>Trabalho rural e relações de produção</t>
  </si>
  <si>
    <t>• Trabalho rural familiar, assalariado, temporário ou informal.
• Associativismo, cooperativismo e empreendimento solidários no meio rural.
• Condições precárias e situações de trabalho análogo à escravidão no meio rural.</t>
  </si>
  <si>
    <t xml:space="preserve">• Compreender as formas de trabalho no campo brasileiro.
• Analisar desigualdades e precarizações.
• Identificar alternativas produtivas dos trabalhadores rurais.
</t>
  </si>
  <si>
    <t>• FGB - EM13CHS401: 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
• IFA - CHS OA 4: Analisar as contribuições de movimentos sociais e grupos historicamente marginalizados, como povos originários, quilombolas, negros, mulheres, refugiados e da população LGBTQIAPN+, analisando suas pautas e reivindicações sociais e seus impactos na construção de uma sociedade mais justa e equitativa.</t>
  </si>
  <si>
    <t>Direito à terra e movimentos sociais do campo</t>
  </si>
  <si>
    <t>• Conflitos e resistências no campo.
• Movimentos de trabalhadores e produtores rurais no Brasil: pautas e reivindicações.</t>
  </si>
  <si>
    <t xml:space="preserve">• Compreender a atuação dos movimentos sociais do campo.
• Relacionar luta pela terra, cidadania e democracia.
• Reconhecer o campo como espaço de ação política.
</t>
  </si>
  <si>
    <t>• FGB - EM13CHS401: 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
• IFA - CHS OA 4: Analisar criticamente as desigualdades históricas e estruturais que impactam diferentes grupos sociais, compreendendo os mecanismos de exclusão e os desafios enfrentados pelas minorias na luta por direitos e transformações sociais.</t>
  </si>
  <si>
    <t>Questão urbana no Brasil.</t>
  </si>
  <si>
    <t>A questão urbana: urbanização e desigualdade socioespacial</t>
  </si>
  <si>
    <t>• O processo de urbanização e crescimento rápido e desordenado das cidades.
• Formação de áreas precárias em infraestrutura urbana e serviços públicos.
• Espoliação urbana e processo de gentrificação.</t>
  </si>
  <si>
    <t xml:space="preserve">• Compreender o conceito de espoliação urbana.
• Analisar o processo de gentrificação nas cidades brasileiras.
• Identificar como o espaço urbano é produzido de forma desigual.
</t>
  </si>
  <si>
    <t>A questão urbana</t>
  </si>
  <si>
    <t>• FGB - EM13CHS503: 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
• IFA - CHS OA 4: Analisar criticamente as desigualdades históricas e estruturais que impactam diferentes grupos sociais, compreendendo os mecanismos de exclusão e os desafios enfrentados pelas minorias na luta por direitos e transformações sociais.</t>
  </si>
  <si>
    <t>Violência urbana e segurança pública</t>
  </si>
  <si>
    <t>• Violência urbana: características e dimensões.
• A relação entre segregação socioespacial e produção da violência.</t>
  </si>
  <si>
    <t>•Analisar a violência urbana no Brasil como fenômeno social, reconhecendo suas diferentes causas e formas de manifestação.
• Relacionar a segregação socioespacial à violência, identificando como a exclusão territorial, a falta de direitos e a marginalização de grupos reforçam esse processo.</t>
  </si>
  <si>
    <t>• FGB - EM13CHS404: 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
• IFA - CHS OA 4: Analisar criticamente as desigualdades históricas e estruturais que impactam diferentes grupos sociais, compreendendo os mecanismos de exclusão e os desafios enfrentados pelas minorias na luta por direitos e transformações sociais.</t>
  </si>
  <si>
    <t>Trabalho e qualidade de vida na cidade</t>
  </si>
  <si>
    <t>• Informalidade: dimensão estrutural da economia urbana no Brasil.
• Trabalho, moradia e mobilidade nos centros urbanos: a qualidade de vida do trabalhador da economia urbana informal.</t>
  </si>
  <si>
    <t xml:space="preserve">• Compreender a economia urbana para além do setor formal.
• Analisar a informalidade como precarização e estratégia de sobrevivência.
• Relacionar trabalho urbano, desigualdade e direitos.
</t>
  </si>
  <si>
    <t>Direito à cidade e movimentos sociais urbanos</t>
  </si>
  <si>
    <t>• "Direito à Cidade".
• Movimentos sociais urbanos (moradia, transporte público, cicloativistas, meio ambiente urbano etc.).</t>
  </si>
  <si>
    <t xml:space="preserve">• Compreender o conceito de direito à cidade (Henri Lefebvre).
• Analisar a atuação dos movimentos sociais urbanos.
• Relacionar cidade, cidadania e democracia.
</t>
  </si>
  <si>
    <t>• FGB - EM13CHS104: Analisar objetos e vestígios da cultura material e imaterial de modo a identificar conhecimentos, valores, crenças e práticas que caracterizam a identidade e a diversidade cultural de diferentes sociedades inseridas no tempo e no espaço.
• IFA - CHS OA 4: Analisar criticamente as desigualdades históricas e estruturais que impactam diferentes grupos sociais, compreendendo os mecanismos de exclusão e os desafios enfrentados pelas minorias na luta por direitos e transformações sociais.</t>
  </si>
  <si>
    <t>Questão indígena no Brasil.</t>
  </si>
  <si>
    <t>A questão indígena: culturas e modos de conhecer o mundo dos povos originários</t>
  </si>
  <si>
    <t>• Etnias indígenas no Brasil.
• Cosmologias indígenas: formas de conhecer e habitar o mundo.
• Efeitos da colonização: etnocentrismo, aculturação e assimilação cultural.</t>
  </si>
  <si>
    <t>• Compreender a diversidade dos povos indígenas no Brasil.
• Conhecer formas indígenas de interpretar e habitar o mundo.
• Analisar os impactos da colonização sobre as culturas indígenas.</t>
  </si>
  <si>
    <t>Territórios, identidades e modos de vida dos povos originários</t>
  </si>
  <si>
    <t>• A relação entre território e povos indígenas na construção de suas identidades, espiritualidades e modos de vida.
• Impactos socioambientais de práticas e atividades econômicas nos territórios indígenas.
• Conflitos nos territórios tradicionais dos povos indígenas no Brasil.</t>
  </si>
  <si>
    <t>• Compreender a relação entre território e identidade dos povos indígenas.
• Analisar os impactos socioambientais de atividades econômicas nos territórios indígenas.
• Discutir conflitos envolvendo terras e direitos dos povos originários no Brasil.</t>
  </si>
  <si>
    <t>• FGB - EM13CHS503: 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 
• IFA - CHS OA 4: Analisar criticamente as desigualdades históricas e estruturais que impactam diferentes grupos sociais, compreendendo os mecanismos de exclusão e os desafios enfrentados pelas minorias na luta por direitos e transformações sociais.</t>
  </si>
  <si>
    <t>Violências contra os povos indígenas</t>
  </si>
  <si>
    <t>Formas de violência contra os povos indígenas: física, estrutural e simbólica.</t>
  </si>
  <si>
    <t>• Identificar diferentes formas de violência sofridas pelos povos indígenas.
• Analisar como a violência pode ocorrer também de forma estrutural e simbólica.
• Desenvolver reflexão crítica sobre desigualdades e direitos dos povos originários.</t>
  </si>
  <si>
    <t>• FGB - EM13CHS601: Identificar e analisar as demandas e os protagonismos políticos, sociais e culturais dos povos indígenas e das populações afrodescendentes (incluindo os quilombolas) no Brasil contemporâneo considerando a história das Américas e o contexto de exclusão e inclusão precária desses grupos na ordem social e econômica atual, promovendo ações para a redução das desigualdades étnico-raciais no país.
• IFA - CHS OA 4: Analisar as contribuições de movimentos sociais e grupos historicamente marginalizados, como povos originários, quilombolas, negros, mulheres, refugiados e da população LGBTQIAPN+, analisando suas pautas e reivindicações sociais e seus impactos na construção de uma sociedade mais justa e equitativa.</t>
  </si>
  <si>
    <t>Povos indígenas, direitos humanos e cidadania</t>
  </si>
  <si>
    <t>• Movimentos indígenas no Brasil e suas pautas.
• Políticas públicas no Brasil (equidade étnico-racial, combate à violência contra os povos indígenas, demarcação territorial etc.).</t>
  </si>
  <si>
    <t>• Compreender os direitos dos povos indígenas no Brasil.
• Analisar o papel dos movimentos e lideranças indígenas na luta por direitos.
• Refletir sobre cidadania, participação política e políticas públicas voltadas aos povos originários.</t>
  </si>
  <si>
    <t>Questão negra no Brasil.</t>
  </si>
  <si>
    <t>A questão negra: as relações raciais no Brasil</t>
  </si>
  <si>
    <t>• Integração do negro na sociedade de classes, segundo Florestan Fernandes;
• O mito da democracia racial;
• A dimensão estrutural do racismo no Brasil.</t>
  </si>
  <si>
    <t>• Compreender como a Sociologia analisa as relações raciais no Brasil.
• Conhecer a interpretação de Florestan Fernandes sobre a integração do negro na sociedade de classes.
• Discutir o mito da democracia racial e a dimensão estrutural do racismo.</t>
  </si>
  <si>
    <t>• FGB - EM13CHS502: Analisar situações da vida cotidiana, estilos de vida, valores, condutas etc., desnaturalizando e problematizando formas de desigualdade, preconceito, intolerância e discriminação, e identificar ações que promovam os Direitos Humanos, a solidariedade e o respeito às diferenças e às liberdades individuais.
• IFA - CHS OA 4: Analisar criticamente as desigualdades históricas e estruturais que impactam diferentes grupos sociais, compreendendo os mecanismos de exclusão e os desafios enfrentados pelas minorias na luta por direitos e transformações sociais.</t>
  </si>
  <si>
    <t>Racismos e violências contra a população negra</t>
  </si>
  <si>
    <t>• Racismos: estrutural, institucional, cultural, simbólico etc.
• Violências contra pessoas negras no Brasil.</t>
  </si>
  <si>
    <t>• Compreender diferentes formas de racismo presentes na sociedade brasileira.
• Analisar como o racismo pode aparecer em instituições, estruturas sociais e representações culturais.
• Identificar as diversas formas de violência contra a população negra, especialmente a violência simbólica.</t>
  </si>
  <si>
    <t>Negritude: cultura, identidade e resistência</t>
  </si>
  <si>
    <t>• O conceito de negritude e seu desenvolvimento no Brasil
• O negro como sujeito histórico.
• O pensamento social negro no Brasil e suas contribuições para a valorização da cultura e da identidade negras.</t>
  </si>
  <si>
    <t>• Compreender o conceito de negritude.
• Analisar o protagonismo histórico da população negra.
• Reconhecer a valorização da cultura e do pensamento negro no Brasil.</t>
  </si>
  <si>
    <t>Quilombolas: modos de vida, resistência e luta por direitos</t>
  </si>
  <si>
    <t>• Comunidade quilombolas no Brasil
• Modos de vida tradicionais e formas de organização social quilombola
• Cidadania e direitos das comunidades quilombolas</t>
  </si>
  <si>
    <t>• Compreender quem são os povos quilombolas.
• Analisar os modos de vida e as formas de organização dessas comunidades.
• Discutir as lutas históricas e atuais por reconhecimento e direitos.</t>
  </si>
  <si>
    <t>Questão de gênero no Brasil.</t>
  </si>
  <si>
    <t>A questão de gênero</t>
  </si>
  <si>
    <t>• Diferença entre gênero e sexualidade.
• Identidades de gênero e orientações sexuais.
• Transformações nos padrões de feminilidade e masculinidade.</t>
  </si>
  <si>
    <t>• Compreender a perspectiva sociológica sobre gênero e sexualidade.
• Analisar a relação entre gênero, identidade e sexualidade.
• Refletir sobre as transformações nos padrões de feminilidade e masculinidade na sociedade contemporânea..</t>
  </si>
  <si>
    <t>Violências de gênero e sexualidade</t>
  </si>
  <si>
    <t>• Heteronormatividade: a heterossexualidade como norma.
• Consequências da heteronormatividade: Marginalização e violência de outras expressões e identidades sexuais.</t>
  </si>
  <si>
    <t>• Compreender como a Sociologia analisa as violências relacionadas ao gênero e à sexualidade.
• Discutir o conceito de heteronormatividade.
• Refletir sobre processos de marginalização e discriminação de identidades e expressões sexuais diversas.</t>
  </si>
  <si>
    <t>Gênero e interseccionalidade</t>
  </si>
  <si>
    <t>• Definição de interseccionalidade.
• Estratificação de gênero, sexualidade, raça, classe etc.</t>
  </si>
  <si>
    <t xml:space="preserve">• Compreender o conceito de interseccionalidade.
• Analisar como diferentes marcadores sociais influenciam as desigualdades.
• Refletir sobre como gênero, raça, classe e sexualidade se articulam nas experiências sociais.
</t>
  </si>
  <si>
    <t>Gênero e cidadania</t>
  </si>
  <si>
    <t>• Movimentos sociais de mulheres e da população LGBTQIA+.
• Pautas de direitos e participação política das mulheres e da população LGBTQIA+
• Políticas públicas no Brasil (equidade de gênero, combate à violência de gênero, direitos das pessoas trans etc.).</t>
  </si>
  <si>
    <t>• Compreender o papel dos movimentos sociais de mulheres e da população LGBTQIA+.
• Analisar suas pautas de direitos e participação política.
• Refletir sobre a relação entre movimentos sociais, cidadania e democracia.</t>
  </si>
  <si>
    <t>EIXOS</t>
  </si>
  <si>
    <t xml:space="preserve">Ensino Médio </t>
  </si>
  <si>
    <t>2ª</t>
  </si>
  <si>
    <t>1º</t>
  </si>
  <si>
    <t>III (Inovação e Intervenção Tecnológica).</t>
  </si>
  <si>
    <t>Introdução às Mídias Digitais</t>
  </si>
  <si>
    <t>Reconhecer as relações entre linguagem, tecnologia e cultura, analisando como diferentes mídias e plataformas digitais influenciam os processos de comunicação e criação no mundo contemporâneo.</t>
  </si>
  <si>
    <t>Mídias Digitais.</t>
  </si>
  <si>
    <t>O que são as mídias? Do tradicional ao digital</t>
  </si>
  <si>
    <t xml:space="preserve">• Apresentação do componente e organização do ano letivo.
• Introdução e diferenciação entre mídias tradicionais e digitais. </t>
  </si>
  <si>
    <t>• Apresentar o componente de Arte e Mídias Digitais em 2026.
• Compreender o conceito de mídias digitais, identificando suas principais características e diferenças em relação às mídias tradicionais.</t>
  </si>
  <si>
    <t>• III (Inovação e Intervenção Tecnológica).
• IV (Mundo do Trabalho e Transformação Social).</t>
  </si>
  <si>
    <t>(EM13CO09) Identificar tecnologias digitais, sua presença e formas de uso, nas diferentes atividades no mundo do trabalho.
Reconhecer as relações entre linguagem, tecnologia e cultura, analisando como diferentes mídias e plataformas digitais influenciam os processos de comunicação e criação no mundo contemporâneo.</t>
  </si>
  <si>
    <t>Mídias Digitais no Mundo do Trabalho.</t>
  </si>
  <si>
    <t>Carreiras em mídias digitais: o uso de IA e seus desafios</t>
  </si>
  <si>
    <t>Panorama de profissões e áreas de atuação em mídias digitais e impacto da IA nas carreiras.</t>
  </si>
  <si>
    <t>• Explorar as diferentes áreas profissionais ligadas às mídias digitais.
• Conhecer possibilidades de atuação profissional em mídias e como a IA afeta ou transforma essas carreiras.</t>
  </si>
  <si>
    <t>• I (Método, Conhecimento e Ciência).
• III (Inovação e Intervenção Tecnológica)</t>
  </si>
  <si>
    <t>Arte Digital</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</si>
  <si>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t>
  </si>
  <si>
    <t>Pixel Art.</t>
  </si>
  <si>
    <t>Storytelling visual: como contar histórias com imagens</t>
  </si>
  <si>
    <t>• Fundamentos do arco narrativo (situação inicial, conflito, clímax, desenlace e desfecho).
• Elementos da narrativa visual: narrador, personagem, espaço, tempo e enredo.
• Análise de exemplos em pixel art narrativa.</t>
  </si>
  <si>
    <t>• Compreender como narrativas podem ser expressas visualmente.
• Planejar uma micro-história com elementos narrativos para desenvolver em pixel art.</t>
  </si>
  <si>
    <t>Desenvolver produções artísticas e culturais, como performances, vídeos, jogos e produções multimodais, articuladas às identidades e pluralidades dos territórios, ampliando o repertório cultural e promovendo a mediação sociocultural para contribuir com a transformação social.
(EM13CO22) Produzir e publicar conteúdo como textos, imagens, áudios, vídeos e suas associações, bem como ferramentas para sua integração, organização e apresentação, utilizando diferentes mídias digitais.</t>
  </si>
  <si>
    <t>Do roteiro ao pixel: criando personagens e cenários</t>
  </si>
  <si>
    <t>• Ambientação no Piskel App.
• Ferramentas básicas de criação em pixel art.</t>
  </si>
  <si>
    <t>• Iniciar a construção gráfica da narrativa no Piskel.
• Criar personagens, cenários e objetos em pixel art, com base no roteiro narrativo.</t>
  </si>
  <si>
    <t>Construção dos quadros narrativos em pixel art</t>
  </si>
  <si>
    <r>
      <rPr>
        <sz val="10"/>
        <color rgb="FF000000"/>
        <rFont val="Arial"/>
      </rPr>
      <t>• Sequência visual e construção de narrativa.
• Composição de quadros narrativos (</t>
    </r>
    <r>
      <rPr>
        <i/>
        <sz val="10"/>
        <color rgb="FF000000"/>
        <rFont val="Arial"/>
      </rPr>
      <t>sprites</t>
    </r>
    <r>
      <rPr>
        <sz val="10"/>
        <color rgb="FF000000"/>
        <rFont val="Arial"/>
      </rPr>
      <t xml:space="preserve"> ou cenas únicas).</t>
    </r>
  </si>
  <si>
    <t>• Criar a sequência narrativa visual com quadros autorais.
• Garantir continuidade estética e coerência narrativa na construção em pixel art.</t>
  </si>
  <si>
    <t>Animação e refinamento: da imagem ao movimento</t>
  </si>
  <si>
    <t>Finalização e refinamento da narrativa visual.</t>
  </si>
  <si>
    <t>• Aplicar princípios básicos de animação em pixel art.
• Finalizar os quadros da narrativa.</t>
  </si>
  <si>
    <t>Explorar as tecnologias emergentes, como inteligência artificial e narrativas digitais e participar da criação de experiências interativas e na experimentação de novas formas de expressão e produção cultural, promovendo a democratização do acesso aos bens culturais e à informação.
(EM13CO10) Conhecer os fundamentos da Inteligência Artificial, comparando-a com a inteligência humana, analisando suas potencialidades, riscos e limites.</t>
  </si>
  <si>
    <t>IA em arte digital.</t>
  </si>
  <si>
    <t>Uso de IA na arte digital</t>
  </si>
  <si>
    <t>• Discussão sobre a ética do uso de IA em produções artísticas.
• Criação de arte por IA e respectiva análise do produto gerado.</t>
  </si>
  <si>
    <t>Analisar e experimentar a criação de arte digital assistida por inteligência artificial.</t>
  </si>
  <si>
    <t>2º</t>
  </si>
  <si>
    <t>Design gráfico</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</si>
  <si>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(EM13CO09) Identificar tecnologias digitais, sua presença e formas de uso, nas diferentes atividades no mundo do trabalho.</t>
  </si>
  <si>
    <t>Introdução ao Design Gráfico.</t>
  </si>
  <si>
    <t>Desvendando o design gráfico</t>
  </si>
  <si>
    <t>Definição, referências e carreiras no design gráfico.</t>
  </si>
  <si>
    <t>• Compreender o que é design gráfico e suas aplicações.
• Identificar oportunidades de carreira na área.</t>
  </si>
  <si>
    <t>• I (Método, Conhecimento e Ciência).
• III (Inovação e Intervenção Tecnológica).</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</si>
  <si>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EM13CO22 – Produzir e publicar conteúdo como textos, imagens, áudios, vídeos e suas associações, bem como ferramentas para sua integração, organização e apresentação, utilizando diferentes mídias digitais.</t>
  </si>
  <si>
    <t>Princípios do Design.</t>
  </si>
  <si>
    <t>As cores e formas falam: os segredos do design</t>
  </si>
  <si>
    <t>• Fundamentos visuais essenciais – cor e tipografia.
• Composição e mensagem para o público-alvo.</t>
  </si>
  <si>
    <t>• Reconhecer e aplicar os princípios básicos de cor e tipografia em projetos visuais.
• Organizar elementos visuais de forma a gerar clareza, hierarquia e apelo estético para diferentes públicos.</t>
  </si>
  <si>
    <t xml:space="preserve">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EM13CO21 – Comunicar ideias complexas de forma clara por meio de objetos digitais como mapas conceituais, infográficos, hipertextos e outros.</t>
  </si>
  <si>
    <t>Identidade Visual.</t>
  </si>
  <si>
    <t>Conceituação de Identidade Visual</t>
  </si>
  <si>
    <t>• Definição dos elementos visuais que representam uma marca ou projeto.
• Apresentação de referências de identidade visual.</t>
  </si>
  <si>
    <t>• Compreender a importância e os componentes de uma identidade visual.
• Inspirar-se em exemplos existentes para conceituar suas próprias identidades.</t>
  </si>
  <si>
    <t>Criar produções artísticas e culturais a partir de diferentes linguagens e suportes, mobilizando referências estéticas, históricas e identitárias na promoção de equidade, justiça social e valorização da diversidade cultural e dos Direitos Humanos;
EM13CO22 – Produzir e publicar conteúdo como textos, imagens, áudios, vídeos e suas associações, bem como ferramentas para sua integração, organização e apresentação, utilizando diferentes mídias digitais.</t>
  </si>
  <si>
    <t>Produção do branding kit.</t>
  </si>
  <si>
    <t xml:space="preserve">Sua marca, sua cara: criando uma identidade visual </t>
  </si>
  <si>
    <t>• Discussão sobre o projeto.
• Produção de um branding kit.</t>
  </si>
  <si>
    <t>• Estruturar o planejamento para a criação de um kit de identidade visual.
• Iniciar a produção dos primeiros elementos do kit, seguindo orientações.</t>
  </si>
  <si>
    <t>Desenvolvendo seu branding kit</t>
  </si>
  <si>
    <t>• Continuação das aulas práticas para desenvolvimento do kit.
• Exemplos e direcionamentos adicionais para aprimorar a produção.</t>
  </si>
  <si>
    <t>• Desenvolver e refinar os elementos visuais do kit.
• Aplicar as ferramentas e conceitos aprendidos na prática.</t>
  </si>
  <si>
    <t>Criar produções artísticas e culturais a partir de diferentes linguagens e suportes, mobilizando referências estéticas, históricas e identitárias na promoção de equidade, justiça social e valorização da diversidade cultural e dos Direitos Humanos;
EM13CO19 – Expor, argumentar e negociar propostas, produtos e serviços, utilizando diferentes mídias e ferramentas digitais.</t>
  </si>
  <si>
    <t>Apresentando seu branding kit</t>
  </si>
  <si>
    <t>• Finalização das aulas práticas para desenvolvimento do kit.
• Compartilhamento e apresentação do kit.</t>
  </si>
  <si>
    <t>• Concluir o projeto do kit de marca.
• Apresentar e divulgar o trabalho para a turma/escola.</t>
  </si>
  <si>
    <t>X</t>
  </si>
  <si>
    <t>I (Método, Conhecimento e Ciência).
III (Inovação e Intervenção Tecnológica).</t>
  </si>
  <si>
    <t>Explorar as tecnologias emergentes, como inteligência artificial e narrativas digitais e participar da criação de experiências interativas e na experimentação de novas formas de expressão e produção cultural, promovendo a democratização do acesso aos bens culturais e à informação.
(EM13CO10) Conhecer os fundamentos da Inteligência Artificial,
comparando-a com a inteligência humana, analisando suas
potencialidades, riscos e limites.</t>
  </si>
  <si>
    <t>IA no Design Gráfico.</t>
  </si>
  <si>
    <t>A Inteligência Artificial no Design Gráfico - Aula Complementar</t>
  </si>
  <si>
    <t>• Exploração do uso da IA em processos de design gráfico.
• Análise crítica de produções de IA em design.</t>
  </si>
  <si>
    <t>• Entender como a IA pode ser aplicada e auxiliar o trabalho do designer.
• Desenvolver senso crítico na avaliação de conteúdos gerados por IA.</t>
  </si>
  <si>
    <t>Audiovisual</t>
  </si>
  <si>
    <t>Introdução às Mídias de Áudio.</t>
  </si>
  <si>
    <t>O poder do áudio na comunicação</t>
  </si>
  <si>
    <t>• Tipos e funções das mídias de áudio.
• Elementos expressivos do som (voz, timbres, efeitos).</t>
  </si>
  <si>
    <t>• Compreender o papel comunicativo do áudio.
• Explorar formas criativas de contar histórias apenas com sons.</t>
  </si>
  <si>
    <t>I (Método, Conhecimento e Ciência).</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</si>
  <si>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(EM13CO21) Comunicar ideias complexas de forma clara por meio de objetos digitais como mapas conceituais, infográficos, hipertextos e outros.</t>
  </si>
  <si>
    <t>Podcast.</t>
  </si>
  <si>
    <t>Como escrever um roteiro para áudio?</t>
  </si>
  <si>
    <t>• Estrutura do roteiro para podcast e outras mídias sonoras.
• Técnicas de organização e progressão de ideias auditivas.</t>
  </si>
  <si>
    <t>• Elaborar roteiros para podcast em temas escolhidos pelos estudantes.
• Aplicar linguagem adequada para narrativas voltadas ao som.</t>
  </si>
  <si>
    <t>Criar produções artísticas e culturais a partir de diferentes linguagens e suportes, mobilizando referências estéticas, históricas e identitárias na promoção de equidade, justiça social e valorização da diversidade cultural e dos Direitos Humanos.</t>
  </si>
  <si>
    <t>Técnicas de Gravação Essenciais para Mídia Sonora</t>
  </si>
  <si>
    <t>• Técnicas básicas de gravação com microfones simples.
• Gravação do áudio para o projeto.</t>
  </si>
  <si>
    <t>• Produzir gravações com boa qualidade usando recursos disponíveis.
• Analisar os aspectos técnicos que influenciam na captação do som.</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</si>
  <si>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(EM13CO01) Explorar e construir a solução de problemas por meio da reutilização de partes de soluções existentes.</t>
  </si>
  <si>
    <t>Montando um Áudio com Edição</t>
  </si>
  <si>
    <t>• Definir e explicar as funções da edição de áudio.
• Apresentação da plataforma Audacity.</t>
  </si>
  <si>
    <t>• Compreender a função da edição na qualidade final das mídias sonoras.
• Apresentar a plataforma Audacity para edição de áudio.</t>
  </si>
  <si>
    <t>Elaborar produções textuais e multimodais em diferentes gêneros e suportes, utilizando métodos investigativos e analíticos para articular conhecimentos interdisciplinares, valorizando a diversidade cultural, a acessibilidade e a transformação social nos territórios.</t>
  </si>
  <si>
    <t>Editando e Tratando Áudio</t>
  </si>
  <si>
    <t>• Corte, sobreposição, inserção de trilha e efeitos simples.
• Utilização de ferramentas como Audacity.</t>
  </si>
  <si>
    <t>• ditar gravações sonoras de forma criativa e clara.
• Utilizar a plataforma Audacity em produções autorais.</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</si>
  <si>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(EM13CO22) Produzir e publicar conteúdo como textos, imagens, áudios, vídeos e suas associações, bem como ferramentas para sua integração, organização e apresentação, utilizando diferentes mídias digitais.</t>
  </si>
  <si>
    <t>Apresentação.</t>
  </si>
  <si>
    <t>Fechando a Produção Sonora</t>
  </si>
  <si>
    <t>• Revisão e finalização de pílulas sonoras.
• Preparação para apresentação em grupo.</t>
  </si>
  <si>
    <t>Apresentar e argumentar sobre o processo de criação com os colegas.</t>
  </si>
  <si>
    <t>4º</t>
  </si>
  <si>
    <t>Criação e difusão de conteúdos digitais</t>
  </si>
  <si>
    <t>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t>
  </si>
  <si>
    <t>Divulgação Científica.</t>
  </si>
  <si>
    <t>Divulgação científica como linguagem midiática</t>
  </si>
  <si>
    <t>• Conceitos fundamentais da divulgação científica.
• Estudo de casos e exemplos de divulgação científica na mídia (TV, rádio, internet, redes sociais).</t>
  </si>
  <si>
    <t>• Compreender a importância da divulgação científica na sociedade contemporânea.
• Analisar o impacto das diferentes formas de divulgação científica no público.</t>
  </si>
  <si>
    <t>Divulgação Científica: Da Ideia à Roteirização</t>
  </si>
  <si>
    <t>• Estratégias de divulgação científica.
• Início da roteirização audiovisual.</t>
  </si>
  <si>
    <t>• Explorar estratégias narrativas e visuais para comunicar ciência.
• Iniciar a criação de roteiros para vídeos de divulgação científica.</t>
  </si>
  <si>
    <t>Divulgação Científica: Roteirização e Planejamento de Gravação</t>
  </si>
  <si>
    <t>• Finalização e revisão do roteiro para projetos de divulgação científica.
• Planejamento detalhado da gravação: cronograma, equipamentos, locações.</t>
  </si>
  <si>
    <t>• Concluir a roteirização, garantindo clareza, concisão e apelo para o público.
• Elaborar um plano de gravação eficiente e realista para a produção audiovisual.</t>
  </si>
  <si>
    <t>Gravação: luz, câmera e ação!</t>
  </si>
  <si>
    <t>• Produção audiovisual.
• Gravação com apoio de ferramentas digitais.</t>
  </si>
  <si>
    <t>• Realizar a gravação dos vídeos de divulgação científica.
• Experimentar recursos digitais e IA no processo de produção.</t>
  </si>
  <si>
    <t>Analisar criticamente o impacto das TDICs na produção, circulação e recepção de informações, avaliando sua influência na construção do conhecimento, nas práticas sociais e no enfrentamento da desinformação
(EM13CO20) Criar conteúdos, disponibilizando-os em ambientes virtuais para publicação e compartilhamento, avaliando a confiabilidade e as consequências da disseminação dessas informações.</t>
  </si>
  <si>
    <t>Elaboração do Portfólio.</t>
  </si>
  <si>
    <t>Portfólio: Processo para Elaboração</t>
  </si>
  <si>
    <t>• Refinamento da edição.
• Curadoria de material audiovisual para criação de portfólio.</t>
  </si>
  <si>
    <t>• Finalizar a edição com foco em coesão e identidade autoral.
• Estruturar um portfólio digital que destaque as produções do aluno dentro do componente.</t>
  </si>
  <si>
    <t>Divulgação do Portfólio.</t>
  </si>
  <si>
    <t>Divulgando meu portfólio</t>
  </si>
  <si>
    <t>Estratégias de compartilhamento e difusão de vídeos em plataformas on-line.</t>
  </si>
  <si>
    <t>• Desenvolver estratégias eficazes para a divulgação on-line do portfólio.
• Publicar e apresentar os vídeos ao público escolar.</t>
  </si>
  <si>
    <t>TEMA DO BIMESTRE</t>
  </si>
  <si>
    <t>RECORTE TEMÁTICO</t>
  </si>
  <si>
    <t>ETAPA</t>
  </si>
  <si>
    <t>Inteligência Artificial e Autenticidade</t>
  </si>
  <si>
    <t>Simulações, deepfakes e o fim da verdade compartilhada</t>
  </si>
  <si>
    <t>Repertório</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</si>
  <si>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</si>
  <si>
    <t>Compreender como a inteligência artificial redefine as noções de verdade, autenticidade e representação na cultura contemporânea.</t>
  </si>
  <si>
    <t xml:space="preserve">Simulação e representação na era digital.
</t>
  </si>
  <si>
    <t>Repertório: a imagem que mente — verdade e simulação na cultura digital</t>
  </si>
  <si>
    <t>Análise de vídeos e imagens produzidos com IA generativa (deepfakes, campanhas publicitárias, memes manipulados). Discussão sobre a diferença entre “representação”, “simulação” e “falsificação”.  Conceitos de “pós-verdade” e “autenticidade” nas mídias.</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</si>
  <si>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Aplicar métodos e procedimentos científicos das Ciências Humanas para investigar, analisar e interpretar processos políticos, econômicos, sociais, ambientais e culturais, articulando diferentes perspectivas e fontes, de modo a construir argumentos, para posicionar-se de forma ética, crítica e propositiva em relação às dinâmicas da sociedade.</t>
  </si>
  <si>
    <t xml:space="preserve">
Distinguir fato, valor e opinião no discurso público.
Analisar criticamente a noção de credibilidade em contextos de pós-verdade.
</t>
  </si>
  <si>
    <t xml:space="preserve">Deepfakes e desinformação. </t>
  </si>
  <si>
    <t>Repertório: Verdade, prova e confiança na era das imagens manipuladas</t>
  </si>
  <si>
    <t xml:space="preserve">
Diferença entre fato, opinião e crença.
Impactos da inteligência artificial na credibilidade da informação.</t>
  </si>
  <si>
    <t>Estudo de caso e discussão</t>
  </si>
  <si>
    <t>Explorar as tecnologias emergentes, como inteligência artificial e narrativas digitais e participar da criação de experiências interativas e na experimentação de novas formas de expressão e produção cultural, promovendo a democratização do acesso aos bens culturais e à informação.
Analisar criticamente as desigualdades históricas e estruturais que impactam diferentes grupos sociais, compreendendo os mecanismos de exclusão e os desafios enfrentados pelas minorias na luta por direitos e transformações sociais.</t>
  </si>
  <si>
    <t>Analisar casos reais de manipulação digital e refletir sobre as implicações éticas, políticas e sociais das tecnologias de simulação.</t>
  </si>
  <si>
    <t>Relações entre representação, simulação e falsificação na cultura digital.</t>
  </si>
  <si>
    <t>Estudo de caso e discussão: quando a imagem mente — deepfakes e responsabilidade pública</t>
  </si>
  <si>
    <t>Estudo de caso sobre a produção e circulação de imagens manipuladas (deepfakes).
Discussão sobre responsabilidade pública, rastreabilidade e impactos sociais da desinformação.</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</si>
  <si>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Relacionar os resultados das análises científicas às dinâmicas sociais e culturais, avaliando os impactos políticos, econômicos e ambientais de decisões humanas e refletindo sobre sua própria atuação como agente transformador na sociedade.</t>
  </si>
  <si>
    <t xml:space="preserve">
Desenvolver posicionamentos éticos e argumentos críticos sobre credibilidade e responsabilidade no ambiente digital.</t>
  </si>
  <si>
    <t>Mediações tecnológicas e algorítmicas na construção da verdade e da credibilidade digital.</t>
  </si>
  <si>
    <t>Estudo de caso e discussão: algoritmos, crenças e a fabricação da verdade digital</t>
  </si>
  <si>
    <t>Debate sobre a influência dos algoritmos na construção da verdade e da credibilidade.
Reflexão ética sobre curadoria informacional e autonomia crítica do usuário.</t>
  </si>
  <si>
    <t>Produção</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</si>
  <si>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</si>
  <si>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Compreender a estrutura e as estratégias argumentativas do gênero editorial, aplicando-as à discussão sobre verdade e simulação na era digital.</t>
  </si>
  <si>
    <t>Estrutura do editorial: tese, desenvolvimento e conclusão propositiva.</t>
  </si>
  <si>
    <t>Oficina de escrita: o editorial analítico e a autencidade em tempos de IA</t>
  </si>
  <si>
    <t>Leitura guiada de editoriais e colunas de opinião (como El País, Nexo, Le Monde Diplomatique) sobre IA, desinformação e ética digital. Identificação da estrutura composicional, dos tipos de argumento e da construção de autoridade discursiva.</t>
  </si>
  <si>
    <t>Produzir textos orais, escritos e multimodais em diferentes contextos sociais, mobilizando conhecimentos linguísticos e discursivos para analisar criticamente desigualdades históricas e estruturais, promover o diálogo intercultural e fortalecer a participação cidadã;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</si>
  <si>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Produzir um editorial analítico manuscrito que articule repertórios éticos, tecnológicos e comunicacionais sobre a autenticidade e IA.</t>
  </si>
  <si>
    <t xml:space="preserve">Estratégias de autoria e posicionamento crítico.
Organização argumentativa e clareza expositiva.
</t>
  </si>
  <si>
    <t>Oficina de escrita: autoria, argumento e responsabilidade no editorial crítico</t>
  </si>
  <si>
    <t>Produção manuscrita de um editorial.  O texto deve mobilizar os repertórios conceituais trabalhados (pós-verdade, simulação, deepfake, ética e autoria) e desenvolver um ponto de vista consistente e fundamentado.</t>
  </si>
  <si>
    <t>Fechamento</t>
  </si>
  <si>
    <t>Avaliar produções linguísticas e artísticas em diversos suportes, identificando suas implicações culturais, políticas e ideológicas, promovendo reflexões sobre inclusão, diversidade e resolução colaborativa de conflitos em contextos locais e globais;
Relacionar os resultados das análises científicas às dinâmicas sociais e culturais, avaliando os impactos políticos, econômicos e ambientais de decisões humanas e refletindo sobre sua própria atuação como agente transformador na sociedade.</t>
  </si>
  <si>
    <t>Consolidar o percurso de leitura e escrita sobre a autenticidade e IA, aprimorando o texto autoral e desenvolvendo consciência crítica sobre a autoria e a circulação da informação.</t>
  </si>
  <si>
    <t>Curadoria e revisão textual 
Autoria e responsabilidade discursiva na esfera pública.</t>
  </si>
  <si>
    <t>Síntese: Curadoria e publicação — autoria e verdade na era da simulação</t>
  </si>
  <si>
    <t xml:space="preserve">Revisão coletiva dos editoriais produzidos nas aulas anteriores. </t>
  </si>
  <si>
    <t>Arte, autoria e criação algorítmica</t>
  </si>
  <si>
    <t>Analisar criticamente manifestações artísticas, discursivas e culturais como expressões identitárias e históricas, considerando seus contextos de produção, circulação e recepção e evidenciando as contribuições de grupos historicamente marginalizados na construção do conhecimento e das artes;
Analisar dados e evidências provenientes de diferentes métodos científicos, como análises quantitativas e qualitativas, utilizando-os para compreender fenômenos locais, regionais, nacionais e globais em diferentes contextos temporais.</t>
  </si>
  <si>
    <t xml:space="preserve">Compreender a relação entre arte, técnica e autoria em diferentes períodos históricos, refletindo sobre como as transformações tecnológicas reconfiguram o papel do artista e o conceito de criação.
</t>
  </si>
  <si>
    <t xml:space="preserve">
A autoria moderna e a noção de gênio criador.
A mecanização e a reprodutibilidade.
</t>
  </si>
  <si>
    <t>Repertório: Criação, arte, técnica e autoria ao longo do tempo</t>
  </si>
  <si>
    <t>O conceito de criação e autoria na história da arte.
Transformações do fazer artístico com o avanço técnico.
A tensão entre singularidade e reprodução.</t>
  </si>
  <si>
    <t xml:space="preserve">Analisar como a inteligência artificial é empregada na criação de obras de arte contemporâneas, discutindo os limites entre autoria humana, autoria algorítmica e coautoria.
</t>
  </si>
  <si>
    <t xml:space="preserve">Produção artística com IA generativa. 
Autoria compartilhada e curadoria algorítmica.
</t>
  </si>
  <si>
    <t>Repertório: inteligência artificial e criação artística</t>
  </si>
  <si>
    <t>A presença da IA na produção artística contemporânea.
Casos de arte generativa e seus dilemas autorais.
Conceitos de criatividade, originalidade e coautoria.</t>
  </si>
  <si>
    <t>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</si>
  <si>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Analisar casos reais de disputas de autoria em obras criadas com Inteligência Artificial, identificando argumentos, contradições e implicações éticas.</t>
  </si>
  <si>
    <t>Autoria e ética na criação algorítmica: apropriação de obras, concentração tecnológica e desigualdades na cultura digital.</t>
  </si>
  <si>
    <t>Estudo de caso e discussão : Arte, autoria e criação algorítmica (Parte 1)</t>
  </si>
  <si>
    <t>Análise orientada de caso: Disputas de autoria e criação algorítmica
Ética, intencionalidade e valor artístico.</t>
  </si>
  <si>
    <t>Analisar criticamente o impacto das TDICs na produção, circulação e recepção de informações, avaliando sua influência na construção do conhecimento, nas práticas sociais e no enfrentamento da desinformação;
Analisar criticamente as desigualdades históricas e estruturais que impactam diferentes grupos sociais, compreendendo os mecanismos de exclusão e os desafios enfrentados pelas minorias na luta por direitos e transformações sociais.</t>
  </si>
  <si>
    <t>Analisar casos reais de disputas de autoria em obras criadas com Inteligência Artificial, identificando argumentos, contradições e implicações éticas.
- Discutir criticamente as desigualdades que atravessam a criação algorítmica.</t>
  </si>
  <si>
    <t>Estudo de caso e discussão : Arte, autoria e criação algorítmica (Parte 2)</t>
  </si>
  <si>
    <t>Debate estruturado: Arte, dados e desigualdade
Dataset, apropriação de estilos e colonialismo digital.</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</si>
  <si>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</si>
  <si>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Compreender o gênero dossiê reflexivo-analítico como forma de sistematizar o pensamento crítico.
Desenvolver argumentos sobre a relação entre arte, técnica e sensibilidade a partir de casos e repertórios estudados.
Elaborar um roteiro analítico com hipóteses, evidências e possíveis eixos de interpretação</t>
  </si>
  <si>
    <t>Escrita reflexivo-analítica como prática investigativa de formulação de hipóteses e síntese conceitual.</t>
  </si>
  <si>
    <t>Oficina de escrita: o dossiê como forma de pensamento</t>
  </si>
  <si>
    <t xml:space="preserve">O dossiê como gênero híbrido entre análise e reflexão sistematizada.
A escrita como instrumento de investigação e formulação conceitual.
</t>
  </si>
  <si>
    <t>Produzir um dossiê reflexivo-analítico manuscrito, articulando repertórios filosóficos, estéticos e tecnológicos.
Desenvolver uma escrita autoral, crítica e coerente, que mobilize conceitos e exemplos.</t>
  </si>
  <si>
    <t>Oficina de escrita: o dossiê reflexivo-analítico</t>
  </si>
  <si>
    <t>A elaboração do dossiê como documento de pensamento crítico.
A escrita como instrumento de investigação e formulação conceitual.</t>
  </si>
  <si>
    <t>Analisar criticamente o impacto das TDICs na produção, circulação e recepção de informações, avaliando sua influência na construção do conhecimento, nas práticas sociais e no enfrentamento da desinformação;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</si>
  <si>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Consolidar as aprendizagens conceituais e discursivas do bimestre.
Exercitar a curadoria textual e visual como forma de síntese crítica.</t>
  </si>
  <si>
    <t>Curadoria textual e editorial: seleção, síntese e comentário.</t>
  </si>
  <si>
    <t>Síntese: curadoria analítica — a criação humana diante da máquina?</t>
  </si>
  <si>
    <t xml:space="preserve">A curadoria como forma de interpretação e autoria reflexiva.
</t>
  </si>
  <si>
    <t>Humanidade em Crise: Fronteiras, Deslocamentos e Resistências</t>
  </si>
  <si>
    <t>Fronteiras em disputa: territórios, refugiados e a nova ordem mundial</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</si>
  <si>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dasFake News;
Analisar dados e evidências provenientes de diferentes métodos científicos, como análises quantitativas e qualitativas, utilizando-os para compreender fenômenos locais, regionais, nacionais e globais em diferentes contextos temporais.</t>
  </si>
  <si>
    <t>Compreender as causas geopolíticas, ambientais e econômicas das migrações contemporâneas.
Analisar dados e mapas sobre deslocamentos humanos e conflitos territoriais.</t>
  </si>
  <si>
    <t>Fronteiras e globalização: soberania, migrações forçadas e refúgio. Análise crítica de mapas, gráficos e reportagens.</t>
  </si>
  <si>
    <t>Repertório: fronteiras e deslocamentos no século XXI</t>
  </si>
  <si>
    <t>Migrações contemporâneas e causas múltiplas (guerras, desigualdade, clima).
Crise humanitária global e concentração de fronteiras militarizadas.
Dados e imagens do ACNUR e da ONU como fontes de leitura crítica</t>
  </si>
  <si>
    <t>Analisar como o controle e a vigilância das fronteiras se relacionam às políticas de segurança, território e circulação de pessoas.
Discutir as formas de representação do refugiado em discursos políticos e institucionais.
Identificar estratégias de controle e exclusão nos mecanismos de vigilância global.</t>
  </si>
  <si>
    <t>Fronteiras, vigilância e soberania: políticas, discursos e representações do refúgio.</t>
  </si>
  <si>
    <t>Repertório: refugiados e fronteiras</t>
  </si>
  <si>
    <t>Casos emblemáticos: fronteira México–EUA, travessias no Mediterrâneo e rotas de refúgio na América do Sul.
Tecnologias de vigilância e controle migratório (muros, biometria, drones, barreiras marítimas).
O discurso da segurança e a legitimação das políticas de fronteira.</t>
  </si>
  <si>
    <t xml:space="preserve"> 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Analisar dados e evidências provenientes de diferentes métodos científicos, como análises quantitativas e qualitativas, utilizando-os para compreender fenômenos locais, regionais, nacionais e globais em diferentes contextos temporais.</t>
  </si>
  <si>
    <t>Analisar as relações entre conflitos armados, crises ambientais e deslocamentos forçados.
Interpretar dados, mapas e testemunhos que evidenciam os fluxos migratórios contemporâneos.
Organizar informações e ideias em torno das principais causas, impactos e respostas políticas aos deslocamentos humanos.</t>
  </si>
  <si>
    <t>Conflitos e refúgio: leitura crítica de dados, representações midiáticas e marcos normativos de proteção internacional.</t>
  </si>
  <si>
    <t>Estudo de caso e discussão: guerras, fronteiras e deslocamentos (Parte 1)</t>
  </si>
  <si>
    <t>Guerras recentes (Ucrânia, Sudão, Palestina, Síria) e deslocamentos populacionais.
Relatórios do ACNUR e da ONU sobre refúgio e acolhimento.
Representações estatísticas e políticas de acolhimento.</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</si>
  <si>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</si>
  <si>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Confrontar diferentes posicionamentos e discursos sobre políticas de migração e acolhimento.
Discutir implicações éticas e políticas das decisões estatais e humanitárias.
Consolidar a capacidade de argumentar com base em evidências e comparações de políticas.</t>
  </si>
  <si>
    <t>Estudo de caso e discussão: guerras, fronteiras e deslocamentos (Parte 2)</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</si>
  <si>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Relacionar os resultados das análises científicas às dinâmicas sociais e culturais, avaliando os impactos políticos, econômicos e ambientais de decisões humanas e refletindo sobre sua própria atuação como agente transformador na sociedade.</t>
  </si>
  <si>
    <t>Compreender a estrutura e a finalidade do gênero relatório-síntese geopolítico.
Sistematizar dados e informações sobre conflitos e deslocamentos humanos.
Planejar a escrita de um relatório manuscrito com base em evidências.</t>
  </si>
  <si>
    <t>Relatório: construção textual, seleção e organização das informações, uso de linguagem expositiva com rigor conceitual.</t>
  </si>
  <si>
    <t>Oficina de escrita: o relatório-síntese geopolítico</t>
  </si>
  <si>
    <t>O relatório como gênero de análise e sistematização de informações.
Estratégias de síntese e progressão lógica.
Relação entre dado, contexto e posicionamento ético.</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</si>
  <si>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t>
  </si>
  <si>
    <t>Produzir um relatório-síntese manuscrito que articule dados, análise e reflexão crítica.
Exercitar a clareza argumentativa e a precisão conceitual na exposição de informações.
Revisar a escrita</t>
  </si>
  <si>
    <t>Linguagem expositiva: construção coerente entre dados, causas e efeitos, com revisão e checagem de fontes.</t>
  </si>
  <si>
    <t>Oficina de escrita: fronteiras em crise — relatório geopolítico</t>
  </si>
  <si>
    <t>Sistematização das discussões e estudos de caso do bimestre.
Redação manuscrita do relatório-síntese geopolítico.
Revisão em pares e aprimoramento do texto.</t>
  </si>
  <si>
    <t>Síntese</t>
  </si>
  <si>
    <t>Consolidar as aprendizagens conceituais e discursivas do tema, articulando dados, conceitos e valores éticos.
Revisar e aprimorar os relatórios produzidos nas aulas anteriores, destacando clareza, consistência e relevância.</t>
  </si>
  <si>
    <t>Revisão e aprimoramento de textos informativos e analíticos.
Curadoria textual e seleção de evidências.</t>
  </si>
  <si>
    <t>Síntese e curadoria: fronteiras em crise</t>
  </si>
  <si>
    <t>Revisão dos relatórios-síntese geopolíticos.
Critérios de consistência, clareza e relevância ética.
Seleção de trechos representativos para o Relatório Coletivo “Fronteiras em Crise”.</t>
  </si>
  <si>
    <t>Xenofobia, isolamento e a crise do pertencimento</t>
  </si>
  <si>
    <t>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Analisar criticamente as desigualdades históricas e estruturais que impactam diferentes grupos sociais, compreendendo os mecanismos de exclusão e os desafios enfrentados pelas minorias na luta por direitos e transformações sociais.</t>
  </si>
  <si>
    <t>Compreender como o discurso político e midiático constrói a figura do “estrangeiro” como ameaça e os sentidos de pertencimento e exclusão que dela decorrem.
Identificar recursos linguísticos e visuais que reforçam narrativas de medo, isolamento e intolerância, bem como aqueles que promovem solidariedade e acolhimento.
.</t>
  </si>
  <si>
    <t>Aprimoramento textual: revisão, curadoria e seleção de evidências.</t>
  </si>
  <si>
    <t>Repertório: o estrangeiro como ameaça — linguagem e medo político</t>
  </si>
  <si>
    <t>Nacionalismo e populismo contemporâneos: discursos de identidade e exclusão.
O papel da linguagem na construção do “outro”.
Estratégias discursivas de manipulação afetiva (metáforas, hipérboles, desumanização).</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</si>
  <si>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Analisar criticamente conflitos em diferentes contextos históricos, culturais, sociais e políticos, com foco no Sul Global, identificando suas causas e impactos para fundamentar debates, aprimorar processos de mediação e fortalecer a construção de argumentações embasadas em perspectivas éticas, democráticas e sustentáveis.</t>
  </si>
  <si>
    <t>Analisar o discurso populista e suas versões pró e anti-migração, observando como ele se adapta ao ambiente digital.
Reconhecer os mecanismos retóricos da simplificação, da polarização e da desinformação moral.
Relacionar populismo, redes sociais e erosão da esfera pública democrática.</t>
  </si>
  <si>
    <t>Discursos populistas e digitais: emoção, polarização e moralização simbólica.</t>
  </si>
  <si>
    <t>Repertório: discursos em rede — populismo e moralização política</t>
  </si>
  <si>
    <t>Linguagem populista e efeitos na esfera digital.
Moral e política nas redes: circulação de afetos e identidades.
Estratégias discursivas de simplificação e polarização.</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</si>
  <si>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Analisar as contribuições de movimentos sociais e grupos historicamente marginalizados, como povos originários, quilombolas, negros, mulheres, refugiados e da população LGBTQIAPN+, analisando suas pautas e reivindicações sociais e seus impactos na construção de uma sociedade mais justa e equitativa;</t>
  </si>
  <si>
    <t>Analisar casos de políticas migratórias restritivas e suas justificativas discursivas, observando como o vocabulário da segurança redefine os limites do pertencimento.
Identificar estratégias retóricas e visuais que associam migração e ameaça.</t>
  </si>
  <si>
    <t>Enquadramentos da mídia e discursos de segurança: vocabulário da ameaça, pureza e defesa nacional; leitura crítica de relatos jornalísticos e testemunhais.</t>
  </si>
  <si>
    <t>Estudo de caso e discussão: muros, deportações e a linguagem do medo político (Parte 1)</t>
  </si>
  <si>
    <t>Políticas migratórias contemporâneas (EUA, Europa, Brasil).
Construção discursiva da segurança e da ameaça.
Vocabulário do medo e legitimação simbólica da exclusão.</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</si>
  <si>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Desenvolver estratégias de escuta ativa, autoconhecimento, empatia e argumentação, favorecendo o diálogo e a construção de consensos na compreensão e mediação de conflitos pessoais, coletivos e relacionados ao mundo do trabalho.</t>
  </si>
  <si>
    <t>Confrontar e discutir diferentes interpretações sobre os discursos analisados na etapa anterior, identificando convergências e divergências nas representações do pertencimento.
Discutir as implicações éticas e políticas das narrativas midiáticas sobre migração e segurança.</t>
  </si>
  <si>
    <t>Discursos sobre migração e pertencimento: polarização midiática e seletividade humanitária.</t>
  </si>
  <si>
    <t>Estudo de caso e discussão: muros, deportações e a linguagem do medo político (Parte 2)</t>
  </si>
  <si>
    <t>Comparação de discursos e posicionamentos midiáticos sobre refúgio e acolhimento.
Estratégias retóricas de exclusão e apelos à empatia.</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</si>
  <si>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Debater estratégias de mediação de conflitos e solução coletiva de problemas, de ordem política, econômica, ambiental, com base na diplomacia internacional, a partir do desenvolvimento de projetos que articulem teoria e prática.</t>
  </si>
  <si>
    <t>Compreender o discurso público internacional como gênero discursivo.
Organizar repertórios e argumentos sobre migração, fronteiras e pertencimento em formato retórico adequado.
Planejar a estrutura composicional do discurso oral-escrito.</t>
  </si>
  <si>
    <t>Discurso público: oralidade, retórica e léxico dos direitos humanos.</t>
  </si>
  <si>
    <t>Oficina de escrita: A palavra pública (Parte 1)</t>
  </si>
  <si>
    <t>A estrutura retórica do discurso político;
O uso da palavra pública;
Análise de pronunciamentos da ONU</t>
  </si>
  <si>
    <t>Aula complmentar</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</si>
  <si>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Avaliar a participação ativa dos jovens na sociedade, promovendo reflexões sobre sua contribuição para a diversidade, o bem-estar coletivo e a transformação social, com base nos princípios dos Direitos Humanos e no fortalecimento de uma convivência ética e inclusiva;</t>
  </si>
  <si>
    <t>Produzir um discurso humanitário voltado à Assembleia da ONU, com clareza, coesão e impacto retórico.
Ajustar vocabulário, tom e estrutura à situação de fala formal e diplomática.
Ensaiar a leitura oral, explorando ritmo, entonação e pausas expressivas.</t>
  </si>
  <si>
    <t>Oratória e performance discursiva: estratégias de expressão e revisão textual e expressiva.</t>
  </si>
  <si>
    <t>Oficina de escrita: A palavra pública (Parte 2)</t>
  </si>
  <si>
    <t>Escrita e leitura do discurso público.
Revisão textual e ensaio oral.</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</si>
  <si>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Desenvolver iniciativas que reflitam sobre a educação decolonial, o combate ao racismo, a valorização da diversidade cultural e a preservação dos Direitos Humanos, fortalecendo ações coletivas que busquem transformar realidades sociais e promover a inclusão e a equidade de forma ética e sustentável.</t>
  </si>
  <si>
    <t>Consolidar as aprendizagens discursivas e conceituais do bimestre por meio da apresentação dos discursos.
Refletir sobre a função social e política da linguagem na defesa dos direitos humanos e no enfrentamento da crise do pertencimento.</t>
  </si>
  <si>
    <t>Oralidade pública: escuta, autoavaliação e clareza discursiva.</t>
  </si>
  <si>
    <t>Fechamento: Discurso para a ONU</t>
  </si>
  <si>
    <t>Leitura pública e escuta crítica dos discursos.
Revisão final e autoavaliação.</t>
  </si>
  <si>
    <t>Hiperexposição e identidade no mundo digital</t>
  </si>
  <si>
    <t>Identidade e autoimagem.</t>
  </si>
  <si>
    <t>Linguagens C5 - Reconhecer as relações entre linguagem, tecnologia e cultura, analisando como diferentes mídias e plataformas digitais influenciam os processos de comunicação e criação no mundo contemporâneo;
Ciências Humanas C5 - Discutir o papel do jovem como agente social, político, ambiental, profissional e cultural, compreendendo as dinâmicas que moldam suas identidades e expressões nas culturas juvenis contemporâneas.</t>
  </si>
  <si>
    <t>Introduzir o conceito de identidade mediada pela tecnologia.
Analisar como câmeras e filtros nativos moldam a percepção do próprio rosto.
Identificar elementos técnicos e estéticos que distorcem a autoimagem.</t>
  </si>
  <si>
    <t>Autenticidade performada
Self curatorial
Economia da atenção
Eu mediado por tecnologias de imagem</t>
  </si>
  <si>
    <t>Repertório I — O rosto como interface: identidade na era do beauty mode</t>
  </si>
  <si>
    <t>Funcionamento básico do beauty mode
Mediação técnica da imagem
Identidade como performance visual</t>
  </si>
  <si>
    <t>Linguagens C5 - Analisar criticamente o impacto das TDICs na produção, circulação e recepção de informações, avaliando sua influência na construção do conhecimento, nas práticas sociais e no enfrentamento da desinformação;
Ciências Humanas C5 - Discutir o papel do jovem como agente social, político, ambiental, profissional e cultural, compreendendo as dinâmicas que moldam suas identidades e expressões nas culturas juvenis contemporâneas.</t>
  </si>
  <si>
    <t>Aprofundar a reflexão sobre performatividade e autenticidade calculada.
Analisar exemplos de filtros nativos e seus parâmetros estéticos.
Relacionar estética algorítmica e construção da identidade digital.</t>
  </si>
  <si>
    <t>Autenticidade calculada
Afetos digitais
Estética algorítmica
Pressão estética invisível</t>
  </si>
  <si>
    <t>Repertório II — Autenticidade impossível: performatividade, algoritmo e autoimagem</t>
  </si>
  <si>
    <t>Autenticidade performada
Estética algorítmica
Afetos digitais e performatividade cotidiana
Pressão estética e emocionalidade digital</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</si>
  <si>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C4 - Analisar criticamente as desigualdades históricas e estruturais que impactam diferentes grupos sociais, compreendendo os mecanismos de exclusão e os desafios enfrentados pelas minorias na luta por direitos e transformações sociais.</t>
  </si>
  <si>
    <t>Investigar tecnicamente como beauty mode funciona.
Identificar seus efeitos sobre raça, gênero e identidade.
Organizar argumentos e repertórios para o debate da aula seguinte.</t>
  </si>
  <si>
    <t>Estética do aperfeiçoamento
Distorção da autoimagem
Vieses raciais e de gênero
Identidade digital</t>
  </si>
  <si>
    <t>Estudo de Caso e Discussão — Beauty Mode: quem o algoritmo privilegia? (Parte 1)</t>
  </si>
  <si>
    <t>Beauty Mode em câmeras nativas (Samsung, Xiaomi, iPhone)
Análise de reportagens, vídeos comparativos e críticas culturais</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</si>
  <si>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C4 - Analisar as contribuições de movimentos sociais e grupos historicamente marginalizados, como povos originários, quilombolas, negros, mulheres, refugiados e da população LGBTQIAPN+, analisando suas pautas e reivindicações sociais e seus impactos na construção de uma sociedade mais justa e equitativa;</t>
  </si>
  <si>
    <t>Debater interpretações sobre identidade, estética e algoritmo.
Confrontar críticas, evidências e pontos de vista distintos.
Analisar implicações éticas e subjetivas do beauty mode.</t>
  </si>
  <si>
    <t>Estética algorítmica
Impactos psicossociais
Identidade emocional e performativa
Responsabilidade tecnológica</t>
  </si>
  <si>
    <t>Estudo de Caso e Discussão — Beleza automatizada ou violência estética? (Parte 2)</t>
  </si>
  <si>
    <t>Debate estruturado a partir do caso
Confronto de argumentos e interpretações</t>
  </si>
  <si>
    <t>Linguagens C1- Elaborar produções textuais e multimodais em diferentes gêneros e suportes, utilizando métodos investigativos e analíticos para articular conhecimentos interdisciplinares, valorizando a diversidade cultural, a acessibilidade e a transformação social nos territórios.
Ciências Humanas C1 -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</si>
  <si>
    <t>Reconhecer o comentário crítico como um gênero contemporâneo de leitura e interpretação da cultura digital.
Compreender sua estrutura flexível, seu tom interpretativo e sua função social.
Planejar um comentário crítico sobre práticas de autoimagem associadas ao beauty mode.</t>
  </si>
  <si>
    <t>Comentário crítico de cultura digital
Observação cultural
Linguagem interpretativa
Fenômenos sociotecnológicos</t>
  </si>
  <si>
    <t>Oficina de escrita — O comentário crítico: ler e escrever sobre o mundo digital (Parte 1)</t>
  </si>
  <si>
    <t>O que caracteriza um comentário crítico
Tom, foco e estilo (observação + reflexão + análise)
Exemplos contemporâneos</t>
  </si>
  <si>
    <t>Produção e Síntese</t>
  </si>
  <si>
    <t>Linguagens C1- Elaborar produções textuais e multimodais em diferentes gêneros e suportes, utilizando métodos investigativos e analíticos para articular conhecimentos interdisciplinares, valorizando a diversidade cultural, a acessibilidade e a transformação social nos territórios.
Ciências Humanas C1 -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embasada;o.</t>
  </si>
  <si>
    <t>Redigir um comentário crítico sobre identidade, autoimagem e tecnologia.
Ajustar o texto quanto ao foco interpretativo, ao tom e à coerência.
Selecionar trechos que expressem tensões contemporâneas da cultura visual.</t>
  </si>
  <si>
    <t>Escrita interpretativa
Coerência discursiva
Curadoria textual
Síntese temática</t>
  </si>
  <si>
    <t>Oficina de escrita e síntese— Quando a câmera decide quem somos: comentários críticos (Parte 2)</t>
  </si>
  <si>
    <t>Escrita integral do comentário crítico
Revisão e ajustes de tom e foco
Seleção de trechos para mural-síntese</t>
  </si>
  <si>
    <t>Estética e padronização dos corpos</t>
  </si>
  <si>
    <t>Linguagens C1 - 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Ciências Humanas C4 - Analisar criticamente as desigualdades históricas e estruturais que impactam diferentes grupos sociais, compreendendo os mecanismos de exclusão e os desafios enfrentados pelas minorias na luta por direitos e transformações sociais.</t>
  </si>
  <si>
    <t>Compreender o conceito de “ecossistema estético” como organização de estilos, comportamentos e moralidades visuais.
Analisar como tendências visuais contemporâneas moldam gostos, corpos, performances e autopercepção.
Identificar marcadores de gênero, raça, classe e corpo nas estéticas dominantes</t>
  </si>
  <si>
    <t>Aesthetic ecosystems
Linguagem visual e performatividade
Estética como ideologia
Corpo, mídia e subjetividade</t>
  </si>
  <si>
    <t>Repertório I — Aesthetic ecosystems: como as tendências moldam quem devemos ser</t>
  </si>
  <si>
    <t>Clean Girl, Vanilla Girl, Coquette, Mob Wife, Gym Bro, Soft Boy, Sigma Aesthetic
A estética como disciplina
Cultura visual e padronização</t>
  </si>
  <si>
    <t>Identificar os valores, moralidades e discursos implícitos nas estéticas contemporâneas.
Analisar a relação entre padrão estético, controle do corpo e vigilância social.
Mapear tensões entre pertencimento, exclusão e performatividade corporal.</t>
  </si>
  <si>
    <t>Estética normativa
Padrões corporais e disciplina
Moralidades implícitas
Análise cultural</t>
  </si>
  <si>
    <t>Repertório II — Padrões, vigilância e o corpo desejável nas estéticas digitais</t>
  </si>
  <si>
    <t>O discurso silencioso das estéticas
Corpo perfeito, rotina perfeita, vida perfeita
Masculinidades e feminilidades performadas</t>
  </si>
  <si>
    <t>Investigar um caso real ou ficcionalizado de imersão em um ecossistema estético.
Mapear tensões entre pertencimento, exclusão, ansiedade e idealização.
Levantar hipóteses sobre o impacto físico, mental e social desses ambientes.</t>
  </si>
  <si>
    <t>Estética como narrativa
Pressão estética e performance
Mídia, corpo e desejo</t>
  </si>
  <si>
    <t>Estudo de Caso e Discussão — Dentro de uma estética: quando um estilo vira modo de vida (Parte 1)</t>
  </si>
  <si>
    <t>Caso real: Manifestações de tendência na vida cotidiana. Exemplos como “Viver como uma Clean Girl por 30 dias” / “O menino que virou Gym Bro por obrigação” / “O colapso da estética Coquette”, ou qualquer outro que se enquadre no escopo de análise
Análise de materiais (reportagem, vídeo transcrito, depoimentos, fotos)</t>
  </si>
  <si>
    <t>Linguagens C1 - 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Ciências Humanas C1 -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embasada;o.</t>
  </si>
  <si>
    <t>Confrontar interpretações sobre o caso discutido.
Debater os impactos subjetivos, sociais e estéticos dos ecossistemas.
Relacionar o caso às experiências e repertórios estudados.</t>
  </si>
  <si>
    <t>Debate crítico
Padrões de corpo e identidade
Representações sociais</t>
  </si>
  <si>
    <t>Estudo de Caso e Discussão — O corpo possível x o corpo esperado (Parte 2)</t>
  </si>
  <si>
    <t>Comparação de análises
Debate orientado por perguntas-guia</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</si>
  <si>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C1 -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</si>
  <si>
    <t>Compreender a Crônica-reportagem como gênero híbrido que observa e interpreta práticas culturais.
Identificar elementos narrativos (cena, detalhe, voz) e analíticos (interpretação, valor, contexto).
Planejar uma Crônica-reportagem sobre ecossistemas estéticos.</t>
  </si>
  <si>
    <t>Crônica-reportagem
Observação cultural
Linguagem sensível e interpretativa
Cena + análise</t>
  </si>
  <si>
    <t>Oficina de escrita: — A crônica-reportagem de cultura visual: quando a estética invade a vida (Parte 1)</t>
  </si>
  <si>
    <t>Características do gênero
Exemplos reais
Escolha do foco e planejamento</t>
  </si>
  <si>
    <t>Produção e Fechamento</t>
  </si>
  <si>
    <t>Produzir uma crônica-reportagem que articule narrativa e reflexão sobre padrões estéticos.
Revisar o texto com atenção à clareza, ao efeito e ao tom.
Selecionar trechos representativos para uma síntese coletiva.</t>
  </si>
  <si>
    <t>Escrita narrativa-analítica
Revisão e curadoria
Síntese final</t>
  </si>
  <si>
    <t>Oficina de escrita e síntese — Corpos, imagens e tendências: crônicas-reportagens (Parte 2)</t>
  </si>
  <si>
    <t>Escrita integral
Revisão e troca entre pares
Montagem do painel coletivo</t>
  </si>
  <si>
    <t>Futuro em disputa: Ciência, meio ambiente e Justiça Global</t>
  </si>
  <si>
    <t>Urgência climática e crise ambiental global.</t>
  </si>
  <si>
    <t>Linguagens C1 - 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Ciências Humanas C1 - Analisar dados e evidências provenientes de diferentes métodos científicos, como análises quantitativas e qualitativas, utilizando-os para compreender fenômenos locais, regionais, nacionais e globais em diferentes contextos temporais.</t>
  </si>
  <si>
    <t>Compreender a crise climática como fenômeno científico, político e social interdependente.
Ler criticamente dados, mapas e projeções climáticas.
Identificar vocabulário específico da comunicação científica (ciclos, emissões, pontos de inflexão)</t>
  </si>
  <si>
    <t>Indicadores científicos da mudança climática.
Relatórios e fontes globais de dados.
Alfabetização climática e leitura crítica de evidências.</t>
  </si>
  <si>
    <t>Repertório I: A ciência da urgência — o que os dados do clima já mostram</t>
  </si>
  <si>
    <t>Indicadores de aquecimento; emissões; “tipping points”; impactos regionais; leitura de gráficos e modelos.</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</si>
  <si>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C1 -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embasada;o.</t>
  </si>
  <si>
    <t>Relacionar a crise climática a desigualdades globais.
Compreender as noções de justiça climática e responsabilidade histórica.
Identificar enquadramentos midiáticos sobre o tema.</t>
  </si>
  <si>
    <t>Justiça climática e responsabilidades diferenciadas.
Desigualdades Norte–Sul.
Comunicação pública do risco ambiental.</t>
  </si>
  <si>
    <t>Repertório II: Justiça climática — quem paga a conta da crise?</t>
  </si>
  <si>
    <t>Responsabilidade histórica; emissões acumuladas; vulnerabilidade; transição energética; desigualdade ambiental.</t>
  </si>
  <si>
    <t>Linguagens C1 - 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Ciências Humanas C1 - Analisar dados e evidências provenientes de diferentes métodos científicos, como análises quantitativas e qualitativas, utilizando-os para compreender fenômenos locais, regionais, nacionais e globais em diferentes contextos temporais.</t>
  </si>
  <si>
    <t>Analisar um caso real que exemplifique tensões entre ciência, política climática e desigualdade.
Identificar narrativas concorrentes sobre responsabilidade, risco e ação.</t>
  </si>
  <si>
    <t>Crise climática em evento real selecionado (ex.: enchentes extremas, queimadas recordes, escassez hídrica, onda de calor).
Mídia, ciência e decisão pública.</t>
  </si>
  <si>
    <t>Estudo de caso e discussão: crise climática no presente (Parte 1)</t>
  </si>
  <si>
    <t>Leitura de reportagens, mapas, dados oficiais e testemunhos sobre o caso selecionado.</t>
  </si>
  <si>
    <t>Confrontar interpretações distintas sobre o caso estudado.
Discutir implicações políticas, econômicas e éticas da crise ambiental.
Produzir sínteses argumentativas orais.</t>
  </si>
  <si>
    <t>Linguagem do risco e da responsabilidade.
Disputas de narrativa ambiental.
Argumentação com base em evidências.</t>
  </si>
  <si>
    <t>Estudo de caso e discussão: crise climática no presente (Parte 2)</t>
  </si>
  <si>
    <t>Debate orientado; comparação de enquadramentos discursivos; análise de responsabilidade pública.</t>
  </si>
  <si>
    <t>Linguagens C5 - Reconhecer as relações entre linguagem, tecnologia e cultura, analisando como diferentes mídias e plataformas digitais influenciam os processos de comunicação e criação no mundo contemporâneo;
Ciências Humanas C1 - Avaliar fontes confiáveis e variadas para analisar processos históricos, políticos, econômicos, sociais, ambientais e culturais, considerando diferentes perspectivas, inclusive a feminina, assegurando a diversidade epistemológica no estudo de fenômenos sociais, promovendo o combate à desinformação por meio da verificação crítica e da disseminação responsável do conhecimento.</t>
  </si>
  <si>
    <t>Compreender a estrutura específica do texto de divulgação científica.
Planejar uma pauta que traduza ciência em linguagem clara, ética e socialmente relevante.
Selecionar evidências e exemplos do estudo de caso.</t>
  </si>
  <si>
    <t>Divulgadores científicos e estratégias de comunicação.
Clareza expositiva; explicação e mediação; uso não sensacionalista de dados.</t>
  </si>
  <si>
    <t>Oficina de escrita: como traduzir ciência para o público? (Parte 1)</t>
  </si>
  <si>
    <t>Estrutura: gancho inicial, contextualização, explicação conceitual, evidências, implicações sociais.</t>
  </si>
  <si>
    <t>Redigir a versão integral do texto.
Revisar clareza, precisão conceitual e responsabilidade comunicativa.
Consolidar repertórios do recorte temático.</t>
  </si>
  <si>
    <t>Estratégias de síntese; coesão; ajuste de estilo ao público geral.
Curadoria de evidências científicas.</t>
  </si>
  <si>
    <t>Oficina de escrita e síntese: Texto de divulgação científica - Por que este caso importa agora? (Parte 2)</t>
  </si>
  <si>
    <t>Redação integral; revisão em pares; síntese dos elementos essenciais.</t>
  </si>
  <si>
    <t>Tecnociência e desigualdade biológica.</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</si>
  <si>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C1 - Analisar dados e evidências provenientes de diferentes métodos científicos, como análises quantitativas e qualitativas, utilizando-os para compreender fenômenos locais, regionais, nacionais e globais em diferentes contextos temporais.</t>
  </si>
  <si>
    <t>Compreender o papel da biotecnologia contemporânea na reconfiguração do corpo e da saúde.
Identificar relações entre inovação, acesso desigual e disputa por futuros possíveis.
Reconhecer conceitos centrais para analisar tecnociência: biopolítica, desigualdade biológica, melhoramento humano, determinismo genético.</t>
  </si>
  <si>
    <t>Biotecnologia; desigualdade de acesso; biopolítica; genética de consumo; tecnociência e ética.</t>
  </si>
  <si>
    <t>Repertório I: Biotecnologia, poder e desigualdade</t>
  </si>
  <si>
    <t>Biotecnologias emergentes (CRISPR, terapias gênicas, longevity industry).
Acesso desigual: quem participa da “revolução biológica”?
A saúde como campo de disputa econômica e política.</t>
  </si>
  <si>
    <t>Investigar como a mídia e a indústria biotecnológica narram promessas de futuro.
Analisar criticamente discursos sobre melhoramento, personalização e “otimização” do corpo.</t>
  </si>
  <si>
    <t>Retórica da inovação; determinismo biológico; discursos publicitários; regimes de verdade.</t>
  </si>
  <si>
    <t>Repertório II: Corpos aprimorados — a retórica da inovação e seus limites</t>
  </si>
  <si>
    <t>Publicidade e ciência: promessas de “aperfeiçoamento”.
Testes genéticos de consumo e a promessa de autoconhecimento biológico.
Vieses de classe, raça e gênero na construção de futuros possíveis.
Linguagem da inovação: “upgrade”, “otimização”, “melhoramento”.</t>
  </si>
  <si>
    <t>Linguagens C1 - 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
Ciências Humanas C4 - Analisar criticamente as desigualdades históricas e estruturais que impactam diferentes grupos sociais, compreendendo os mecanismos de exclusão e os desafios enfrentados pelas minorias na luta por direitos e transformações sociais.</t>
  </si>
  <si>
    <t>Investigar um caso real envolvendo desigualdade biológica ou controvérsia tecnocientífica.
Selecionar evidências, pontos de vista e dados relevantes.
Identificar tensões éticas, científicas e sociais presentes no caso.</t>
  </si>
  <si>
    <t>Estudos de caso em biotecnologia; controvérsias científicas; desigualdade de acesso.</t>
  </si>
  <si>
    <t>Estudo de caso e discussão — Quem terá acesso ao futuro? (Parte 1)</t>
  </si>
  <si>
    <t>Caso proposto: terapias genéticas de alto custo (ex.: Zolgensma, CRISPR Trials).
(Pode ser substituído por outro caso real relevante.)
Dados de acesso, preços, limitações, impactos.
Documentos jornalísticos, reportagens, depoimentos e análises.</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</si>
  <si>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C3 - Analisar criticamente conflitos em diferentes contextos históricos, culturais, sociais e políticos, com foco no Sul Global, identificando suas causas e impactos para fundamentar debates, aprimorar processos de mediação e fortalecer a construção de argumentações embasadas em perspectivas éticas, democráticas e sustentáveis.</t>
  </si>
  <si>
    <t>Confrontar leituras e interpretações distintas sobre o caso.
Identificar disputas políticas, econômicas e éticas relacionadas à tecnociência.
Elaborar uma síntese crítica que integre dados, argumentos e valores.</t>
  </si>
  <si>
    <t>Controvérsias tecnocientíficas; ética da inovação; desigualdade de acesso.</t>
  </si>
  <si>
    <t>Estudo de caso e discussão — Quem terá acesso ao futuro? (Parte 2)</t>
  </si>
  <si>
    <t>Debate entre os grupos.
Confronto de interpretações (tratamento como mercadoria? direito humano? privilégio?).
Sistematização das tensões éticas e sociais.</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</si>
  <si>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Ciências Humanas C1 - Construir argumentos fundamentados e coerentes, integrando conhecimentos científicos, históricos e culturais, contemplando a valorização da produção científica de grupos marginalizados, para posicionar-se criticamente sobre questões sociais e propor soluções para problemas contemporâneos de maneira ética e embasada;o.</t>
  </si>
  <si>
    <t>Compreender a estrutura e o propósito da Reportagem Interpretativa de Futuro.
Planejar um texto jornalístico que projete cenários possíveis com base em evidências.
Integrar repertório, dados e leitura crítica em um roteiro de escrita.</t>
  </si>
  <si>
    <t>Jornalismo interpretativo; análise sociotécnica; ética e projeção.</t>
  </si>
  <si>
    <t>Oficina de escrita — A reportagem interpretativa de futuro (Parte 1)</t>
  </si>
  <si>
    <t>Estrutura: ponto de partida factual → tendências → cenários possíveis → implicações sociais.
Linguagem explicativa, não opinativa.
Uso de dados e repertórios confiáveis.
Construção de perguntas orientadoras.</t>
  </si>
  <si>
    <t>Produzir a versão manuscrita da reportagem interpretativa de futuro.
Revisar o texto à luz de critérios de clareza, rigor conceitual e responsabilidade ética.
Consolidar aprendizagens conceituais e discursivas do recorte.</t>
  </si>
  <si>
    <t>Escrita jornalística interpretativa; projeção de cenários; ética da responsabilidade.</t>
  </si>
  <si>
    <t>Oficina de escrita: A reportagem interpretativa de futuro - Quem controla o futuro dos corpos (Parte 2)</t>
  </si>
  <si>
    <t>Redação da reportagem manuscrita.
Revisão em pares.
Curadoria de trechos para síntese coletiva.</t>
  </si>
  <si>
    <t>TÍTULO DA AULA</t>
  </si>
  <si>
    <t>3ª série</t>
  </si>
  <si>
    <t>1º bimestre</t>
  </si>
  <si>
    <t>MATÉRIA E ENERGIA</t>
  </si>
  <si>
    <t>EM13CNT101
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</si>
  <si>
    <t>Biomas</t>
  </si>
  <si>
    <t>Biomas terrestres brasileiros</t>
  </si>
  <si>
    <t xml:space="preserve">
Demonstrar a variação ambiental terrestre decorrente do processo de sucessão ecológica nos biomas brasileiros.</t>
  </si>
  <si>
    <t>VIDA, TERRA E COSMOS</t>
  </si>
  <si>
    <t>(EM13CNT203) Avaliar e prever efeitos de intervenções nos ecossistemas, e seus impactos nos seres vivos e no corpo humano, com base nos mecanismos de manutenção da vida, nos ciclos da matéria e nas transformações e transferências de energia, utilizando representações e simulações sobre tais fatores, com ou sem o uso de dispositivos e aplicativos digitais (como softwares de simulação e de realidade virtual, entre outros).</t>
  </si>
  <si>
    <t>Impactos da intervenção humana</t>
  </si>
  <si>
    <t>Como o desmatamento causado pelas queimadas pode afetar o clima no planeta?</t>
  </si>
  <si>
    <t>Impactos da intervenção humana;​
Desmatamento, queimadas e mudanças climáticas.​</t>
  </si>
  <si>
    <t>Reconhecer o conceito de impacto ambiental;​
Relacionar como o desmatamento pode afetar o clima;​
Avaliar os efeitos de intervenções nos ecossistemas, com base nos mecanismos de manutenção da vida.</t>
  </si>
  <si>
    <t>(EM13CNT101)
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</si>
  <si>
    <t>Fluxo de matéria e energia</t>
  </si>
  <si>
    <t>Sucessão ecológica</t>
  </si>
  <si>
    <t>Analisar as transformações que envolvam a quantidade de matéria em um ambiente.​</t>
  </si>
  <si>
    <t>Impactos ao ecossistema</t>
  </si>
  <si>
    <t>Como ações antrópicas podem comprometer o equilíbrio ecológico de diferentes biomas?</t>
  </si>
  <si>
    <t>Reconhecer os impactos das ações antrópicas nos biomas brasileiros.</t>
  </si>
  <si>
    <t>Áreas de Preservação Permanente (APP)</t>
  </si>
  <si>
    <t>Preservação para manutenção de serviços ecossistêmicos</t>
  </si>
  <si>
    <t>Áreas de Preservação Permanente (APP);​
Serviços ecossistêmicos.</t>
  </si>
  <si>
    <t>Avaliar os efeitos de intervenções humanas nos ecossistemas/biomas e seus impactos na qualidade e quantidade dos serviços ecossistêmicos;​
Compreender a relação entre APP e manutenção dos serviços ecossistêmicos e a biodiversidade.​</t>
  </si>
  <si>
    <t>Ameaças ao equilíbrio do ecossistema</t>
  </si>
  <si>
    <t>Relembrando a importância das relações ecológicas</t>
  </si>
  <si>
    <t>Equilíbrio sistêmico do ecossistema.
Ameaças ao equilíbrio do ecossistema.</t>
  </si>
  <si>
    <t>Analisar os fatores que influenciam na manutenção do equilíbrio sistêmico do ecossistema.
Identificar e analisar os fatores que ameaçam o equilíbrio do ecossistema.​</t>
  </si>
  <si>
    <t xml:space="preserve">Praticando ecologia </t>
  </si>
  <si>
    <t>Ecologia</t>
  </si>
  <si>
    <t>Aplicar os conceitos de ecologia.</t>
  </si>
  <si>
    <t>Desmatamento e saúde humana</t>
  </si>
  <si>
    <t>Retomada: Desmatamento e saúde humana</t>
  </si>
  <si>
    <t>Relação entre desmatamento e aumento da incidência de doenças.​
Definição de zoonoses.​</t>
  </si>
  <si>
    <t>Avaliar os efeitos de intervenções humanas nos ecossistemas e seus impactos na saúde dos seres vivos;​
​
Compreender a relação entre desmatamento e aumento da incidência de zoonoses.​</t>
  </si>
  <si>
    <t>TECNOLOGIA E LINGUAGEM CIENTÍFICA</t>
  </si>
  <si>
    <t>EM13CNT306 Avaliar os riscos envolvidos em atividades cotidianas, aplicando conhecimentos das Ciências da Natureza, para justificar o uso de equipamentos e recursos, bem como comportamentos de segurança, visando à integridade física, individual e coletiva, e socioambiental, podendo fazer uso de dispositivos e aplicativos digitais que viabilizem a estruturação de simulações de tais riscos.</t>
  </si>
  <si>
    <t>Poluição</t>
  </si>
  <si>
    <t>Poluição e saneamento básico</t>
  </si>
  <si>
    <t>Tipos de poluição
Consequências da poluição do ar e da água
Importância do saneamento básico</t>
  </si>
  <si>
    <t>Diferenciar os tipos de poluição
Compreender as consequências da poluição do ar e do solo
Relacionar os conceitos de poluição com a importância do saneamento básico.</t>
  </si>
  <si>
    <t>Impactos da poluição nos sistemas fisiológicos</t>
  </si>
  <si>
    <t>Sistema respiratório</t>
  </si>
  <si>
    <t>Anatomia e fisiologia do sistema respiratório</t>
  </si>
  <si>
    <t>Compreender a anatomia e fisiologia do sistema respiratório humano.</t>
  </si>
  <si>
    <t>Sistema cardiovascular</t>
  </si>
  <si>
    <t>Anatomia e fisiologia do sistema cardiovascular</t>
  </si>
  <si>
    <t>Compreender a anatomia e fisiologia do sistema cardiovascular humano.</t>
  </si>
  <si>
    <t>Retomada: Impactos da poluição nos sistemas respiratório e cardiovascular</t>
  </si>
  <si>
    <t>Impactos da poluição nos sistemas respiratório e cardiovascular</t>
  </si>
  <si>
    <t>Identificar e analisar os riscos da poluição nos sistemas respiratório e cardiovascular.</t>
  </si>
  <si>
    <t>(EM13CNT104) Avaliar os benefícios e os riscos à saúde e ao ambiente, considerando a composição, a toxicidade e a reatividade de diferentes materiais e produtos, como também o nível de exposição a eles, posicionando-se criticamente e propondo soluções individuais e/ou coletivas para seus usos e descartes responsáveis.</t>
  </si>
  <si>
    <t>Bioacumulação trófica</t>
  </si>
  <si>
    <t>Bioacumulação</t>
  </si>
  <si>
    <t>Bioacumulação
Níveis Tróficos</t>
  </si>
  <si>
    <t>Avaliar os riscos à saúde e ao ambiente, considerando a composição e a toxicidade de diferentes produtos, como também o nível de exposição a eles;
Conceituar e contextualizar bioacumulação.</t>
  </si>
  <si>
    <t xml:space="preserve">Praticando Ambiente e saúde </t>
  </si>
  <si>
    <t>Poluição e saúde</t>
  </si>
  <si>
    <t>Aplicar os conceitos de poluição e saúde.</t>
  </si>
  <si>
    <t>2º bimestre</t>
  </si>
  <si>
    <t>Metabolismo energético (fotossíntese)</t>
  </si>
  <si>
    <t>Metabolismo energético: fotossíntese</t>
  </si>
  <si>
    <t>Metabolismo energético</t>
  </si>
  <si>
    <t>Analisar e representar as transformações em sistemas que envolvam quantidade de energia.​</t>
  </si>
  <si>
    <t>Metabolismo energético (respiração celular)</t>
  </si>
  <si>
    <t>Metabolismo energético: respiração celular</t>
  </si>
  <si>
    <t>Respiração celular.</t>
  </si>
  <si>
    <t>Analisar e representar a respiração celular.</t>
  </si>
  <si>
    <t>Fotossíntese e respiração celular</t>
  </si>
  <si>
    <t>Comparação entre fotossíntese e respiração celular</t>
  </si>
  <si>
    <t>Observar e comparar os processos, reagentes e produtos da fotossíntese e respiração celular.</t>
  </si>
  <si>
    <t>EM13CNT102 Realizar previsões, avaliar intervenções e/ou construir protótipos de sistemas térmicos que visem à sustentabilidades, considerando sua composição e os efeitos das variáveis termodinâmicas sobre seu funcionamento, considerando também o uso de tecnologias digitais que auxiliem no cálculo de estimativas e no apoio à construção dos protótipos.</t>
  </si>
  <si>
    <t>Efeito estufa (manutenção da vida)</t>
  </si>
  <si>
    <t>Efeito estufa: manutenção da vida</t>
  </si>
  <si>
    <t>Efeito estufa: manutenção da vida.
Composição da atmosfera</t>
  </si>
  <si>
    <t>Compreender a importância do efeito estufa como fenômeno natural.</t>
  </si>
  <si>
    <t>Áreas verdes urbanas</t>
  </si>
  <si>
    <t>Compreender o que são áreas verdes urbanas, sua função ecológica.</t>
  </si>
  <si>
    <t>Fotossíntese</t>
  </si>
  <si>
    <t>Praticando: Fotossíntese</t>
  </si>
  <si>
    <t>Aplicar os conceitos de fotossíntese</t>
  </si>
  <si>
    <t>(EM13CNT103)
Utilizar o conhecimento sobre as radiações e suas origens para avaliar as potencialidades e os riscos de sua aplicação em equipamentos de uso cotidiano, na saúde, no ambiente, na indústria, na agricultura e na geração de energia elétrica.</t>
  </si>
  <si>
    <t>Radiação solar</t>
  </si>
  <si>
    <t>Radiação ultravioleta;​
Cuidados com a exposição a radiação solar.​</t>
  </si>
  <si>
    <t>Mobilizar o conhecimento ​sobre radiação ultravioleta para avaliar as potencialidades e os ​riscos à saúde.​</t>
  </si>
  <si>
    <t>Mitose e câncer</t>
  </si>
  <si>
    <t>Mitose;​
Câncer.​</t>
  </si>
  <si>
    <t>Conhecer o conceito de mitose;​
Identificar a relação entre mitose e câncer;​
Reconhecer a importância do conhecimento científico para a prevenção do câncer.</t>
  </si>
  <si>
    <t>Meiose</t>
  </si>
  <si>
    <t>Reconhecer a relação entre meiose e formação de gametas em animais;​</t>
  </si>
  <si>
    <t>Divisões celulares</t>
  </si>
  <si>
    <t>Praticando: Divisões celulares</t>
  </si>
  <si>
    <t>Mitose;​
Meiose.</t>
  </si>
  <si>
    <t>Aplicar os conceitos de mitose e meiose.</t>
  </si>
  <si>
    <t>EM13CNT206 Discutir a importância da preservação e conservação da biodiversidade, considerando parâmetros qualitativos e quantitativos, e avaliar os efeitos da ação humana e das políticas ambientais para a garantia da sustentabilidade do planeta.</t>
  </si>
  <si>
    <t>Bioética (proteção e manutenção da variabilidade genética)</t>
  </si>
  <si>
    <t>Organismos geneticamente modificados são transgênicos?</t>
  </si>
  <si>
    <t>Organismos Geneticamente Modificados (OGM);
Transgênicos;
Biossegurança.</t>
  </si>
  <si>
    <t>Reconhecer o que são Organismos Geneticamente Modificados (OGM).
Compreender a diferença entre OGM e transgênicos.
Discutir a importância da biossegurança para preservação e conservação da biodiversidade.</t>
  </si>
  <si>
    <t>Transgênicos: o que precisamos saber sobre eles?</t>
  </si>
  <si>
    <t>Transgênicos;
Transgenes;
Melhoramento genético;
Bioética.</t>
  </si>
  <si>
    <t>Identificar os diferentes aspectos envolvendo transgênicos.
Reconhecer os principais objetivos dos transgênicos.
Discutir a importância da biossegurança e da bioética na tomada de decisões envolvendo transgênicos</t>
  </si>
  <si>
    <t>Bioética e diversidade genética</t>
  </si>
  <si>
    <t>Diversidade genética;
Biodiversidade;
Bioética e biossegurança</t>
  </si>
  <si>
    <t>Reconhecer a importância da diversidade genética para manutenção da biodiversidade.
Discutir a importância da existência de uma legislação de biossegurança.
Avaliar que ações humanas podem levar a diminuição da diversidade genética.</t>
  </si>
  <si>
    <t>Praticando: Organismos geneticamente modificados</t>
  </si>
  <si>
    <t>Organismos geneticamente modificados</t>
  </si>
  <si>
    <t>Aplicar os conceitos sobre organismos geneticamente modificados.</t>
  </si>
  <si>
    <t>3º bimestre</t>
  </si>
  <si>
    <t>EM13CNT105 − Analisar os ciclos biogeoquímicos e interpretar os efeitos de fenômenos naturais e da interferência humana sobre esses ciclos, para promover ações individuais e/ ou coletivas que minimizem consequências nocivas à vida.</t>
  </si>
  <si>
    <t>Ciclos biogeoquímicos</t>
  </si>
  <si>
    <t>Ciclos biogeoquímicos do carbono e do oxigênio</t>
  </si>
  <si>
    <t>Ciclo do carbono
Ciclo do oxigênio</t>
  </si>
  <si>
    <t>Analisar os ciclos biogeoquímicos do carbono e oxigênio.
Relacionar o ciclo da água com os ciclos do carbono e do oxigênio.</t>
  </si>
  <si>
    <t>Ciclo do nitrogênio</t>
  </si>
  <si>
    <t>Analisar o ciclo biogeoquímico do nitrogênio.</t>
  </si>
  <si>
    <t>Interferência humana nos ciclos biogeoquímicos (fertilizantes)</t>
  </si>
  <si>
    <t>Interferência humana nos ciclos biogeoquímicos: fertilizantes</t>
  </si>
  <si>
    <t>Tipos de fertilizantes.
Impactos dos fertilizantes no ciclo do nitrogênio.</t>
  </si>
  <si>
    <t>Diferenciar os tipos de fertilizantes.
Analisar os impactos da interferência humana no ciclo do nitrogênio.</t>
  </si>
  <si>
    <t>Eutrofização e Maré vermelha</t>
  </si>
  <si>
    <t>Eutrofização
Maré vermelha</t>
  </si>
  <si>
    <t>Identificar e analisar os impactos da interferência humana na eutrofização e maré vermelha.</t>
  </si>
  <si>
    <t>Ações mitigatórias da interferência humana nos ciclos biogeoquímicos</t>
  </si>
  <si>
    <t>Alternativas sustentáveis para o uso de fertilizantes</t>
  </si>
  <si>
    <t>Adubação verde
Reflorestamento</t>
  </si>
  <si>
    <t>Identificar e analisar alternativas ecológicas e sustentáveis para o uso de fertilizantes.</t>
  </si>
  <si>
    <t>Reflorestamento
Rotação de culturas</t>
  </si>
  <si>
    <t>EM13CNT201 − Analisar e discutir modelos, teorias e leis propostos em diferentes épocas e culturas para comparar distintas explicações sobre o surgimento e a evolução da Vida, da Terra e do Universo com as teorias científicas aceitas atualmente.</t>
  </si>
  <si>
    <t>Teorias científicas sobre a Origem da Vida</t>
  </si>
  <si>
    <t>Construção de hipóteses e teorias científicas</t>
  </si>
  <si>
    <t>Conceitos: fato, mito, crença, hipótese, senso comum e teoria científica.
Método científico.</t>
  </si>
  <si>
    <t>Conceituar fato, mito, crença, hipótese, senso comum e teoria científica.
Analisar e discutir o método científico.</t>
  </si>
  <si>
    <t>Teorias científicas sobre a origem da vida</t>
  </si>
  <si>
    <t>Panspermia cósmica
Evolução química
Abiogênese
Biogênese</t>
  </si>
  <si>
    <t>Conceituar e analisar: panspermia cósmica, evolução química, abiogênese e biogênese.</t>
  </si>
  <si>
    <t>Teorias científicas: experimentos de Redi, Spallanzani e Pasteur</t>
  </si>
  <si>
    <t>Experimentos de Redi, Spallanzani e Pasteur</t>
  </si>
  <si>
    <t>Analisar em ordem cronológica os experimentos Redi (1668), Spallanzani (1770) e Pasteur (1860).</t>
  </si>
  <si>
    <t>Teorias científicas sobre evolução (histórico e experimentos)</t>
  </si>
  <si>
    <t>Surgimento e evolução da vida</t>
  </si>
  <si>
    <t>Terra primitiva
Teoria de Oparin e Haldane
Experimento de Urey e Miller</t>
  </si>
  <si>
    <t>Analisar e discutir: terra primitiva, teoria de Oparin e Haldane e experimento de Urey e Miller.</t>
  </si>
  <si>
    <t>Teorias científicas sobre evolução</t>
  </si>
  <si>
    <t>Teorias de Lamarck e Darwin</t>
  </si>
  <si>
    <t>Analisar as teorias científicas sobre a evolução da vida.</t>
  </si>
  <si>
    <t>Árvores filogenéticas</t>
  </si>
  <si>
    <t>Árvores filogenéticas
Ancestral comum
Convergência e irradiação adaptativa</t>
  </si>
  <si>
    <t>Compreender e analisar árvores filogenéticas;
Conceituar ancestral comum;
Analisar e diferenciar convergência e irradiação adaptativa.</t>
  </si>
  <si>
    <t>4º bimestre</t>
  </si>
  <si>
    <t>(EM13CNT207) Identificar e analisar vulnerabilidades vinculadas aos desafios contemporâneos aos
quais as juventudes estão expostas, considerando as dimensões física, psicoemocional e social, a fim
de desenvolver e divulgar ações de prevenção e de promoção da saúde e do bem-estar.</t>
  </si>
  <si>
    <t>Sistema Nervoso</t>
  </si>
  <si>
    <t>Reconhecer as estruturas do Sistema Nervoso;
Compreender as divisões e funções do Sistema Nervoso.</t>
  </si>
  <si>
    <t>(EM13CNT202) − Analisar as diversas formas de manifestação da vida em seus diferentes níveis de
organização, bem como as condições ambientais favoráveis e os fatores limitantes a elas, com ou sem
o uso de dispositivos e aplicativos digitais (como softwares de simulação e de realidade virtual, entre outros).</t>
  </si>
  <si>
    <t>Fisiologia comparada (Sistema digestório)</t>
  </si>
  <si>
    <t>Fisiologia comparada: sistema digestório</t>
  </si>
  <si>
    <t>Tipos de digestão.
Sistema digestório humano.</t>
  </si>
  <si>
    <t>Identificar a diversidade dos tipos de digestão.
Analisar o sistema digestório do ser humano.</t>
  </si>
  <si>
    <t>Fisiologia comparada (Sistema circulatório)</t>
  </si>
  <si>
    <t>Fisiologia comparada: sistema circulatório</t>
  </si>
  <si>
    <t>Tipos de circulação.</t>
  </si>
  <si>
    <t>Analisar e comparar os tipos de circulação.</t>
  </si>
  <si>
    <t>Fisiologia comparada (Sistema respiratório)</t>
  </si>
  <si>
    <t>Fisiologia comparada: sistema respiratório</t>
  </si>
  <si>
    <t>Tipos de respiração;
Difusão e osmose.</t>
  </si>
  <si>
    <t>Analisar como a multicelularidade interfere na complexidade e na diversidade dos seres vivos.
Comparar tipos de respiração.
Retomar conceitos de difusão e osmose.</t>
  </si>
  <si>
    <t>Fisiologia comparada (reprodução)</t>
  </si>
  <si>
    <t>Fisiologia comparada: reprodução</t>
  </si>
  <si>
    <t>Tipos de reprodução</t>
  </si>
  <si>
    <t>Analisar e comparar os tipos de reprodução.</t>
  </si>
  <si>
    <t>Sistema endócrino e contraceptivos hormonais</t>
  </si>
  <si>
    <t xml:space="preserve">Contracepção hormonal;
Sistema endócrino;
Ciclo ovariano e menstrual.
</t>
  </si>
  <si>
    <t xml:space="preserve">Reconhecer a importância de compreender a fisiologia humana para promoção da saúde; 
Analisar a relação entre sistema endócrino e ciclo ovariano. 
</t>
  </si>
  <si>
    <t>Bactérias</t>
  </si>
  <si>
    <t>Bactérias (características e formas de classificação).</t>
  </si>
  <si>
    <t>Compreender e analisar a diversidade morfológica das bactérias.
Identificar condições ambientais favoráveis e limitantes para o crescimento/sobrevivência das bactérias.</t>
  </si>
  <si>
    <t>Fungos</t>
  </si>
  <si>
    <t>Fungos (características gerais)</t>
  </si>
  <si>
    <t xml:space="preserve">Analisar as principais características dos fungos.
</t>
  </si>
  <si>
    <t>(EM13CNT310) 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t>
  </si>
  <si>
    <t>Higiene dos alimentos</t>
  </si>
  <si>
    <t>Reconhecer a importância da higiene e cuidados ao armazenar alimentos;​
Identificar necessidades locais, a fim de compartilhar conhecimento que contribuam para a melhoria na qualidade de vida e nas condições de saúde da população.​</t>
  </si>
  <si>
    <t>Giardíase e Amebíase</t>
  </si>
  <si>
    <t>Giardíase;​
Amebíase.</t>
  </si>
  <si>
    <t>Reconhecer as principais causas, sintomas e profilaxia das protozooses (giardíase e amebíase);​
Identificar como promover ações que contribuam para a melhoria na qualidade de vida e nas condições de saúde da população.​</t>
  </si>
  <si>
    <t>Obesidade;
Desnutrição.</t>
  </si>
  <si>
    <t>Obesidade e desnutrição</t>
  </si>
  <si>
    <t>Reconhecer a importância dos cuidados com a alimentação e seus impactos na saúde;​
Relacionar obesidade a outros problemas de saúde.</t>
  </si>
  <si>
    <t>Segurança alimentar e alimentação equilibrada</t>
  </si>
  <si>
    <t>Segurança alimentar;​
Insegurança alimentar;​
ODS 2.</t>
  </si>
  <si>
    <t>Definir Segurança alimentar e Insegurança alimentar;​
Reconhecer a importância de políticas públicas para garantia do direito à saúde e à alimentação;​
Identificar necessidades locais e/ou regionais em relação aos indicadores do ODS 2, a fim de promover ações que contribuam para o cumprimento da meta 2.2 do ODS 2.</t>
  </si>
  <si>
    <t>HABILIDADE (CÓDIGO)</t>
  </si>
  <si>
    <t>HABILIDADE (TEXTO)</t>
  </si>
  <si>
    <t>1ª</t>
  </si>
  <si>
    <t>EM13LP20</t>
  </si>
  <si>
    <t>Compartilhar gostos, interesses, práticas culturais, temas/problemas/questões que despertam maior interesse ou preocupação, respeitando e valorizando diferenças, como forma de identificar afinidades e interesses comuns, como também de organizar e/ou participar de grupos, clubes, oficinas e afins.</t>
  </si>
  <si>
    <t>Consumo, Sustentabilidade e Cidadania</t>
  </si>
  <si>
    <t>Cidadania Financeira.</t>
  </si>
  <si>
    <t>Introdução à Educação Financeira</t>
  </si>
  <si>
    <t>• Percepções sobre dinheiro.
• Sonhos e aspirações financeiras</t>
  </si>
  <si>
    <t>• Identificar suas próprias percepções e expectativas em relação ao dinheiro e à educação financeira.
• Expressar, de forma clara e organizada, as razões pessoais para aprender sobre finanças.</t>
  </si>
  <si>
    <t>EM13LP27
EM13MAT101</t>
  </si>
  <si>
    <t>• Engajar-se na busca de solução para problemas que envolvam a coletividade, denunciando o desrespeito a direitos, organizando e/ou participando de discussões, campanhas e debates, produzindo textos reivindicatórios, normativos, entre outras possibilidades, como forma de fomentar os princípios democráticos e uma atuação pautada pela ética da responsabilidade, pelo consumo consciente e pela consciência socioambiental.
• Interpretar criticamente situações econômicas, sociais e fatos relativos às Ciências da Natureza que envolvam a variação de grandezas, pela análise dos gráficos das funções representadas e das taxas de variação, com ou sem apoio de tecnologias digitais.</t>
  </si>
  <si>
    <t>Panorama da Educação Financeira</t>
  </si>
  <si>
    <t>• Objetivos da Educação Financeira.
• Conexão com Projeto de Vida</t>
  </si>
  <si>
    <t>Reconhecer os objetivos e a estrutura geral do componente de Educação Financeira.</t>
  </si>
  <si>
    <t>EM13CHS202
EM13CO07</t>
  </si>
  <si>
    <t>• 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 Compreender as diferentes tecnologias, bem como equipamentos, protocolos e serviços envolvidos no funcionamento de redes de computadores, identificando suas possibilidades de escala e confiabilidade.</t>
  </si>
  <si>
    <t>Sistema Financeiro e Economia</t>
  </si>
  <si>
    <t>Instituições e serviços financeiros.</t>
  </si>
  <si>
    <t>Sistema Financeiro Nacional – Parte 1: bancos e meios de pagamento</t>
  </si>
  <si>
    <t>• Bancos e outras instituições financeiras.
• Serviços bancários básicos.
• Meios de pagamento (físicos e digitais).</t>
  </si>
  <si>
    <t>• Identificar o modo de funcionamento de bancos.
• Analisar mudanças e permanências dos meios de pagamento ao longo do tempo</t>
  </si>
  <si>
    <t>EM13CHS202</t>
  </si>
  <si>
    <t>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t>
  </si>
  <si>
    <t>Sistema Financeiro Nacional – Parte 2: reconhecendo as instituições financeiras</t>
  </si>
  <si>
    <t>• Finalidade das Instituições Financeiras.
• Papel do Banco Central.
• Regulação e Segurança Financeira.
• Serviços Financeiros Essenciais.</t>
  </si>
  <si>
    <t>• Reconhecer a finalidade de bancos e outras instituições financeiras.
• Avaliar a importância da regulamentação e da segurança na interação com os serviços financeiros.</t>
  </si>
  <si>
    <t>EM13CHS402</t>
  </si>
  <si>
    <t>Analisar e comparar indicadores de emprego, trabalho e renda em diferentes espaços, escalas e tempos, associando-os a processos de estratificação e desigualdade socioeconômica.</t>
  </si>
  <si>
    <t>Renda, Empreendedorismo e Trabalho</t>
  </si>
  <si>
    <t>Fontes de renda e organização da vida profissional.</t>
  </si>
  <si>
    <t>Renda e trabalho – Parte 1: formas de ganhar dinheiro</t>
  </si>
  <si>
    <t>• Conceitos de renda e trabalho.
•Trabalho formal vs. informal.
• Tipos de trabalho e renda.
• Impacto da renda no orçamento.</t>
  </si>
  <si>
    <t>• Reconhecer os conceitos de renda e trabalho.
• Diferenciar os tipos de renda e trabalho, considerando suas características e impactos sobre o orçamento.
• Analisar como o tipo de renda influencia a estabilidade e o planejamento do orçamento pessoal.</t>
  </si>
  <si>
    <t>EM13CHS401
EM13MAT102
EM13MAT406</t>
  </si>
  <si>
    <t>• Identificar e analisar as relações entre sujeitos, grupos, classes sociais e sociedades com culturas distintas diante das transformações técnicas, tecnológicas e informacionais e das novas formas de trabalho ao longo do tempo, em diferentes espaços (urbanos e rurais) e contextos.
• Analisar tabelas, gráficos e amostras de pesquisas estatísticas apresentadas em relatórios divulgados por diferentes meios de comunicação, identificando, quando for o caso, inadequações que possam induzir a erros de interpretação, como escalas e amostras não apropriadas.
• Construir e interpretar tabelas e gráficos de frequências com base em dados obtidos em pesquisas por amostras estatísticas, incluindo ou não o uso de softwares que inter-relacionem estatística, geometria e álgebra.</t>
  </si>
  <si>
    <t>Renda e trabalho – Parte 2: empregabilidade</t>
  </si>
  <si>
    <t>• Empregabilidade.
• Taxa de desocupação.</t>
  </si>
  <si>
    <t>• Compreender o conceito de empregabilidade e os fatores que a influenciam no mercado de trabalho.
• Analisar dados estatísticos sobre o cenário de desocupação no Brasil.</t>
  </si>
  <si>
    <t>EM13CHS402
EM13MAT104</t>
  </si>
  <si>
    <t>• Analisar e comparar indicadores de emprego, trabalho e renda em diferentes espaços, escalas e tempos, associando-os a processos de estratificação e desigualdade socioeconômica.
• Interpretar taxas e índices de natureza socioeconômica (índice de desenvolvimento humano, taxas de inflação, entre outros), investigando os processos de cálculo desses números, para analisar criticamente a realidade e produzir argumentos.</t>
  </si>
  <si>
    <t>Renda e trabalho – Parte 3: uma análise crítica</t>
  </si>
  <si>
    <t>• Distribuição de renda e desigualdade.
• Salário-mínimo.
• Benefícios sociais.</t>
  </si>
  <si>
    <t>Analisar os impactos da desigualdade de renda na sociedade e a função de mecanismos como o salário mínimo.</t>
  </si>
  <si>
    <t>EM13MAT203
EM13CHS404</t>
  </si>
  <si>
    <t>•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t>
  </si>
  <si>
    <t>Desafio da Vida Financeira -– Analisando perfis socioeconômicos</t>
  </si>
  <si>
    <t>• Perfis socioeconômicos.
• Estudo de caso.</t>
  </si>
  <si>
    <t>Analisar diferentes perfis socioeconômicos de jovens adultos, identificando suas fontes e características de renda.</t>
  </si>
  <si>
    <t>EF09MA03
EM13MAT203</t>
  </si>
  <si>
    <t>• Efetuar cálculos com números reais, inclusive potências com expoentes fracionários.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</si>
  <si>
    <t>Planejamento e Gestão Financeira</t>
  </si>
  <si>
    <t>Orçamento e controle financeiro.</t>
  </si>
  <si>
    <t>Orçamento pessoal básico – Parte 1: gastos do cotidiano</t>
  </si>
  <si>
    <t>• Conceito de Orçamento Pessoal.
• Registro e Categorização de Gastos.
• Despesas Fixas e Variáveis.</t>
  </si>
  <si>
    <t>• Identificar os componentes essenciais de um orçamento pessoal, como receitas e despesas.
• Classificar gastos do cotidiano do personagem em despesas fixas e variáveis.</t>
  </si>
  <si>
    <t>EF09MA05
EM13MAT203</t>
  </si>
  <si>
    <t>• Resolver e elaborar problemas que envolvam porcentagens, com a ideia de aplicação de percentuais sucessivos e a determinação das taxas percentuais, preferencialmente com o uso de tecnologias digitais, no contexto da educação financeira.
•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</si>
  <si>
    <t>Orçamento pessoal básico – Parte 2: estratégias de organização</t>
  </si>
  <si>
    <t>• Construção de Orçamento Mensal.
• Regra 50/30/20.
• Métodos de Organização Financeira.</t>
  </si>
  <si>
    <t>• Elaborar um orçamento mensal simples, considerando suas receitas e despesas.
• Aplicar uma estratégia básica de organização financeira para gerenciar o dinheiro.</t>
  </si>
  <si>
    <t>EF69LP04
EM13CHS303</t>
  </si>
  <si>
    <t>•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
• Debater e avaliar o papel da indústria cultural e das culturas de massa no estímulo ao consumismo, seus impactos econômicos e socioambientais, com vistas à percepção crítica das necessidades criadas pelo consumo e à adoção de hábitos sustentáveis.</t>
  </si>
  <si>
    <t>Priorização de orçamento – Parte 1: necessidades x desejos</t>
  </si>
  <si>
    <t>• Consumismo.
• Priorização de gastos.</t>
  </si>
  <si>
    <t>• Diferenciar necessidades de desejos em cenários de consumo.
• Analisar a influência da publicidade no comportamento de compra e na criação de desejos.</t>
  </si>
  <si>
    <t>Priorização de orçamento – Parte 2: decisões com renda extra</t>
  </si>
  <si>
    <t>• Alocação de Renda Adicional.
• Priorização Financeira.
• Impacto de Decisões no Orçamento.</t>
  </si>
  <si>
    <t>• Aplicar os conceitos de priorização na alocação de uma renda adicional.
• Justificar as decisões de alocação de recursos, considerando os impactos no orçamento e nas metas.</t>
  </si>
  <si>
    <t>EM13MAT203</t>
  </si>
  <si>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t>
  </si>
  <si>
    <t>Poupança e investimentos.</t>
  </si>
  <si>
    <t>Objetivos financeiros – Parte 1: introdução à poupança</t>
  </si>
  <si>
    <t>• Conceito de Poupança.
• Importância de Poupar.
• Objetivos de Curto e Médio Prazo.</t>
  </si>
  <si>
    <t>• Reconhecer o conceito e a importância da poupança para alcançar objetivos financeiros.
• Identificar diferentes formas e locais para guardar dinheiro.</t>
  </si>
  <si>
    <t>Objetivos financeiros – Parte 2: definindo metas</t>
  </si>
  <si>
    <t>• Definição de Metas de Poupança.
• Cálculo de Economia Mensal.
• Planejamento para Atingir Metas.</t>
  </si>
  <si>
    <t>• Elaborar um plano de poupança simples, definindo metas e o valor a ser guardado mensalmente.
• Aplicar o raciocínio matemático para calcular a economia necessária e o tempo para atingir um objetivo.</t>
  </si>
  <si>
    <t>EF09MA05
EM13MAT303</t>
  </si>
  <si>
    <t>• Resolver e elaborar problemas que envolvam porcentagens, com a ideia de aplicação de percentuais sucessivos e a determinação das taxas percentuais, preferencialmente com o uso de tecnologias digitais, no contexto da educação financeira.
• Interpretar e comparar situações que envolvam juros simples com as que envolvem juros compostos, por meio de representações gráficas ou análise de planilhas, destacando o crescimento linear ou exponencial de cada caso.</t>
  </si>
  <si>
    <t>Crédito e juros.</t>
  </si>
  <si>
    <t>O que são juros?</t>
  </si>
  <si>
    <t>• Conceito de Juros.
• Juros em Empréstimos e Financiamentos.
• Juros em Investimentos.
• Importância dos Juros na Educação Financeira.</t>
  </si>
  <si>
    <t>• Definir o conceito de juros.
• Reconhecer a presença dos juros tanto em situações de dívida quanto de investimento.</t>
  </si>
  <si>
    <t>Entendendo o crédito</t>
  </si>
  <si>
    <t>• Conceito de Crédito.
• Tipos de Crédito (Empréstimo Pessoal, Crediário, Cheque Especial).
• Vantagens e Desvantagens do Crédito.</t>
  </si>
  <si>
    <t>• Definir o conceito de crédito.
• Identificar os diferentes tipos de crédito no dia a dia.
• Reconhecer as vantagens e desvantagens de usar o crédito, considerando seu papel no planejamento financeiro.</t>
  </si>
  <si>
    <t>Endividamento e consumo consciente.</t>
  </si>
  <si>
    <t>Uso consciente do crédito</t>
  </si>
  <si>
    <t>• Juros do Cartão de Crédito.
• Juros rotativos.
• Parcelamento de Fatura.
• Risco de Endividamento.</t>
  </si>
  <si>
    <t>Analisar o funcionamento dos juros do cartão de crédito (rotativo e parcelamento), reconhecendo os altos riscos de endividamento.</t>
  </si>
  <si>
    <t>Impactos do endividamento</t>
  </si>
  <si>
    <t>• Consequências do Endividamento (Físicas, Mentais, Financeiras).
• Inadimplência.
• Negociação de dívida.</t>
  </si>
  <si>
    <t>• Analisar as múltiplas consequências do endividamento excessivo (financeiras, emocionais, sociais).
• Identificar os principais canais e estratégias para buscar ajuda em caso de endividamento.</t>
  </si>
  <si>
    <t>x</t>
  </si>
  <si>
    <t>EM13MAT106</t>
  </si>
  <si>
    <t>Identificar situações da vida cotidiana nas quais seja necessário fazer escolhas levando-se em conta os riscos probabilísticos (usar este ou aquele método contraceptivo, optar por um tratamento médico em detrimento de outro etc.).</t>
  </si>
  <si>
    <t>Riscos, Direitos e Responsabilidades Financeiras</t>
  </si>
  <si>
    <t>Gestão de riscos e fundo de emergência.</t>
  </si>
  <si>
    <t>Aula Complementar - Tomando decisões e analisando riscos</t>
  </si>
  <si>
    <t>• Processo de Tomada de Decisão Financeira
• Tipos de Riscos Pessoais (Saúde, Emprego, Imprevistos).
• Análise de Risco (Probabilidade vs. Impacto).</t>
  </si>
  <si>
    <t>• Descrever um processo de tomada de decisão financeira, considerando diferentes opções e seus riscos.
• Analisar os riscos pessoais mais comuns na vida de um jovem adulto, avaliando suas probabilidades e impactos.</t>
  </si>
  <si>
    <t>EF09MA08
EF09MA05</t>
  </si>
  <si>
    <t>• Resolver e elaborar problemas que envolvam relações de proporcionalidade direta e inversa entre duas ou mais grandezas, inclusive escalas, divisão em partes proporcionais e taxa de variação, em contextos socioculturais, ambientais e de outras áreas.
• Resolver e elaborar problemas que envolvam porcentagens, com a ideia de aplicação de percentuais sucessivos e a determinação das taxas percentuais, preferencialmente com o uso de tecnologias digitais, no contexto da educação financeira.</t>
  </si>
  <si>
    <t>Fundo de emergência e potenciais imprevistos – Parte 1</t>
  </si>
  <si>
    <t>• Conceito de Fundo de Emergência.
• Importância da Reserva Financeira.
• Conceito de Liquidez e Segurança para o Fundo.
• Cálculos envolvendo proporcionalidade.</t>
  </si>
  <si>
    <t>• Reconhecer a importância de um fundo de emergência na gestão financeira pessoal.
• Calcular o valor ideal de um fundo de emergência, considerando despesas e potenciais imprevistos.</t>
  </si>
  <si>
    <t>EM13MAT203
EF09MA05</t>
  </si>
  <si>
    <t>• 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 Resolver e elaborar problemas que envolvam porcentagens, com a ideia de aplicação de percentuais sucessivos e a determinação das taxas percentuais, preferencialmente com o uso de tecnologias digitais, no contexto da educação financeira.</t>
  </si>
  <si>
    <t>Cálculo de fundo de emergência.</t>
  </si>
  <si>
    <t>Fundo de emergência e potenciais imprevistos – Parte 2</t>
  </si>
  <si>
    <t>• Simulação de Cenários de Imprevistos.
• Aplicação do Fundo de Emergência.
• Tomada de Decisão.
• Cálculos envolvendo proporcionalidade.</t>
  </si>
  <si>
    <t>• Aplicar os conhecimentos sobre fundo de emergência e orçamento para resolver cenários de imprevistos.
• Avaliar a eficácia de suas decisões financeiras diante de situações inesperadas e propor ajustes no planejamento.</t>
  </si>
  <si>
    <t>Metas financeiras.</t>
  </si>
  <si>
    <t>Aula Complementar - Como Definir Metas Financeiras para o Futuro?</t>
  </si>
  <si>
    <t>• Conceito de Metas Financeiras (SMART).
• Metas de Curto, Médio e Longo Prazo.</t>
  </si>
  <si>
    <t>• Definir metas financeiras alinhadas aos objetivos de vida.
• Elaborar um plano de ação simples para alcançar metas de curto e médio prazo.</t>
  </si>
  <si>
    <t>Equilíbrio financeiro.</t>
  </si>
  <si>
    <t>Fui Promovido! O Que Fazer?</t>
  </si>
  <si>
    <t>• Aumento de Renda.
• Metas Financeiras.</t>
  </si>
  <si>
    <t>• Planejar a alocação de um aumento de renda, equilibrando consumo, poupança e investimento.
• Avaliar o risco da "inflação do estilo de vida" e suas implicações financeiras.</t>
  </si>
  <si>
    <t>EM13MAT101
EM13MAT104</t>
  </si>
  <si>
    <t>• Interpretar criticamente situações econômicas, sociais e fatos relativos às Ciências da Natureza que envolvam a variação de grandezas, pela análise dos gráficos das funções representadas e das taxas de variação, com ou sem apoio de tecnologias digitais.
• Interpretar taxas e índices de natureza socioeconômica (índice de desenvolvimento humano, taxas de inflação, entre outros), investigando os processos de cálculo desses números, para analisar criticamente a realidade e produzir argumentos.</t>
  </si>
  <si>
    <t>Inflação.</t>
  </si>
  <si>
    <t>Avaliando o cenário econômico básico: o que é inflação?</t>
  </si>
  <si>
    <t>• Conceito de Inflação.
• Impacto da Inflação no Poder de Compra.
• Leitura e interpretação de gráficos de linha e colunas.</t>
  </si>
  <si>
    <t>• Reconhecer o conceito de inflação como o aumento generalizado de preços.
• Analisar o impacto da inflação no poder de compra do dinheiro, utilizando dados e gráficos.</t>
  </si>
  <si>
    <t>EM13MAT104</t>
  </si>
  <si>
    <t>Interpretar taxas e índices de natureza socioeconômica (índice de desenvolvimento humano, taxas de inflação, entre outros), investigando os processos de cálculo desses números, para analisar criticamente a realidade e produzir argumentos.</t>
  </si>
  <si>
    <t>Introdução aos investimentos – conceitos básicos</t>
  </si>
  <si>
    <t>• Conceito de Investimento.
• Diferença entre Poupar e Investir.
• Objetivos de Investimento (Curto, Médio, Longo Prazo).
• Rentabilidade e Risco.</t>
  </si>
  <si>
    <t>• Explicar por que o dinheiro rende ao ser investido, associando esse rendimento aos juros.
• Reconhecer que todo investimento possui um risco inerente, que pode ser maior ou menor.</t>
  </si>
  <si>
    <t>Introdução as investimentos – riscos e tomada de decisão</t>
  </si>
  <si>
    <t>• Regras da Caderneta de Poupança.
• Conceito de Tesouro Direto.
• Segurança dos Investimentos (FGC).</t>
  </si>
  <si>
    <t>• Comparar opções de investimento iniciais.
• Reconhecer os principais benefícios e riscos de investimentos tradicionais.</t>
  </si>
  <si>
    <t>Responsabilidade Financeira.</t>
  </si>
  <si>
    <t>Risco e decisão: preparando o projeto de consciência financeira</t>
  </si>
  <si>
    <t>• Risco financeiro e tomada de decisão.
• Fundo de Emergência, Investimento Seguro, e Riscos das Apostas.
• Notícias e dados estatísticos.</t>
  </si>
  <si>
    <t>• Sistematizar os conceitos de risco financeiro e tomada de decisão consciente abordados no bimestre.
• Analisar notícias e dados estatísticos sobre finanças.</t>
  </si>
  <si>
    <t>Risco e decisão: apresentando o projeto de consciência financeira</t>
  </si>
  <si>
    <t>• Sistematizar os conceitos de risco financeiro e tomada de decisão consciente abordados no bimestre.
• Apresentar os resultados da pesquisa e análise crítica sobre os temas de risco e tomada de decisão financeira.</t>
  </si>
  <si>
    <t>EM13MAT101</t>
  </si>
  <si>
    <t>Interpretar criticamente situações econômicas, sociais e fatos relativos às Ciências da Natureza que envolvam a variação de grandezas, pela análise dos gráficos das funções representadas e das taxas de variação, com ou sem apoio de tecnologias digitais.</t>
  </si>
  <si>
    <t>Estilo de vida e planejamento financeiro.</t>
  </si>
  <si>
    <t>Traçando perfis financeiros</t>
  </si>
  <si>
    <t>• Perfis financeiros.
• Valores pessoais.
• Escolhas financeiras.</t>
  </si>
  <si>
    <t>• Entender sobre diferentes perfis financeiros.
• Identificar diferentes aspectos por trás de uma decisão financeira.</t>
  </si>
  <si>
    <t>Rendas e despesas – Parte 1</t>
  </si>
  <si>
    <t>• Fontes de renda.
• Tipos de despesas.
• Diferença entre receita e despesa.</t>
  </si>
  <si>
    <t>• Identificar as diversas fontes de renda pessoal. 
• Reconhecer e listar os principais tipos de despesas do dia a dia.</t>
  </si>
  <si>
    <t>Rendas e despesas – Parte 2</t>
  </si>
  <si>
    <t>• Classificação de despesas (fixas, variáveis, essenciais, supérfluas).
• Cálculo de saldo (receitas – despesas).
• Importância do registro financeiro.</t>
  </si>
  <si>
    <t>Interpretar indicadores econômicos, relacionando-os à tomada de decisões financeiras pessoais e sociais.</t>
  </si>
  <si>
    <t>Planejamento Financeiro Básico: Conceitos e Prioridades</t>
  </si>
  <si>
    <t>• Conceito de planejamento financeiro.
• Definição de metas financeiras (curto, médio e longo prazo).
• Prioridades financeiras.</t>
  </si>
  <si>
    <t>• Compreender o conceito de planejamento financeiro.
• Definir metas financeiras realistas.
• Estabelecer prioridades para o uso do dinheiro.</t>
  </si>
  <si>
    <t>Planejamento Financeiro Básico: oficina de orçamento – Parte 1</t>
  </si>
  <si>
    <t>• Elaboração de orçamento pessoal/familiar em planilha.
• Técnicas de controle de gastos (ex: regra 50-30-20, método dos envelopes).
• Análise de cenários.</t>
  </si>
  <si>
    <t>• Planejar um orçamento pessoal simples.
• Aplicar técnicas de controle de gastos para atingir metas financeiras.</t>
  </si>
  <si>
    <t>Planejamento Financeiro Básico: oficina de orçamento – Parte 2</t>
  </si>
  <si>
    <t>• Elaborar um orçamento pessoal simples utilizando planilhas eletrônicas.
• Aplicar técnicas de controle de gastos para atingir metas financeiras.</t>
  </si>
  <si>
    <t xml:space="preserve"> Analisar e comparar indicadores de emprego, trabalho e renda em diferentes espaços, escalas e tempos, associando-os a processos de estratificação e desigualdade socioeconômica.</t>
  </si>
  <si>
    <t>Fontes de renda.</t>
  </si>
  <si>
    <t>Carreira e renda: desafios e oportunidades financeiras</t>
  </si>
  <si>
    <t>• Tipos de emprego e geração de renda (CLT, PJ, autônomo, empreendedorismo).
• Salário-mínimo.
• Influência das escolhas de carreira na gestão de renda.</t>
  </si>
  <si>
    <t>• Identificar diferentes formas de geração de renda e suas implicações.
• Compreender a relação entre carreira e finanças.</t>
  </si>
  <si>
    <t>Interpretar taxas e índices de natureza socioeconômica, investigando os processos de cálculo desses números, para analisar criticamente a realidade e produzir argumentos.</t>
  </si>
  <si>
    <t>Entendendo Os Impostos na Sociedade – Parte 1</t>
  </si>
  <si>
    <t>• Arrecadação do Estado.
• Finalidade dos impostos (saúde, educação, segurança, infraestrutura).
• Diferença entre tributos, impostos, taxas e contribuições.</t>
  </si>
  <si>
    <t>• Reconhecer o papel do Estado na economia através da arrecadação de impostos.
• Compreender a finalidade dos impostos na sociedade.</t>
  </si>
  <si>
    <t>Impostos.</t>
  </si>
  <si>
    <t>Entendendo Os Impostos na Sociedade – Parte 2</t>
  </si>
  <si>
    <t>• Imposto sobre renda.
• Imposto sobre consumo.
• Diferença entre impostos diretos e indiretos.
• Impacto dos impostos no preço final dos produtos.</t>
  </si>
  <si>
    <t>Compreender a diferença básica entre imposto sobre renda e imposto sobre consumo; identificar impostos diretos e indiretos.</t>
  </si>
  <si>
    <t>Holerite.</t>
  </si>
  <si>
    <t>Holerite: Uma Introdução</t>
  </si>
  <si>
    <t>• Holerite (o que é e para que serve).
• Salário bruto e salário líquido (conceitos).
• Principais descontos obrigatórios (INSS, IRRF – conceitual).
• Proventos (salário-base, horas extras, adicionais).</t>
  </si>
  <si>
    <t>Identificar riscos e incertezas em decisões financeiras e aplicar cálculos probabilísticos para avaliar melhores escolhas.</t>
  </si>
  <si>
    <t>Holerite: Cálculos e Salário Líquido</t>
  </si>
  <si>
    <t>• Cálculo de descontos em folha (INSS, IRRF, vale-transporte) com porcentagens simples.
• Determinação do salário líquido.</t>
  </si>
  <si>
    <t>• Realizar cálculos de descontos básicos na folha de pagamento.
• Determinar o salário líquido de um trabalhador fictício.</t>
  </si>
  <si>
    <t>Indicadores econômicos.</t>
  </si>
  <si>
    <t>Indicadores Econômicos – Parte 1: Inflação</t>
  </si>
  <si>
    <t>• Inflação.
• IPCA.
• Poder de compra.</t>
  </si>
  <si>
    <t>Reconhecer o conceito de inflação.</t>
  </si>
  <si>
    <t>Indicadores Econômicos – Parte 2: Taxa Selic</t>
  </si>
  <si>
    <t>• Taxa Selic.
• Inflação.</t>
  </si>
  <si>
    <t>• Reconhecer indicadores como o PIB e a Taxa Selic.
• Identificar sua influência geral no cenário econômico.</t>
  </si>
  <si>
    <t>EM13CO20
EM13CO21</t>
  </si>
  <si>
    <t>• Criar conteúdos, disponibilizando-os em ambientes virtuais para publicação e compartilhamento, avaliando a confiabilidade e as consequências da disseminação dessas informações.
• Comunicar ideias complexas de forma clara por meio de objetos digitais como mapas conceituais, infográficos, hipertextos e outros.</t>
  </si>
  <si>
    <t>Apresentando conceitos de finanças</t>
  </si>
  <si>
    <t>Revisão dos conceitos-chave do bimestre (orçamento, impostos, inflação, indicadores).</t>
  </si>
  <si>
    <t>• Consolidar os conhecimentos adquiridos no bimestre.
• Planejar a criação de uma cartilha digital (série de posts) sobre um conceito financeiro para o público jovem.</t>
  </si>
  <si>
    <t>Tomada de decisão com base em riscos.</t>
  </si>
  <si>
    <t>Tomada de decisão e análise de riscos</t>
  </si>
  <si>
    <t>• Riscos e benefícios na escolha de investimentos.
• Impacto dos riscos nas decisões financeiras.</t>
  </si>
  <si>
    <t>Identificar os riscos em decisões financeiras e avaliar as melhores opções com base em probabilidades.</t>
  </si>
  <si>
    <t>EM13MAT303</t>
  </si>
  <si>
    <t>Interpretar e comparar situações que envolvam juros simples com as que envolvem juros compostos, por meio de representações gráficas ou análise de planilhas, destacando o crescimento linear ou exponencial de cada caso.</t>
  </si>
  <si>
    <t>Comparação de juros simples e compostos.</t>
  </si>
  <si>
    <t>Juros: simples vs. compostos – Parte 1</t>
  </si>
  <si>
    <t>• Diferença entre juros simples e compostos.
• Simulação de investimentos.
• Análise de crescimento exponencial.</t>
  </si>
  <si>
    <t>Entender as diferenças entre juros simples e compostos e aplicá-las em contextos práticos de investimento e financiamento.</t>
  </si>
  <si>
    <t>Juros: simples vs. compostos – Parte 2</t>
  </si>
  <si>
    <t>• Cálculo de juros compostos e simples.
• Comparação entre crescimento linear e exponencial.</t>
  </si>
  <si>
    <t>Analisar como diferentes tipos de juros afetam os planos financeiros, aplicando em contextos reais.</t>
  </si>
  <si>
    <t>Simulação de investimentos.</t>
  </si>
  <si>
    <t>Modelagem de investimentos</t>
  </si>
  <si>
    <t>• Cálculo de rentabilidade de investimentos.
• Simulação de crescimento de ativos.
• Planejamento a longo prazo.</t>
  </si>
  <si>
    <t>Aplicar modelagem matemática para prever crescimento de investimentos e aprender a planejar financeiramente a longo prazo.</t>
  </si>
  <si>
    <t>Tempo e crescimento exponencial.</t>
  </si>
  <si>
    <t>O impacto do tempo nos investimentos</t>
  </si>
  <si>
    <t>• Como o tempo afeta o crescimento dos investimentos.
• Cálculo exponencial e logarítmico.
• Importância do investimento a longo prazo.</t>
  </si>
  <si>
    <t>Compreender como o tempo afeta os investimentos e o crescimento exponencial e aprender a fazer cálculos usando funções exponenciais e logarítmicas.</t>
  </si>
  <si>
    <t>Decisões financeiras com base em indicadores.</t>
  </si>
  <si>
    <t>Avaliando o cenário econômico</t>
  </si>
  <si>
    <t>• Análise de indicadores econômicos.
• Taxas de juros, inflação e PIB.
• Impacto dos indicadores na vida financeira pessoal.</t>
  </si>
  <si>
    <t>Avaliar o cenário econômico usando indicadores como PIB, inflação e taxas de juros, e como esses fatores afetam as decisões financeiras.</t>
  </si>
  <si>
    <t>Avaliação de riscos financeiros.</t>
  </si>
  <si>
    <t>Aula Complementar - Riscos e incertezas nos investimentos</t>
  </si>
  <si>
    <t>• Avaliação de riscos.
• Cálculo de probabilidades em decisões financeiras.
• Escolha de investimentos e riscos envolvidos.</t>
  </si>
  <si>
    <t>Simulação de cenários financeiros.</t>
  </si>
  <si>
    <t>Planejamento a longo prazo</t>
  </si>
  <si>
    <t>• Simulação de cenários financeiros para o futuro.
• Como calcular o impacto de decisões financeiras a longo prazo.</t>
  </si>
  <si>
    <t>Utilizar ferramentas de simulação para prever os resultados de decisões financeiras ao longo do tempo.</t>
  </si>
  <si>
    <t>Poupança e previdência privada: garantindo o futuro – Parte 1</t>
  </si>
  <si>
    <t>• Conceitos de poupança e previdência.
• Previdência privada.
• INSS.
• Seguridade social.</t>
  </si>
  <si>
    <t>Compreender a importância de poupar e se preparar para o futuro.</t>
  </si>
  <si>
    <t>Poupança e previdência privada: garantindo o futuro – Parte 2</t>
  </si>
  <si>
    <t xml:space="preserve"> • Previdência privada.
• Planilhas eletrônicas.
• Juros compostos.</t>
  </si>
  <si>
    <t>Calcular rendimentos futuros baseados em dados sobre previdência.</t>
  </si>
  <si>
    <t>Investimentos e planejamento pessoal a longo prazo</t>
  </si>
  <si>
    <t>• Tipos de investimentos.
• Bolsa de Valores.
• Tesouro Direto.</t>
  </si>
  <si>
    <t>Compreender como simular diferentes tipos de investimentos e seus possíveis retornos.</t>
  </si>
  <si>
    <t>Desafio de investimentos – Parte 1</t>
  </si>
  <si>
    <t>• Cálculo de montante.
• Juros compostos.
• Planilhas eletrônicas.
• Simuladores.</t>
  </si>
  <si>
    <t>Simular diferentes tipos de investimentos e seus possíveis retornos.</t>
  </si>
  <si>
    <t>Desafio de investimentos – Parte 2</t>
  </si>
  <si>
    <t>• Cálculo de montante.
• Juros compostos.
• Planilhas eletrônicas.
Simuladores.</t>
  </si>
  <si>
    <t>Aula Complementar - Desafio de investimentos – Parte 3</t>
  </si>
  <si>
    <t>Avaliar diferentes tipos de investimentos e seus possíveis retornos.</t>
  </si>
  <si>
    <t>EM13MAT203
EM13CHS402</t>
  </si>
  <si>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Analisar e comparar indicadores de emprego, trabalho e renda em diferentes espaços, escalas e tempos, associando-os a processos de estratificação e desigualdade socioeconômica.</t>
  </si>
  <si>
    <t>Planejamento financeiro familiar e orçamento doméstico</t>
  </si>
  <si>
    <t>A importância do orçamento familiar</t>
  </si>
  <si>
    <t>Planejamento familiar
Modelo de controles de gastos
Dinâmica orçamentária familiar</t>
  </si>
  <si>
    <t>Compreender como o planejamento e a poupança podem trazer estabilidade financeira à família.
Analisar como rendas diferentes e despesas compartilhadas alteram a lógica do orçamento.</t>
  </si>
  <si>
    <t>Orçamento doméstico - Parte 1</t>
  </si>
  <si>
    <t>Tipos de gastos
Cesta Básica
Economia Doméstica</t>
  </si>
  <si>
    <t>Comparar preços de itens da cesta básica, com apoio de tabela ou planilha eletrônica.
Relacionar inflação com preço de itens básicos.</t>
  </si>
  <si>
    <t>EM13MAT314
EM13MAT404</t>
  </si>
  <si>
    <t>Resolver e elaborar problemas que envolvem grandezas determinadas pela razão ou pelo produto de outras (velocidade, densidade demográfica, energia elétrica etc.).
Analisar funções definidas por uma ou mais sentenças (tabela do Imposto de Renda, contas de luz, água, gás etc.), em suas representações algébrica e gráfica, identificando domínios de validade, imagem, crescimento e decrescimento, e convertendo essas representações de uma para outra, com ou sem apoio de tecnologias digitais.</t>
  </si>
  <si>
    <t>Orçamento doméstico - Parte 2</t>
  </si>
  <si>
    <t>Contas de luz, água, gás e internet
ODS</t>
  </si>
  <si>
    <t>Identificar despesas fixas mensais relacionadas a contas de consumo de uma família</t>
  </si>
  <si>
    <t>EM13MAT203
EM13CHS303</t>
  </si>
  <si>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Debater e avaliar o papel da indústria cultural e das culturas de massa no estímulo ao consumismo, seus impactos econômicos e socioambientais, com vistas à percepção crítica das necessidades criadas pelo consumo e à adoção de hábitos sustentáveis.</t>
  </si>
  <si>
    <t>Orçamento doméstico - Parte 3</t>
  </si>
  <si>
    <t>Gastos supérfluos</t>
  </si>
  <si>
    <t>Identificar pressões sociais e familiares que levam ao gasto com supérfluos.
Calcular os gastos não essenciais de uma família</t>
  </si>
  <si>
    <t>Criando um orçamento familiar</t>
  </si>
  <si>
    <t>Gastos essenciais e não essenciais
Planilha de controle financeiro</t>
  </si>
  <si>
    <t>Listar gastos essenciais e não essenciais de uma família
Elaborar uma planilha de controle financeiro</t>
  </si>
  <si>
    <t>Planejamento financeiro familiar e crédito</t>
  </si>
  <si>
    <t>Como funciona o financiamento de bens? - Parte 1</t>
  </si>
  <si>
    <t>Conceito de financiamento, juros e condições de pagamento.</t>
  </si>
  <si>
    <t>Avaliar as diferentes formas de financiamento e suas implicações no planejamento financeiro.</t>
  </si>
  <si>
    <t>EM13MAT104
EM13CHS205</t>
  </si>
  <si>
    <t>Interpretar taxas e índices de natureza socioeconômica (índice de desenvolvimento humano, taxas de inflação, entre outros), investigando os processos de cálculo desses números, para analisar criticamente a realidade e produzir argumentos.
Analisar a produção de diferentes territorialidades em suas dimensões culturais, econômicas, ambientais, políticas e sociais, no Brasil e no mundo contemporâneo, com destaque para as culturas juvenis.</t>
  </si>
  <si>
    <t>Como funciona o financiamento de bens? - Parte 2</t>
  </si>
  <si>
    <t>Comparar matematicamente e emocionalmente situações de compra à vista e por financiamento, em diferentes contextos sociais.</t>
  </si>
  <si>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Analisar e comparar indicadores de emprego, trabalho e renda em diferentes espaços, escalas e tempos, associando-os a processos de estratificação e desigualdade socioeconômica</t>
  </si>
  <si>
    <t>Simulando compra de imóveis - Parte 1</t>
  </si>
  <si>
    <t>Financiamento
Tomada de decisão
Direito à moradia</t>
  </si>
  <si>
    <t>Analisar situações de compra ou locação de um imóvel, em estudos de caso</t>
  </si>
  <si>
    <t>Simulando compra de imóveis - Parte 2</t>
  </si>
  <si>
    <t>Cálculos comparativos sobre decisões familiares.</t>
  </si>
  <si>
    <t>Apresentar as análises de compra ou locação de um imóvel.</t>
  </si>
  <si>
    <t>Endividamento e planejamento</t>
  </si>
  <si>
    <t>Saúde financeira x insegurança: como se preparar para imprevistos?</t>
  </si>
  <si>
    <t>Conceito de seguros
Tupos de seguros
Proteção patrimonial</t>
  </si>
  <si>
    <t>Identificar os diferentes tipos de seguros e compreender sua importância no planejamento financeiro.</t>
  </si>
  <si>
    <t>EM13MAT203
EM13CHS304</t>
  </si>
  <si>
    <t>Aplicar conceitos matemáticos no planejamento, na execução e na análise de ações envolvendo a utilização de aplicativos e a criação de planilhas (para o controle de orçamento familiar, simuladores de cálculos de juros simples e compostos, entre outros), para tomar decisões.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</si>
  <si>
    <t>Conceito de endividamento
Impacto no planejamento financeiro
Práticas para evitar dívidas</t>
  </si>
  <si>
    <t>Avaliar o impacto do endividamento no contexto familiar e social</t>
  </si>
  <si>
    <t>Gestão de dívidas</t>
  </si>
  <si>
    <t>Endividamento
Renegociação de dívidas
Relação entre equilíbrio financeiro, saúde mental e bem-estar</t>
  </si>
  <si>
    <t>Relacionar equilíbrio financeiro e bem-estar pessoal e mental.</t>
  </si>
  <si>
    <t>Metas financeiras de longo prazo</t>
  </si>
  <si>
    <t>Projetando o futuro: por que pensar no longo prazo?</t>
  </si>
  <si>
    <t xml:space="preserve">• Metas de longo prazo
• Relação entre decisões financeiras e planejamento de longo prazo </t>
  </si>
  <si>
    <t>Compreender como o planejamento financeiro de longo prazo se estrutura a partir da relação entre decisões financeiras ao longo do tempo e o alcance de metas de longo prazo.</t>
  </si>
  <si>
    <t>Inflação e poder de compra</t>
  </si>
  <si>
    <t>Como proteger seus planos da inflação?</t>
  </si>
  <si>
    <t>• Inflação
• Impacto da inflação no alcance de metas de longo prazo</t>
  </si>
  <si>
    <t>Reconhecer como a inflação afeta o poder de compra ao longo do tempo e impacta o alcance de metas financeiras de longo prazo.</t>
  </si>
  <si>
    <t>Proteção e estabilidade financeira</t>
  </si>
  <si>
    <t>Proteção financeira ao longo da vida: escolhas e segurança</t>
  </si>
  <si>
    <t>• Imprevistos financeiros
• Estratégias de proteção financeira (seguros, fundo de emergência)
• Estabilidade financeira como objetivo de longo prazo</t>
  </si>
  <si>
    <t>Identificar situações de imprevistos financeiros que podem ocorrer ao longo da vida e a necessidade de estratégias de proteção para manter a estabilidade financeira.</t>
  </si>
  <si>
    <t>Critérios para avaliação de escolhas financeiras</t>
  </si>
  <si>
    <t>O que considerar antes de escolher?</t>
  </si>
  <si>
    <t>• Critérios para avaliar escolhas financeiras
• Relação entre risco, retorno e prazo</t>
  </si>
  <si>
    <t>Identificar critérios para avaliar escolhas financeiras, considerando o nível de risco, a possibilidade de retorno e o prazo.</t>
  </si>
  <si>
    <t>Comparação de alternativas financeiras</t>
  </si>
  <si>
    <t>Comparando caminhos financeiros: qual escolher?</t>
  </si>
  <si>
    <t>• Critérios para avaliar escolhas financeiras
• Relação entre risco, retorno e prazo
• Comparação de alternativas financeiras</t>
  </si>
  <si>
    <t>Comparar alternativas financeiras, utilizando critérios como risco, possibilidade de retorno e prazo.</t>
  </si>
  <si>
    <t>Análise e Tomada de Decisão Financeira</t>
  </si>
  <si>
    <t>Investimentos de longo prazo</t>
  </si>
  <si>
    <t>Investimentos no longo prazo – Parte 1: risco, retorno e tempo</t>
  </si>
  <si>
    <t>• Relação entre tempo e crescimento financeiro
• Consistência como fator de acumulação ao longo do tempo</t>
  </si>
  <si>
    <t>Analisar como o tempo e a consistência influenciam o crescimento financeiro ao longo do tempo.</t>
  </si>
  <si>
    <t>Simulação de investimentos</t>
  </si>
  <si>
    <t>Investimentos no longo prazo – Parte 2: simulando escolhas</t>
  </si>
  <si>
    <t>• Simulação de decisões financeiras
• Projeção de resultados ao longo do tempo</t>
  </si>
  <si>
    <t>Simular decisões financeiras e projetar seus resultados ao longo do tempo.</t>
  </si>
  <si>
    <t>Estratégias de investimento</t>
  </si>
  <si>
    <t>Desafio da Vida Financeira – investindo com consistência</t>
  </si>
  <si>
    <t>• Relação entre resultados financeiros e decisões adotadas
• Ajuste de estratégias com base na análise de resultados</t>
  </si>
  <si>
    <t>Avaliar resultados financeiros e propor ajustes nas estratégias adotadas com base na análise das decisões realizadas.</t>
  </si>
  <si>
    <t>Tomada de decisão financeira</t>
  </si>
  <si>
    <t>Resultado financeiro: o que o personagem construiu até aqui?</t>
  </si>
  <si>
    <t>• Tomada de decisão financeira
• Integração de variáveis (prazo, risco, retorno e objetivos)</t>
  </si>
  <si>
    <t>Tomar decisões financeiras fundamentadas considerando prazo, risco, retorno e objetivos.</t>
  </si>
  <si>
    <t>Análise de trajetória financeira</t>
  </si>
  <si>
    <t>Interpretando a trajetória financeira do personagem</t>
  </si>
  <si>
    <t>• Trajetória financeira
• Relação entre decisões financeiras e resultados obtidos</t>
  </si>
  <si>
    <t>Interpretar a trajetória financeira identificando padrões de decisão e seus impactos ao longo do tempo.</t>
  </si>
  <si>
    <t>EM13CO21; EM13CO22</t>
  </si>
  <si>
    <t>EM13CO21: Comunicar ideias complexas de forma clara por meio de objetos digitais como mapas conceituais, infográficos, hipertextos e outros. EM13CO22: Produzir e publicar conteúdo como textos, imagens, áudios, vídeos e suas associações, bem como ferramentas para sua integração, organização e apresentação, utilizando diferentes mídias digitais.</t>
  </si>
  <si>
    <t>Comunicação e Projeto de Vida</t>
  </si>
  <si>
    <t>Organização de informações</t>
  </si>
  <si>
    <t>Preparação: organizando a trajetória</t>
  </si>
  <si>
    <t>• Organização de informações financeiras
• Construção de narrativa da trajetória financeira</t>
  </si>
  <si>
    <t>Organizar informações financeiras de forma estruturada para comunicar uma trajetória financeira.</t>
  </si>
  <si>
    <t>EM13CO21; EM13CO22; EM13CHS304</t>
  </si>
  <si>
    <t>EM13CO21: Comunicar ideias complexas de forma clara por meio de objetos digitais como mapas conceituais, infográficos, hipertextos e outros. EM13CO22: Produzir e publicar conteúdo como textos, imagens, áudios, vídeos e suas associações, bem como ferramentas para sua integração, organização e apresentação, utilizando diferentes mídias digitais. 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</si>
  <si>
    <t>Apresentação de resultados</t>
  </si>
  <si>
    <t>Apresentação: compartilhando aprendizados</t>
  </si>
  <si>
    <t>• Planejamento financeiro
• Projeto de vida
• Impacto da educação financeira</t>
  </si>
  <si>
    <t>Relacionar o planejamento financeiro ao projeto de vida, considerando os aprendizados do bimestre e refletindo sobre o papel da educação financeira.</t>
  </si>
  <si>
    <t>Investimentos e rendimento</t>
  </si>
  <si>
    <t>Retomando os investimentos: onde meu dinheiro cresce?</t>
  </si>
  <si>
    <t>Investimentos
Renda fixa e variável
Rentabilidade
Inflação</t>
  </si>
  <si>
    <t>Relembrar conceitos de renda fixa e variável. 
Reconhecer o conceito de rentabilidade real (descontada a inflação) de diferentes ativos.</t>
  </si>
  <si>
    <t>Retomando os investimentos: desafio da carteira</t>
  </si>
  <si>
    <t>Tomar decisões sobre investimentos fictícios, usando simulador (planilha) para acompanhar ativos reais até o fim do semestre. 
Definir metas financeiras e critérios de aporte.</t>
  </si>
  <si>
    <t>EM13MAT102
EM13CHS402</t>
  </si>
  <si>
    <t>Analisar tabelas, gráficos e amostras de pesquisas estatísticas apresentadas em relatórios divulgados por diferentes meios de comunicação, identificando, quando for o caso, inadequações que possam induzir a erros de interpretação, como escalas e amostras não apropriadas.
Analisar e comparar indicadores de emprego, trabalho e renda em diferentes espaços, escalas e tempos, associando-os a processos de estratificação e desigualdade socioeconômica</t>
  </si>
  <si>
    <t>Crédito e Endividamento</t>
  </si>
  <si>
    <t>Endividamento: causas e consequências - Parte 1</t>
  </si>
  <si>
    <t>Dados estatísticos sobre endividamento da população
Principais causas do endividamento
Renda e desigualdade social</t>
  </si>
  <si>
    <t>Analisar os fatores que levam ao endividamento e seus impactos sociais e individuais.
Interpretar gráficos sobre o envididamento no Brasil.</t>
  </si>
  <si>
    <t>EM13MAT102
EM13CHS303</t>
  </si>
  <si>
    <t>Analisar tabelas, gráficos e amostras de pesquisas estatísticas apresentadas em relatórios divulgados por diferentes meios de comunicação, identificando, quando for o caso, inadequações que possam induzir a erros de interpretação, como escalas e amostras não apropriadas.
Debater e avaliar o papel da indústria cultural e das culturas de massa no estímulo ao consumismo, seus impactos econômicos e socioambientais, com vistas à percepção crítica das necessidades criadas pelo consumo e à adoção de hábitos sustentáveis.</t>
  </si>
  <si>
    <t>Endividamento: causas e consequências - Parte 2</t>
  </si>
  <si>
    <t>Consequências do descontrole financeiro a nível pessoal e social.
Psicologia do endividamento</t>
  </si>
  <si>
    <t>Analisar as causas psicológicas (imediatismo, ansiedade, pressão social) e as consequências mentais da dívida (estresse, insônia, impacto familiar).
Interpretar gráficos sobre o envididamento no Brasil.</t>
  </si>
  <si>
    <t>Crédito Consciente</t>
  </si>
  <si>
    <t>Crédito e benefícios: isso é um uso consciente? - Parte 1</t>
  </si>
  <si>
    <t>Ofertas atrativas: Cashback; milhas; e benefícios bancários.</t>
  </si>
  <si>
    <t>Analisar os benefícios do crédito
Identificar quando o benefício é uma estratégia para acelerar o consumo e reduzir o investimento.</t>
  </si>
  <si>
    <t>Crédito e benefícios: isso é um uso consciente? - Parte 2</t>
  </si>
  <si>
    <t>Situações cotidianas: clubes de oferta; descontos; e sorteios.</t>
  </si>
  <si>
    <t>Analisar a influência dos algoritmos nas decisões financeiras.</t>
  </si>
  <si>
    <t>Análise Financeira e Planejamento</t>
  </si>
  <si>
    <t>Planejamento financeiro e dívidas - Parte 1</t>
  </si>
  <si>
    <t>Análise de situações financeiras; Exercícios práticos sobre gestão de dívidas.</t>
  </si>
  <si>
    <t>Aplicar conceitos financeiros em simulações práticas para a tomada de decisões mais seguras.</t>
  </si>
  <si>
    <t>Planejamento financeiro e dívidas - Parte 2</t>
  </si>
  <si>
    <t>Estratégias para evitar o endividamento; Simulação de orçamento.</t>
  </si>
  <si>
    <t>Endividamento controlado - Parte 1</t>
  </si>
  <si>
    <t>Diferentes tipos de financiamentos; Impacto da entrada e dos juros.</t>
  </si>
  <si>
    <t>Analisar o funcionamento de financiamentos e tomar decisões conscientes sobre esse tipo de crédito.</t>
  </si>
  <si>
    <t>Endividamento controlado - Parte 2</t>
  </si>
  <si>
    <t>Impacto da entrada e dos juros em parcelamentos; Simulações de pagamentos.</t>
  </si>
  <si>
    <t>Analisar o financiamentos e tomar decisões conscientes sobre esse tipo de crédito.</t>
  </si>
  <si>
    <t>Conscientização Financeira</t>
  </si>
  <si>
    <t>Ensinando sobre o uso consciente do crédito e os perigos do endividamento - Parte 1</t>
  </si>
  <si>
    <t>Criação de um material sobre crédito responsável para compartilhar com a comunidade escolar.</t>
  </si>
  <si>
    <t>Produzir um material didático que sintetize os conceitos trabalhados ao longo do bimestre.</t>
  </si>
  <si>
    <t>Ensinando sobre o uso consciente do crédito e os perigos do endividamento - Parte 2</t>
  </si>
  <si>
    <t>Ética e Cidadania Financeira</t>
  </si>
  <si>
    <t>Ética Financeira</t>
  </si>
  <si>
    <t>Ética financeira: construindo relações de confiança</t>
  </si>
  <si>
    <t>Ética financeira, dilemas financeiros éticos</t>
  </si>
  <si>
    <t>Reconhecer a importância da ética nas finanças pessoais como pilar para relações de confiança.</t>
  </si>
  <si>
    <t>Transparência financeira: um pilar fundamental</t>
  </si>
  <si>
    <t>transparência em contratos financeiros,  Custo Efetivo Total (CET), práticas financeiras abusivas.</t>
  </si>
  <si>
    <t>Reconhecer a importância da transparência nas transações financeiras, identificando práticas abusivas.</t>
  </si>
  <si>
    <t>Riscos Financeiros</t>
  </si>
  <si>
    <t>Segurança Financeira</t>
  </si>
  <si>
    <t>Fraude financeira: reconhecendo e prevenindo</t>
  </si>
  <si>
    <t>Tipos de fraudes financeiras; Engenharia social, Prevenção de golpes digitais</t>
  </si>
  <si>
    <t>Identificar situações de risco e compreender como prevenir fraudes financeiras.</t>
  </si>
  <si>
    <t>Segurança financeira: protegendo seu dinheiro</t>
  </si>
  <si>
    <t>Práticas seguras em transações financeiras</t>
  </si>
  <si>
    <t>Identificar práticas seguras nas transações financeiras.</t>
  </si>
  <si>
    <t>Privacidade e proteção de dados na era digital</t>
  </si>
  <si>
    <t>Proteção de dados pessoais, Noções básicas da Lei Geral de Proteção de Dados -  LGPD, Open Banking.</t>
  </si>
  <si>
    <t>Listar boas práticas para proteção de informações bancárias e pessoais.</t>
  </si>
  <si>
    <t>Consumo e Publicidade</t>
  </si>
  <si>
    <t>Publicidade e consumo: como não cair em armadilhas</t>
  </si>
  <si>
    <t>Influência da publicidade nas decisões financeiras; marketing digital e algoritmos.</t>
  </si>
  <si>
    <t>Debater a influência da publicidade e dos algoritmos nas decisões de consumo</t>
  </si>
  <si>
    <t>Consumo Sustentável</t>
  </si>
  <si>
    <t>Finanças e o meio ambiente: uma conexão necessária - Parte 1</t>
  </si>
  <si>
    <t>Consumo sustentável; Pegada ecológica e pegada hídrica; Exemplos de práticas financeiras sustentáveis.</t>
  </si>
  <si>
    <t>Identificar boas práticas de consumo sustentável.</t>
  </si>
  <si>
    <t>Finanças e o meio ambiente: uma conexão necessária - Parte 2</t>
  </si>
  <si>
    <t>Análise de gráficos para entender a relação entre consumo e impacto ambiental.</t>
  </si>
  <si>
    <t>Analisar, por meio de gráfico, como o consumo impacta o meio ambiente.</t>
  </si>
  <si>
    <t>Finanças e Sociedade</t>
  </si>
  <si>
    <t>Inovação e Riscos</t>
  </si>
  <si>
    <t>Novas tecnologias: oportunidades ou armadilhas financeiras?</t>
  </si>
  <si>
    <t>Criptomoedas; apostas online (Bets); Diferença entre investir e apostar.</t>
  </si>
  <si>
    <t>Analisar o funcionamento básico de criptomoedas, apostas online e seus riscos</t>
  </si>
  <si>
    <t>Economia Comportamental e Decisões Financeiras</t>
  </si>
  <si>
    <t>Psicologia financeira: como ter decisões financeiras melhores?</t>
  </si>
  <si>
    <t>O que é Psicologia Financeira; influência das emoções nas decisões financeiras; efeito manada.</t>
  </si>
  <si>
    <t>Analisar como emoções e comportamentos influenciam decisões financeiras.</t>
  </si>
  <si>
    <t>Cidadania Financeira</t>
  </si>
  <si>
    <t>Cidadania financeira: acesso aos serviços financeiros</t>
  </si>
  <si>
    <t>Conceito de cidadania financeira;
inclusão financeira;
importância do acesso a serviços financeiros.</t>
  </si>
  <si>
    <t>Refletir sobre o conceito de cidadania financeira, analisando a importância da inclusão financeira.</t>
  </si>
  <si>
    <t>Finanças no dia a dia: o que aprendemos?</t>
  </si>
  <si>
    <t>Relação entre decisões financeiras e impactos no cotidiano</t>
  </si>
  <si>
    <t>Consolidar os conhecimentos do bimestre e do ano, analisando como decisões financeiras impactam o cotidiano.</t>
  </si>
  <si>
    <t>HABILIDADE (PARÂMETROS IF)</t>
  </si>
  <si>
    <t>USO DA FERRAMENTA - PROJETO DE EMPREENDEDORISMO (Apenas 3ª série)</t>
  </si>
  <si>
    <t xml:space="preserve">1º </t>
  </si>
  <si>
    <t>• Discutir o papel do jovem como agente social, político, ambiental, profissional e cultural, compreendendo as dinâmicas que moldam suas identidades e expressões nas culturas juvenis contemporâneas.
• Identificar dados relacionados a desafios sociais, econômicos e ambientais, por meio de ferramentas tecnológicas e representações gráficas para organizar e visualizar as informações de maneira estruturada.</t>
  </si>
  <si>
    <t>Tipos de empreendedorismo.</t>
  </si>
  <si>
    <t>Afinal, o que é empreendedorismo?</t>
  </si>
  <si>
    <t>• Educação empreendedora.
• Tipos de empreendedorismo.
• Intraempreendedorismo.
• Empreendedorismo verde.
• Negócio social.</t>
  </si>
  <si>
    <t>• Reconhecer a importância da educação empreendedora e sua relação com o projeto de vida.
• Identificar diferentes tipos de empreendedorismo.</t>
  </si>
  <si>
    <t>• Aplicar elementos da matemática financeira no planejamento pessoal, familiar e comunitário, considerando conceitos como juros simples e compostos, amortização de dívidas e elaboração de orçamentos, com foco na sustentabilidade financeira, tomada de decisões responsáveis e redução das desigualdades econômicas; e
• Propor alternativas para a administração eficiente, eficaz e equitativa de recursos financeiros, aplicando conceitos de economia solidária, planejamento orçamentário e análise de custos, visando a autonomia financeira, a equidade social e a sustentabilidade econômica, com ênfase na transformação positiva do mundo do trabalho e da sociedade.</t>
  </si>
  <si>
    <t>Estratégias e planejamento.</t>
  </si>
  <si>
    <t>Jogo 1 – Primeira rodada: preço, custo e lucro</t>
  </si>
  <si>
    <t>• Definição de jogo de empresa.
• Preço de um produto.
• Custo de um produto.
• Margem de lucro.</t>
  </si>
  <si>
    <t>• Identificar as regras e conteúdos de um jogo de empresas com foco em mercado.
• Determinar o preço de um produto, considerando sua margem de lucro.</t>
  </si>
  <si>
    <t>Jogo 1 – Segunda rodada: planejamento de estoque, demanda e estratégia</t>
  </si>
  <si>
    <t>• Demanda.
• Estoque.
• Lucro</t>
  </si>
  <si>
    <t>• Calcular o estoque mínimo em uma situação fictícia de jogo de empresa.
• Avaliar o planejamento de estoque e seu impacto no lucro de uma empresa.</t>
  </si>
  <si>
    <t>Propor alternativas para a administração eficiente, eficaz e equitativa de recursos financeiros, aplicando conceitos de economia solidária, planejamento orçamentário e análise de custos, visando a autonomia financeira, a equidade social e a sustentabilidade econômica, com ênfase na transformação positiva do mundo do trabalho e da sociedade.</t>
  </si>
  <si>
    <t>Conceitos de mercado.</t>
  </si>
  <si>
    <t>Sistematizando os conceitos de mercado: o que aprendemos com nossas decisões?</t>
  </si>
  <si>
    <t>• Preço.
• Custos.
• Lucro.
• Demanda.
• Estoque.
• Diferenças entre modelagem e realidade.</t>
  </si>
  <si>
    <t>Debater como decisões relacionadas a preço, custo, lucro, demanda e estoque afetam o desempenho de um negócio, comparando os aprendizados obtidos na simulação com os desafios do mundo real.</t>
  </si>
  <si>
    <t>Experiência do cliente.</t>
  </si>
  <si>
    <t>Jogo 1 – Terceira rodada: lidando com clientes insatisfeitos</t>
  </si>
  <si>
    <t>• Experiência do cliente.
• Lucro.
• Tomada de decisão.
• Ética.</t>
  </si>
  <si>
    <t>• Reconhecer a importância da experiência do cliente na construção de reputação, fidelização e diferencial competitivo.
• Debater sobre insatisfação do cliente e seu impacto na reputação e o no lucro de uma empresa.</t>
  </si>
  <si>
    <t>Promoções.</t>
  </si>
  <si>
    <t>Jogo 1 – Quarta rodada: planejando promoções</t>
  </si>
  <si>
    <t>• Promoções.
• Estoque.</t>
  </si>
  <si>
    <t>• Planejar uma promoção, considerando o cenário financeiro de uma empresa e do evento.
• Comparar estratégias promocionais em diferentes cenários de negócio.</t>
  </si>
  <si>
    <t>Lucro total.</t>
  </si>
  <si>
    <t>Jogo 1 – Finalização: qual o lucro de cada empresa?</t>
  </si>
  <si>
    <t>• Lucro total.
• Comportamentos empreendedores.</t>
  </si>
  <si>
    <t>Avaliar o resultado de um jogo de empresa, refletindo sobre as estratégias e os aprendizados coletivos.</t>
  </si>
  <si>
    <t xml:space="preserve">2º </t>
  </si>
  <si>
    <t>Aula complementar - Refletindo sobre demandas do mercado</t>
  </si>
  <si>
    <t>• Mercado.
• Demanda.
• Custos de produção.
• Elasticidade.</t>
  </si>
  <si>
    <t>• Identificar termos e conceitos do mundo empreendedor.
• Analisar casos de empreendimentos, identificando o impacto da demanda e das tomadas de decisão no lucro.</t>
  </si>
  <si>
    <t>Jogo 2 – Rodada básica</t>
  </si>
  <si>
    <t>• Precificação.
• Produção.
• Demanda.
• Participação de mercado.</t>
  </si>
  <si>
    <t>Tomar decisões estratégicas sobre precificação e produção em um jogo de simulação de mercado, analisando como essas escolhas afetam as vendas, o faturamento e o lucro da empresa.</t>
  </si>
  <si>
    <t>Propaganda.</t>
  </si>
  <si>
    <t>Propaganda e promotores: como divulgar o negócio?</t>
  </si>
  <si>
    <t>• Propaganda.
• Tipos de promoção.
• Promotores.</t>
  </si>
  <si>
    <t>Identificar os diferentes tipos de propaganda e promoção, analisando seus custos, impactos e estratégias de divulgação, incluindo o papel dos promotores e dos pontos de venda na atração de clientes e no fortalecimento do negócio.</t>
  </si>
  <si>
    <t>Jogo 2 – Rodada intermediária</t>
  </si>
  <si>
    <t>• Propaganda.
• Promotores.</t>
  </si>
  <si>
    <t>Tomar decisões sobre os gastos com propaganda e salário de promotores em uma simulação de mercado, avaliando como essas escolhas influenciam a visibilidade do negócio, as vendas e o lucro final da empresa.</t>
  </si>
  <si>
    <t>Inovação.</t>
  </si>
  <si>
    <t>Inovação e diferenciação: como se destacar no mercado</t>
  </si>
  <si>
    <t>• Estratégias de diferenciação.
• Qualidade.
• Marca.</t>
  </si>
  <si>
    <t>Analisar estratégias de diferenciação e inovação a partir de casos reais.</t>
  </si>
  <si>
    <t>Jogo 2 – Rodada avançada</t>
  </si>
  <si>
    <t>Tomar decisões estratégicas em uma simulação de mercado mais complexa, avaliando diferentes variáveis de gestão e analisando como essas escolhas impactam o desempenho e a sustentabilidade do negócio.</t>
  </si>
  <si>
    <t>Discutir o papel do jovem como agente social, político, ambiental, profissional e cultural, compreendendo as dinâmicas que moldam suas identidades e expressões nas culturas juvenis contemporâneas.</t>
  </si>
  <si>
    <t>Jogo 2 – Finalização: somando as pontuações das rodadas</t>
  </si>
  <si>
    <t>• Revisão das decisões tomadas ao longo do jogo.
• Análise dos resultados alcançados pelas equipes.</t>
  </si>
  <si>
    <t>• Refletir sobre as decisões tomadas durante o jogo de empresa e seus resultados.
• Relacionar a experiência da simulação com situações reais do mundo dos negócios e da vida cotidiana.</t>
  </si>
  <si>
    <t>• Identificar dados relacionados a desafios sociais, econômicos e ambientais, por meio de ferramentas tecnológicas e representações gráficas para organizar e visualizar as informações de maneira estruturada.
• Discutir o papel do jovem como agente social, político, ambiental, profissional e cultural, compreendendo as dinâmicas que moldam suas identidades e expressões nas culturas juvenis contemporâneas.</t>
  </si>
  <si>
    <t>• Oportunidades de negócio.
• Mundo do trabalho.</t>
  </si>
  <si>
    <t>Empreender é projetar futuros: habilidades para um mundo em transformação</t>
  </si>
  <si>
    <t>•Transformações sociais e tecnológicas no mundo do trabalho.
• Habilidades empreendedoras no século XXI.
• Relação entre inovação, criatividade e empregabilidade
• Projeto empreendedor: objetivos e estrutura geral.</t>
  </si>
  <si>
    <t>• Reconhecer o impacto das transformações sociais e tecnológicas na criação de novas formas de trabalho e oportunidades empreendedoras.
• Refletir sobre habilidades empreendedoras necessárias para atuar de forma criativa e proativa em contextos de mudança.</t>
  </si>
  <si>
    <t>Empreendedorismo e inovação: o protagonismo dos jovens na prática</t>
  </si>
  <si>
    <t>• Exemplos de jovens empreendedores brasileiros.
• Comportamentos e habilidades empreendedoras.
• Relação entre identidade, cultura juvenil e ação empreendedora.
• Análise de dados sobre juventude e empreendedorismo.</t>
  </si>
  <si>
    <t>• Reconhecer comportamentos empreendedores que favorecem o alcance de objetivos definidos.
• Identificar comportamentos empreendedores presentes em suas próprias atitudes e vivências, comparando-os com os dados da classe e de pesquisas estatísticas.</t>
  </si>
  <si>
    <t>• Aplicar conceitos estatísticos e modelagem matemática na interpretação de dados em áreas como saúde pública, educação, cultura, economia, mercado de trabalho, desigualdades sociais e mudanças climáticas, utilizando tabelas, gráficos e medidas de tendência central e dispersão.
• Utilizar os conhecimentos das Ciências da Natureza na análise de desafios contemporâneos, apontando soluções relacionadas a sustentabilidade ambiental, saúde individual e coletiva, transição energética e cadeias produtivas.</t>
  </si>
  <si>
    <t>• Inovação.
• Estrutura de um projeto</t>
  </si>
  <si>
    <t>Empreendedorismo ao nosso redor</t>
  </si>
  <si>
    <t>• Conceito de empresa e sua função social e econômica.
• Segmentos econômicos: comércio, serviços e indústria.
• Realidade local: tipos de negócios na comunidade.
• Observação e categorização de empreendimentos locais.</t>
  </si>
  <si>
    <t>• Organizar dados sobre o empreendedorismo local.
• Debater sobre oportunidades, problemas e soluções locais de empreendedorismo, com base na observação da realidade e na análise dos principais setores econômicos da região.</t>
  </si>
  <si>
    <t>Elaborar propostas de intervenção sociocultural e inovação tecnológica em escala local, regional, nacional e global, de forma interdisciplinar e contextualizada, considerando as questões referentes às tecnologias, a democracia, direitos humanos, inclusão, acessibilidade e equidade.</t>
  </si>
  <si>
    <t>Etapas e definições do Projeto de Empreendedorismo</t>
  </si>
  <si>
    <t>• Definição de projeto e suas etapas fundamentais.
• O que é Aprendizagem Baseada em Projetos (Project-Based Learning – PBL).
• Estrutura e dinâmica do Projeto de Empreendedorismo.
• Escolha da trilha de projeto: serviço ou comércio.</t>
  </si>
  <si>
    <t>• Identificar a definição de projeto e suas etapas, compreendendo como se estrutura um plano de ação empreendedora.
• Reconhecer a dinâmica da Aprendizagem Baseada em Projetos e decidir a trilha a ser seguida no componente de Empreendedorismo.</t>
  </si>
  <si>
    <t>SIM</t>
  </si>
  <si>
    <t>• Analisar dados e resultados de investigações científicas, com base na variação de grandezas em contextos sociais, econômicos e ambientais, considerando suas implicações no cotidiano e em diferentes áreas do conhecimento.
• Analisar informações econômicas a partir de conceitos matemáticos e indicadores sociais, compreendendo como as dinâmicas econômicas influenciam a organização da vida social, as relações com o meio ambiente e a superação de desafios contemporâneos, como desigualdades sociais, emergência climática, questões de saúde pública e os desafios do mundo do trabalho.</t>
  </si>
  <si>
    <t>Pesquisa de mercado.</t>
  </si>
  <si>
    <t>Por dentro do negócio – Planejando uma pesquisa de mercado</t>
  </si>
  <si>
    <t>• Pesquisa de mercado.
• Problemas locais, regionais e globais.
• Tendências de mercado.
• Dados estatísticos.
• Quantitativa x qualitativo.</t>
  </si>
  <si>
    <t>• Identificar problemas passíveis de solução empreendedora.
• Planejar uma pesquisa de mercado básica, definindo as informações-chave a serem coletadas (qualitativas e quantitativas) para levantar dados sobre o problema, o mercado escolhido e as características gerais de seu potencial público.</t>
  </si>
  <si>
    <t>Informações em contexto – Realizando uma pesquisa de mercado</t>
  </si>
  <si>
    <t>• Pesquisa de mercado.
• Tendências de mercado.
• Dados estatísticos.
• Quantitativa x qualitativo.</t>
  </si>
  <si>
    <t>Aplicar uma metodologia de pesquisa básica, utilizando diferentes recursos em suas análises
Coletar dados e informações de forma organizada, identificando insights e padrões para embasar decisões.</t>
  </si>
  <si>
    <t>• Foco no cliente.
• Ideação.</t>
  </si>
  <si>
    <t>Quem se beneficiará com o negócio que criaremos?</t>
  </si>
  <si>
    <t>• Persona.
• Público-alvo.
• Informações demográficas, comportamentais, necessidades e dores da persona.</t>
  </si>
  <si>
    <t>• Diferenciar público-alvo de persona.
• Identificar as características essenciais para construir um perfil de persona.</t>
  </si>
  <si>
    <t>• Empregar estratégias de comunicação em diferentes contextos socioprofissionais, utilizando a língua estrangeira e língua materna para interagir de forma ética e adequada, compreendendo normas discursivas, variações linguísticas e aspectos interculturais que se manifestam nas relações de trabalho em contextos local, regional, nacional e global.
• Elaborar propostas de intervenção sociocultural e inovação tecnológica, em escala local, regional, nacional e global, de forma interdisciplinar e contextualizada, considerando as questões referentes a tecnologias, democracia, direitos humanos, inclusão, acessibilidade e equidade.</t>
  </si>
  <si>
    <t>De Problemas a oportunidades: mergulhando na ideação – Parte 1</t>
  </si>
  <si>
    <t>• Pensamento divergente.
• Ideação.</t>
  </si>
  <si>
    <t>• Identificar problemas e oportunidades a partir de uma pesquisa de mercado baseada em dados e outras evidências.
• Participar de uma dinâmica colaborativa de ideação, posicionando-se de maneira ativa e respeitosa.</t>
  </si>
  <si>
    <t>• Modelo de negócios.
• Ideação.</t>
  </si>
  <si>
    <t>De Problemas a oportunidades: mergulhando na ideação – Parte 2</t>
  </si>
  <si>
    <t>• Pensamento convergente.
• Ideação.</t>
  </si>
  <si>
    <t>Justificar escolhas de soluções para problemas com base em critérios de avaliação objetivos e dados de pesquisa de mercado.</t>
  </si>
  <si>
    <t>Aplicar elementos da matemática financeira no planejamento pessoal, familiar e comunitário, considerando conceitos como juros simples e compostos, amortização de dívidas e elaboração de orçamentos, com foco na sustentabilidade financeira, tomada de decisões responsáveis e redução das desigualdades econômicas.</t>
  </si>
  <si>
    <t>Modelo de negócios – Parte 1: O coração da proposta</t>
  </si>
  <si>
    <t>• Quadro do modelo de negócios.
• Proposta de Valor.
• Segmento de Clientes.</t>
  </si>
  <si>
    <t>• Identificar os blocos do quadro do modelo de negócios.
• Definir uma proposta de valor e o segmento de clientes.
• Justificar as escolhas da empresa com base em dados e evidências de pesquisas.</t>
  </si>
  <si>
    <t>Modelo de negócios.</t>
  </si>
  <si>
    <t>Modelo de negócios – Parte 2: Conectando a ideia ao cliente e à operação</t>
  </si>
  <si>
    <t>• Canais.
• Relacionamento com Cliente.
• Recursos Principais.
• Atividades Principais.
• Parceiras Principais.</t>
  </si>
  <si>
    <t>• Definir blocos do modelo de negócios associados ao funcionamento da empresa.
• Justificar as escolhas da empresa com base em dados e evidências de pesquisas.</t>
  </si>
  <si>
    <t>Modelo de negócios: Receitas e estrutura de custos</t>
  </si>
  <si>
    <t>• Fontes de receitas.
• Estrutura de custos.</t>
  </si>
  <si>
    <t>• Definir blocos do modelo de negócios associados à viabilidade financeira.
• Justificar as escolhas da empresa com base em dados e evidências de pesquisas.</t>
  </si>
  <si>
    <t>Conhecendo os projetos empreendedores da turma – Parte 1</t>
  </si>
  <si>
    <t>• Quadro do modelo de negócios.
• Proposta de valor.</t>
  </si>
  <si>
    <t>Elaborar uma estrutura de apresentação coerente que sintetize os principais elementos do modelo de negócios.</t>
  </si>
  <si>
    <t>Empregar estratégias de comunicação em diferentes contextos socioprofissionais, utilizando a língua estrangeira e língua materna para interagir de forma ética e adequada, compreendendo normas discursivas, variações linguísticas e aspectos interculturais que se manifestam nas relações de trabalho em contextos local, regional, nacional e global.</t>
  </si>
  <si>
    <t>Conhecendo os projetos empreendedores da turma – Parte 2</t>
  </si>
  <si>
    <t>• Quadro do modelo de negócios.
• Proposta de Valor.</t>
  </si>
  <si>
    <t>Comunicar a proposta de valor e o processo de desenvolvimento do projeto empreendedor.</t>
  </si>
  <si>
    <t>Modelo de negócios e feedbacks entre pares.</t>
  </si>
  <si>
    <t>Como dar feedbacks? – Analisando modelos de negócio de outros grupos – Parte 1</t>
  </si>
  <si>
    <t>• Feedback – tipos e estrutura.
• Modelo de negócio.</t>
  </si>
  <si>
    <t>• Identificar tipos de feedback.
• Realizar feedback construtivo entre pares sobre modelos de negócio, comunicando-se com empatia e respeito.</t>
  </si>
  <si>
    <t>Modelo de negócios e feedbacks entre pares</t>
  </si>
  <si>
    <t>Como dar feedbacks? – Analisando modelos de negócio de outros grupos – Parte 2</t>
  </si>
  <si>
    <t>• Realizar feedback construtivo entre pares sobre modelos de negócio, comunicando-se com empatia e respeito.
• Revisar o modelo de negócios a partir de feedbacks e de dados e evidências coletados ao longo do processo.</t>
  </si>
  <si>
    <t>Reconhecer as relações entre linguagem, tecnologia e cultura, analisando como diferentes mídias e plataformas digitais influenciam os processos de comunicação e criação no mundo contemporâneo</t>
  </si>
  <si>
    <t>• Prototipagem.
• Design Thinking.</t>
  </si>
  <si>
    <t>Materializando um protótipo a partir do modelo de negócios</t>
  </si>
  <si>
    <t>• Prototipagem.
• Tipos de protótipo.
• Design Thinking.</t>
  </si>
  <si>
    <t>• Reconhecer o conceito e a importância da prototipagem como etapa de validação de ideias.
• Identificar diferentes tipos de protótipos.</t>
  </si>
  <si>
    <t>Explorar modelos matemáticos para a formulação de soluções inovadoras para os desafios da sociedade, utilizando análise de dados, estatística e ferramentas tecnológicas para prever impactos e embasar tomadas de decisão sustentáveis.</t>
  </si>
  <si>
    <t>Planejando nosso protótipo</t>
  </si>
  <si>
    <t>• Prototipagem.
• Design thinking.
• Conceitos e boas práticas de MVP.</t>
  </si>
  <si>
    <t>• Planejar a construção de um protótipo para o projeto, definindo suas funcionalidades essenciais.
• Comunicar-se sobre as decisões do projeto de maneira respeitosa.</t>
  </si>
  <si>
    <t>• MVP.
• Design Thinking.</t>
  </si>
  <si>
    <t>Criando nosso protótipo – Parte 1</t>
  </si>
  <si>
    <t>• MVP.
• Prototipagem.</t>
  </si>
  <si>
    <t>• Executar o plano de prototipagem, construindo uma versão funcional e testável do MVP do seu projeto, utilizando os materiais e ferramentas definidos.
• Demonstrar colaboração e resolução de problemas na equipe.</t>
  </si>
  <si>
    <t>Criando nosso protótipo – Parte 2</t>
  </si>
  <si>
    <t>Analisar dados e resultados de investigações científicas, com base na variação de grandezas em contextos sociais, econômicos e ambientais, considerando suas implicações no cotidiano e em diferentes áreas do conhecimento.</t>
  </si>
  <si>
    <t>• Prototipagem.
• Feedbacks entre pares.</t>
  </si>
  <si>
    <t>Evoluindo nosso protótipo – Parte 1</t>
  </si>
  <si>
    <t>• Testagem.
• Design Thinking.
• Coleta de dados.</t>
  </si>
  <si>
    <t>• Aplicar um método de teste básico do protótipo.
• Coletar feedbacks quantitativos ou qualitativos, registrando as informações, percepções iniciais sobre a usabilidade e aceitação do MVP.</t>
  </si>
  <si>
    <t>Avaliar modelos matemáticos, com base na seleção de dados, fatos e evidências, na integração de conhecimentos interdisciplinares e no uso de ferramentas tecnológicas, considerando critérios científicos, éticos, sociais e ambientais</t>
  </si>
  <si>
    <t>Evoluindo nosso protótipo – Parte 2</t>
  </si>
  <si>
    <t>• Testagem.
• Design Thinking.
• Coleta de dados.
• Análise de dados.</t>
  </si>
  <si>
    <t>• Analisar feedbacks considerando implicações para o protótipo e modelo de negócios.
• Evoluir o protótipo de acordo com as aprendizagens.</t>
  </si>
  <si>
    <t>Pitch e apresentação.</t>
  </si>
  <si>
    <t>Comunicando ideias, dados, projeções e impactos – Parte 1: entendo o que é um Pitch</t>
  </si>
  <si>
    <t>• Elementos de pitch.
• Tipos de pitch.
• Storytelling.</t>
  </si>
  <si>
    <t>• Reconhecer o pitch como ferramenta de comunicação estratégica e o storytelling como recurso para engajar a audiência.
• Identificar os elementos essenciais que compõem um pitch eficaz, associando-os ao próprio projeto.</t>
  </si>
  <si>
    <t>Comunicando ideias, dados, projeções e impactos – Parte 2: roteiro e ensaio do Pitch</t>
  </si>
  <si>
    <t>• Pitch.
• Comunicação de dados estatísticos.</t>
  </si>
  <si>
    <t>Criar um pitch que utilize dados estatísticos relevantes sobre o projeto empreendedor.</t>
  </si>
  <si>
    <t>Apresentação de projeto.</t>
  </si>
  <si>
    <t>Comunicando ideias, dados, projeções e impactos – Parte 3: apresentação do Pitch</t>
  </si>
  <si>
    <t>• Pitch.
• Comunicação de dados estatísticos.
• Critérios de avaliação.</t>
  </si>
  <si>
    <t>• Apresentar um pitch de um projeto empreendedor.
• Avaliar um pitch que utilize dados relevantes sobre o projeto empreendedor, de forma crítica e construtiva.</t>
  </si>
  <si>
    <t>Comunicando ideias, dados, projeções e impactos – Parte 4: apresentação do protótipo final</t>
  </si>
  <si>
    <t>• Protótipo.
• Critérios de avaliação.</t>
  </si>
  <si>
    <t>• Apresentar um protótipo validado.
• Avaliar um protótipo de um projeto empreendedor, de forma crítica e construtiva.</t>
  </si>
  <si>
    <t>Avaliação do processo e autoavaliação.</t>
  </si>
  <si>
    <t>Aula complementar -Analisando nossa trajetória – Parte 1</t>
  </si>
  <si>
    <t>• Ciclos de feedback.
• Projeto pessoal ou produtivo.</t>
  </si>
  <si>
    <t>• Reconhecer a importância de ciclos de feedback para o desenvolvimento de projetos pessoais ou produtivos.
• Participar do reconhecimento dos projetos da turma, valorizando a jornada de desenvolvimento empreendedor.</t>
  </si>
  <si>
    <t>Aula complementar - Analisando nossa trajetória – Parte 2</t>
  </si>
  <si>
    <t>• Autoavaliação.
• Projeto pessoal ou produtivo.</t>
  </si>
  <si>
    <t>• Refletir criticamente sobre sua jornada no projeto de empreendedorismo, considerando os principais aprendizados e habilidades desenvolvidas ao longo do bimestre.
• Relacionar esses conhecimentos à aplicabilidade no mundo real e em seu projeto de vida.</t>
  </si>
  <si>
    <t>Estratégias e planejamento</t>
  </si>
  <si>
    <t>Jogo 3 - Apresentação</t>
  </si>
  <si>
    <t>Serviços
Jogo de empresa</t>
  </si>
  <si>
    <t>Reconhecer a estrutura e o contexto de um jogo de empresa baseado em um serviço de pet shop</t>
  </si>
  <si>
    <t>Negociação</t>
  </si>
  <si>
    <t>Jogo 3 - Case de Negociação</t>
  </si>
  <si>
    <t>Estratégias de negociação
Tomada de decisão</t>
  </si>
  <si>
    <t>Aplicar técnicas de negociação em um cenário simulado</t>
  </si>
  <si>
    <t>Aplicar elementos da matemática financeira no planejamento pessoal, familiar e comunitário, considerando conceitos como juros simples e compostos, amortização de dívidas e elaboração de orçamentos, com foco na sustentabilidade financeira, tomada de decisões responsáveis e redução das desigualdades econômicas; e
Propor alternativas para a administração eficiente, eficaz e equitativa de recursos financeiros, aplicando conceitos de economia solidária, planejamento orçamentário e análise de custos, visando a autonomia financeira, a equidade social e a sustentabilidade econômica, com ênfase na transformação positiva do mundo do trabalho e da sociedade.</t>
  </si>
  <si>
    <t>Controle e gestão financeira</t>
  </si>
  <si>
    <t>Jogo 3 - Case de Escolha de Financiamento</t>
  </si>
  <si>
    <t>Financiamento
Fluxo de caixa
Planejamento financeiro
Capital de giro</t>
  </si>
  <si>
    <t>Selecionar financiamento com base na análise do capital da empresa, além de vantagens e desvantagens do ponto de vista administrativo</t>
  </si>
  <si>
    <t>Marketing</t>
  </si>
  <si>
    <t>Jogo 3 - Case envolvendo Marketing</t>
  </si>
  <si>
    <t>Marketing
ROAs
Análise de dados</t>
  </si>
  <si>
    <t>Comparar alcance e potencial de diferentes estratégias e ações de marketing
Tomar decisão financeira sobre ações de marketing baseada em dados</t>
  </si>
  <si>
    <t>Gestão de pessoas e ética</t>
  </si>
  <si>
    <t>Jogo 3 - Case de Gestão</t>
  </si>
  <si>
    <t>Gestão de pessoas
Relacionamento
Empatia</t>
  </si>
  <si>
    <t>Analisar dilemas de gestão relacionados a desempenho, comportamento profissional e clima organizacional</t>
  </si>
  <si>
    <t>Gestão de crise</t>
  </si>
  <si>
    <t>Jogo 3 - Finalização e Case de Gestão de Crise</t>
  </si>
  <si>
    <t>Tomada de decisão
Reputação de um negócio</t>
  </si>
  <si>
    <t>Tomar decisões sobre ações a partir de dados de reclamações públicas.</t>
  </si>
  <si>
    <t>Identificar dados relacionados a desafios sociais, econômicos e ambientais, por meio de ferramentas tecnológicas e representações gráficas para organizar e visualizar as informações de maneira estruturada.</t>
  </si>
  <si>
    <t>Introdução ao jogo e análise financeira</t>
  </si>
  <si>
    <t>Detetives Financeiros – Introdução ao jogo</t>
  </si>
  <si>
    <t>• Estrutura do jogo • DRE • Balanço patrimonial • Receita • Custos • Despesas • Lucro</t>
  </si>
  <si>
    <t>• Reconhecer a dinâmica investigativa do jogo • Identificar conceitos financeiros básicos presentes nos estudos de caso • Interpretar informações financeiras introdutórias em situações fictícias</t>
  </si>
  <si>
    <t>Analisar a relação entre variáveis matemáticas e indicadores utilizados em diferentes campos da vida social e profissional investigando padrões e tendências por meio de cálculos estatísticos, correlações e representações gráficas.</t>
  </si>
  <si>
    <t>Análise de dados financeiros</t>
  </si>
  <si>
    <t>Detetives Financeiros Case 1 – Pedal Livre</t>
  </si>
  <si>
    <t>• Investigação de dados financeiros • Representação e interpretação de dados • Tomada de decisão</t>
  </si>
  <si>
    <t>• Analisar informações financeiras apresentadas em um estudo de caso • Investigar possíveis relações entre indicadores empresariais • Propor decisões fundamentadas a partir dos dados analisados</t>
  </si>
  <si>
    <t>Avaliar modelos matemáticos, com base na seleção de dados, fatos e evidências, na integração de conhecimentos interdisciplinares e no uso de ferramentas tecnológicas, considerando critérios científicos, éticos, sociais e ambientais.</t>
  </si>
  <si>
    <t>Precificação e análise financeira</t>
  </si>
  <si>
    <t>Detetives Financeiros Case 2 – Marcenaria do Tio Roberto</t>
  </si>
  <si>
    <t>• Investigação de dados financeiros • Estratégias comerciais • Descontos • Tomada de decisão</t>
  </si>
  <si>
    <t>• Interpretar dados financeiros e comerciais em um estudo de caso • Avaliar impactos de decisões comerciais em diferentes cenários • Elaborar propostas fundamentadas a partir das evidências apresentadas</t>
  </si>
  <si>
    <t>Custos e resultado financeiro</t>
  </si>
  <si>
    <t>Detetives Financeiros Case 3 – Lanchonete Solar</t>
  </si>
  <si>
    <t>• Investigação de dados financeiros • Custos e despesas • Margem de resultado • Tomada de decisão</t>
  </si>
  <si>
    <t>• Analisar informações financeiras e operacionais de um estudo de caso • Avaliar fatores que impactam os resultados de um negócio • Propor estratégias fundamentadas com base nos dados apresentados</t>
  </si>
  <si>
    <t>Aplicar elementos da matemática financeira no planejamento pessoal, familiar e comunitário, considerando conceitos como juros simples e compostos, amortização de dívidas e elaboração de orçamentos, com foco na sustentabilidade financeira, tomada de decisões responsáveis e redução das desigualdades econômicas; e propor alternativas para a administração eficiente, eficaz e equitativa de recursos financeiros, aplicando conceitos de economia solidária, planejamento orçamentário e análise de custos, visando a autonomia financeira, a equidade social e a sustentabilidade econômica, com ênfase na transformação positiva do mundo do trabalho e da sociedade.</t>
  </si>
  <si>
    <t>Planejamento e crescimento empresarial</t>
  </si>
  <si>
    <t>Detetives Financeiros Case 4 – Fábrica Horizonte</t>
  </si>
  <si>
    <t>• Investigação de dados financeiros • Expansão empresarial • Custos fixos • Indicadores financeiros • Tomada de decisão</t>
  </si>
  <si>
    <t>• Comparar dados financeiros em diferentes cenários empresariais • Avaliar impactos de decisões relacionadas ao crescimento de um negócio • Elaborar propostas fundamentadas para o estudo de caso</t>
  </si>
  <si>
    <t>Investimentos e tomada de decisão</t>
  </si>
  <si>
    <t>Detetives Financeiros Case 5 – A Máquina Nova</t>
  </si>
  <si>
    <t>• Investigação de possibilidades de investimento • Juros • Financiamento • Comparação de cenários financeiros • Tomada de decisão</t>
  </si>
  <si>
    <t>• Comparar alternativas financeiras em um estudo de caso • Avaliar riscos e possibilidades de investimento • Justificar decisões com base nos dados apresentados</t>
  </si>
  <si>
    <t>Analisar dados e resultados de investigações científicas, com base na variação de grandezas em contextos sociais, econômicos e ambientais, considerando suas implicações no cotidiano e em diferentes áreas do conhecimento.
Analisar dados sociais, econômicos e ambientais, aplicando medidas estatísticas e modelagem matemática para identificar padrões e tendências que influenciam a inclusão social e o desenvolvimento sustentável.</t>
  </si>
  <si>
    <t>Clientes e Mercado</t>
  </si>
  <si>
    <t>Definindo nosso projeto: negócio social ou de base tecnológica - Parte 1</t>
  </si>
  <si>
    <t>Negócio social
Negócio de base tecnológica</t>
  </si>
  <si>
    <t xml:space="preserve">Reconhecer as características de um negócio social
Reconhecer as características de um negócio de base tecnológica
</t>
  </si>
  <si>
    <t>Definindo nosso projeto: negócio social ou de base tecnológica - Parte 2</t>
  </si>
  <si>
    <t>Pesquisa de mercado
Projeto semestral
Tomada de decisão</t>
  </si>
  <si>
    <t xml:space="preserve">Escolher um tema para o projeto semestral na ferramenta de gestão do projeto de empreendedorismo
Realizar uma pesquisa de mercado para identificar necessidades de clientes
Analisar a pesquisa de mercado
</t>
  </si>
  <si>
    <t>Compreender padrões de consumo e estratégias de planejamento financeiro e ambiental sustentável, considerando evidências, análises econômicas e projeções responsáveis, aplicando conceitos matemáticos e tomada de decisões conscientes para incentivar práticas de economia solidária, agricultura familiar, responsabilidade socioambiental e sustentabilidade.</t>
  </si>
  <si>
    <t>Problemas locais e soluções</t>
  </si>
  <si>
    <t>Do problema à solução - Parte 1</t>
  </si>
  <si>
    <t>Definição de problema
Pesquisa
Persona</t>
  </si>
  <si>
    <t>Definir um problema local norteador para o projeto
Pesquisar mais informações sobre o problema
Criar persona que representa o público-alvo</t>
  </si>
  <si>
    <t>Do problema à solução - Parte 2</t>
  </si>
  <si>
    <t>Pequisa de tecnologias inovadoras aplicáveis ao problema
Criatividade e Inovação</t>
  </si>
  <si>
    <t>Elaborar um levantamento de ideias para o projeto com apoio da ferramento de gestão do projeto de empreendedorismo
Pesquisar tecnologias e propostas inovadoras, aplicáveis ao problema</t>
  </si>
  <si>
    <t>Elaborar propostas de intervenção sociocultural e inovação tecnológica, em escala local, regional, nacional e global, de forma interdisciplinar e contextualizada, considerando as questões referentes às tecnologias, a democracia, direitos humanos, inclusão, acessibilidade e equidade</t>
  </si>
  <si>
    <t>Soluções e modelo de negócio</t>
  </si>
  <si>
    <t>Do problema à solução - Parte 3</t>
  </si>
  <si>
    <t>Pesquisas
Dados estatísticos
Solução</t>
  </si>
  <si>
    <t>Criar uma solução para o problema inicial, a partir de pesquisas e ideações</t>
  </si>
  <si>
    <t>Propor alternativas para a administração eficiente, eficaz e equitativa de recursos financeiros, aplicando conceitos de economia solidária, planejamento orçamentário e análise de custos, visando a autonomia financeira, a equidade social e a sustentabilidade econômica, com ênfase na transformação positiva do mundo do trabalho e da sociedade.
Propor soluções para desafios sociais aplicando algoritmos, linguagens de programação e princípios de Inteligência Artificial - IA para gerar impactos sociais positivos em áreas como saúde, educação e meio ambiente</t>
  </si>
  <si>
    <t>Modelando a solução</t>
  </si>
  <si>
    <t>Modelo de negócios</t>
  </si>
  <si>
    <t>Registrar a solução na ferramenta de gestão do projeto de empreendedorismo
Elaborar um Modelo de Negócio para trazer a solução identificada ao mercado (social ou empresarial)</t>
  </si>
  <si>
    <t>Plano de negócios &amp; Planejamento financeiro</t>
  </si>
  <si>
    <t>O que é um plano de negócios?</t>
  </si>
  <si>
    <t>Elementos do Plano de Negócios. Introdução ao planejamento financeiro.
Viabilidade Técnica e Econômica da Solução</t>
  </si>
  <si>
    <t>Diferenciar modelo de negócios e plano de negócios
Reconhecer a estrutura de um plano de negócios</t>
  </si>
  <si>
    <t>Tipos de custos: fixos e variáveis</t>
  </si>
  <si>
    <t>Custos fixos e variáveis</t>
  </si>
  <si>
    <t>Listar custos fixos e variáveis de um negócio</t>
  </si>
  <si>
    <t>Projeções e representação gráfica</t>
  </si>
  <si>
    <t>Projeções e estimativas - Parte 1</t>
  </si>
  <si>
    <t>Receitas e custos</t>
  </si>
  <si>
    <t>Estimar receitas e analisar custos nos primeiros 3 anos do projetos</t>
  </si>
  <si>
    <t>Projeções e estimativas - Parte 2</t>
  </si>
  <si>
    <t>Receitas e custos
Gráficos de linha e de barras</t>
  </si>
  <si>
    <t>Estimar receitas e analisar custos nos primeiros 3 anos do projetos
Registrar projeção na ferramenta de gestão do projeto de empreendedorismo
Analisar gráfico de projeções</t>
  </si>
  <si>
    <t>Plano de negócios &amp; Financiamento</t>
  </si>
  <si>
    <t>Financiando nosso projeto</t>
  </si>
  <si>
    <t>Fontes de financiamento</t>
  </si>
  <si>
    <t>Reconhecer fontes de financiamento para projetos empreendedores com diferentes características
Decidir as fontes de financiamento adequadas para o projeto e registrá-las no plano de negócios</t>
  </si>
  <si>
    <t>Avaliando o plano de negócios</t>
  </si>
  <si>
    <t>Feedback entre pares</t>
  </si>
  <si>
    <t>Analisar planos de negócio, considerando estimativas, projeções e fontes de financiamento.</t>
  </si>
  <si>
    <t>Marketing &amp; Posicionamento de mercado</t>
  </si>
  <si>
    <t>Como o mercado recebe nosso negócio? - Parte 1</t>
  </si>
  <si>
    <t>Concorrência e posicionamento no mercado
Marketing e comunicação
Dados e representações estatísticas</t>
  </si>
  <si>
    <t>Reconhecer o papel da estatística e dos dados para análise de concorrência, posicionamento de mercado e comunicação do plano de negócios</t>
  </si>
  <si>
    <t>Como o mercado recebe nosso negócio? - Parte 2</t>
  </si>
  <si>
    <t>Análise de concorrência
Fundamentos do marketing
marketing digital vs. tradicional</t>
  </si>
  <si>
    <t>Realizar uma análise de concorrência</t>
  </si>
  <si>
    <t>Comunicação baseada em dados</t>
  </si>
  <si>
    <t>Comunicando nossas projeções e decisões usando dados - Parte 1</t>
  </si>
  <si>
    <t xml:space="preserve">Projeções
Dados
Estatística
</t>
  </si>
  <si>
    <t>Mobilizar ferramentas estatísticas para representar as decisões e projeções de um negócio</t>
  </si>
  <si>
    <t>Comunicando nossas projeções e decisões usando dados - Parte 2</t>
  </si>
  <si>
    <t>Elaborar relatório sobre negócio, usando ferramentas de comunicação e estatítisica</t>
  </si>
  <si>
    <t>Plano de trabalho e simulação</t>
  </si>
  <si>
    <t>Lançando nosso negócio! - Como criar um plano de trabalho - Parte 1</t>
  </si>
  <si>
    <t>Plano de trabalho para lançamento da empresa</t>
  </si>
  <si>
    <t xml:space="preserve">Planejar documentos e materiais necessários para o lançamento do negócio
</t>
  </si>
  <si>
    <t>Lançando nosso negócio! - Como criar um plano de trabalho - Parte 2</t>
  </si>
  <si>
    <t xml:space="preserve">Preparar documentos e materiais necessários para o lançamento do negócio
</t>
  </si>
  <si>
    <t>Evento de empreendedorismo</t>
  </si>
  <si>
    <t>Feira empreendedora: organização e preparação</t>
  </si>
  <si>
    <t>Preparação para a feira empreendedora.
Logística</t>
  </si>
  <si>
    <t>Organizar uma simulação de feira empreendedora</t>
  </si>
  <si>
    <t>Feria empreendedora: apresentando os negócios - Parte 1</t>
  </si>
  <si>
    <t>Apresentação dos planos de negócios na feira empreendedora</t>
  </si>
  <si>
    <t>Apresentar negócios sociais</t>
  </si>
  <si>
    <t>Feria empreendedora: apresentando os negócios - Parte 2</t>
  </si>
  <si>
    <t>Apresentar negócios de base tecnológica</t>
  </si>
  <si>
    <t>Feria empreendedora: apresentando os negócios - Parte 3</t>
  </si>
  <si>
    <t>Avaliar negócios sociais e de base tecnológica</t>
  </si>
  <si>
    <t>Avaliação do projeto</t>
  </si>
  <si>
    <t>Refletindo sobre o trabalho em grupo</t>
  </si>
  <si>
    <t>Apresentações dos modelos de negócios em sala de aula</t>
  </si>
  <si>
    <t>Reflexão sobre feedbacks recolhidos</t>
  </si>
  <si>
    <t>Refletindo sobre o empreendedorismo e meu projeto de vida</t>
  </si>
  <si>
    <t>Autoavaliação
Comportamentos empreendedores</t>
  </si>
  <si>
    <t>Autoavaliação</t>
  </si>
  <si>
    <t>(EM13CHS304)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</si>
  <si>
    <t>Dinâmica climática</t>
  </si>
  <si>
    <t>Climatologia e meteorologia</t>
  </si>
  <si>
    <t xml:space="preserve">Diferenças entre Climatologia e Meteorologia; 
Conceitos de Tempo e Clima.
</t>
  </si>
  <si>
    <t xml:space="preserve">Identificar os campos de estudo da Climatologia e da Meteorologia; 
Explicar os conceitos de Tempo e Clima, destacando as principais características e diferenças entre eles.
</t>
  </si>
  <si>
    <t>(EM13CHS304)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</si>
  <si>
    <t>Climograma</t>
  </si>
  <si>
    <t>Principais elementos de um climograma: temperatura e precipitação
Biomas associados a determinados padrões de climogramas</t>
  </si>
  <si>
    <t>Interpretar um climograma.
Relacionar características climáticas representadas em climogramas aos biomas e as zonas climáticas.</t>
  </si>
  <si>
    <t>(EM13CHS103) 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t>
  </si>
  <si>
    <t>Recursos hídricos</t>
  </si>
  <si>
    <t>Conceito de bacia hidrográfica
Distribuição da água na Terra</t>
  </si>
  <si>
    <t>Descrever a distribuição da água no planeta​.
Explicar o conceito de bacia hidrográfica.</t>
  </si>
  <si>
    <t>Geomorfologia</t>
  </si>
  <si>
    <t>Relevo</t>
  </si>
  <si>
    <t xml:space="preserve">
Processos endógenos e exógeno de  formação do relevo</t>
  </si>
  <si>
    <t>Identificar os processos endógenos e exógenos de formação do relevo.
Analisar como a interação entre agentes internos e externos transforma o relevo e gera diferentes formas na superfície terrestre.</t>
  </si>
  <si>
    <t>Principais biomas do planeta Terra</t>
  </si>
  <si>
    <t>Principais Biomas da Terra
Importância da biodiversidade, suas ameaças e estratégias de conservação</t>
  </si>
  <si>
    <t>Caracterizar os principais biomas da Terra.
Reconhecer a importância dos biomas para o equilíbrio ambiental e os principais impactos das atividades humanas sobre eles.</t>
  </si>
  <si>
    <t>Unidades de conservação da natureza</t>
  </si>
  <si>
    <t>Sistema Nacional de Unidades de Conservação da natureza (SNUC)</t>
  </si>
  <si>
    <t>Sistema Nacional de Unidades de Conservação da natureza (SNUC)
Principais unidades de conservação no Brasil</t>
  </si>
  <si>
    <t>Reconhecer o Sistema Nacional de Unidades de Conservação da Natureza (SNUC) e sua importância para a preservação ambiental no Brasil.
Diferenciar Unidades de Conversvação (UCs) de proteção integral das de uso sustentável.</t>
  </si>
  <si>
    <t xml:space="preserve">(EM13CHS103) 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
</t>
  </si>
  <si>
    <t>Clima e bioma</t>
  </si>
  <si>
    <t>Testando saberes 1</t>
  </si>
  <si>
    <t>Exercícios de vestibular e do Enem sobre os conteúdos abordados nas aulas 1 a 6.</t>
  </si>
  <si>
    <t>Revisar conteúdos sobre clima e biomas.</t>
  </si>
  <si>
    <t>(EM13CHS106) Utilizar as linguagens cartográfica, gráfica eiconográfica, diferentes gêneros textuais e tecnologias digitais de informação e comunicação de forma crítica, significativa, reflexiva e ética nas diversas práticas sociais, incluindo as escolares, para se comunicar, acessar e difundir informações, produzir conhecimentos, resolver problemas e exercer protagonismo e autoria na vida pessoal e coletiva.</t>
  </si>
  <si>
    <t>Cartografia
Principais elementos dos mapas</t>
  </si>
  <si>
    <t>Principais elementos dos mapas</t>
  </si>
  <si>
    <t>Elementos dos mapas
Projeções cartográficas</t>
  </si>
  <si>
    <t>Identificar os elementos básicos de um mapa.
Comparar  projeções cartográficas.</t>
  </si>
  <si>
    <t>(EM13CHS404) 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t>
  </si>
  <si>
    <t>Globalização</t>
  </si>
  <si>
    <t>Conceito de globalização</t>
  </si>
  <si>
    <t>Analisar o conceito de globalização, suas características principais e os impactos.</t>
  </si>
  <si>
    <t xml:space="preserve">Impactos da globalização </t>
  </si>
  <si>
    <t>Impactos da globalização na produção
Impactos ambientais e sociais da produção</t>
  </si>
  <si>
    <t>Identificar os impactos da globalização na produção.</t>
  </si>
  <si>
    <t>(EM13CHS302) 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t>
  </si>
  <si>
    <t>Cadeias produtivas</t>
  </si>
  <si>
    <t>Conceito de produção
Cadeias produtivas.</t>
  </si>
  <si>
    <t>Relembrar o conceito de produção e sua importância na economia e na organização social.
Explicar o funcionamento das cadeias produtivas e sua relevância para as economias global e local.</t>
  </si>
  <si>
    <t>(EM13CHS502) Analisar situações da vida cotidiana, estilos de vida,valores, condutas etc., desnaturalizando e problematizando formas de desigualdade, preconceito, intolerância e discriminação, e identificar ações que promovam os Direitos Humanos, a solidariedade e o respeito às diferenças e às liberdades individuais.</t>
  </si>
  <si>
    <t xml:space="preserve">Consumismo </t>
  </si>
  <si>
    <t>Sociedade de consumo</t>
  </si>
  <si>
    <t>Analisar como o consumo se insere no processo de globalização e como o mercado se organiza globalmente.</t>
  </si>
  <si>
    <t>(EM13CHS303) Debater e avaliar o papel da indústria cultural e das culturas de massa no estímulo ao consumismo, seus impactos econômicos e socioambientais, com vistas à percepção crítica das necessidades criadas pelo consumo e à adoção de hábitos sustentáveis.</t>
  </si>
  <si>
    <t>Globalização e impacto na cultura</t>
  </si>
  <si>
    <t>Globalização cultural
Homogeneização cultural</t>
  </si>
  <si>
    <t>Identificar como a globalização afeta as culturas no mundo.
Analisar os processos de homogeneização cultural</t>
  </si>
  <si>
    <t xml:space="preserve">(EM13CHS302) 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
(EM13CHS304)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
(EM13CHS502) Analisar situações da vida cotidiana, estilos de vida,valores, condutas etc., desnaturalizando e problematizando formas de desigualdade, preconceito, intolerância e discriminação, e identificar ações que promovam os Direitos Humanos, a solidariedade e o respeito às diferenças e às liberdades individuais.
</t>
  </si>
  <si>
    <t>Globalização e consumo</t>
  </si>
  <si>
    <t>Testando saberes 2</t>
  </si>
  <si>
    <t>Exercícios de vestibular e do Enem sobre os conteúdos abordados nas aulas 8 a 14.</t>
  </si>
  <si>
    <t>Revisar conteúdos sobre globalização e consumo.</t>
  </si>
  <si>
    <t>(EM13CHS103) Elaborar hipóteses, selecionar evidências e compor argumentos, relativos a processos políticos, econômicos, sociais, ambientais, culturais e epistemológicos, com base em sistematização de dados e informações de diversas naturezas (expressões artísticas, textos filosóficos e sociológicos, documentos históricos e geográficos, gráficos, mapas, tabelas, tradições orais, entre outros).</t>
  </si>
  <si>
    <t>Classificação de impactos</t>
  </si>
  <si>
    <t>Impacto ambiental</t>
  </si>
  <si>
    <t>Conceito de impacto ambiental
Classificações dos impactos ambientais</t>
  </si>
  <si>
    <t>Analisar o conceito de impacto ambiental e suas classificações (positivos/negativos, diretos/indiretos, reversíveis/irreversíveis).</t>
  </si>
  <si>
    <t xml:space="preserve">Avaliação de impactos </t>
  </si>
  <si>
    <t>Perda de biodiversidade e urbanização desordenada</t>
  </si>
  <si>
    <t xml:space="preserve">Perda de biodiversidade e extinção de espécies
Urbanização desordenada </t>
  </si>
  <si>
    <t xml:space="preserve">Analisar os processos que contribuem para a perda de biodiversidade e extinção de espécies.
Discutir os impactos da urbanização desordenada. </t>
  </si>
  <si>
    <t>(EM13CHS301) Problematizar hábitos e práticas individuais e coletivos de produção, reaproveitamento e descarte de resíduos em metrópoles, áreas urbanas e rurais, e comunidades com diferentes características socioeconômicas, e elaborar e/ou selecionar propostas de ação que promovam a sustentabilidade socioambiental, o combate à poluição sistêmica e o consumo responsável.</t>
  </si>
  <si>
    <t>Pegada ecológica</t>
  </si>
  <si>
    <t>Modelo de consumo linear
Conceito de pegada ecológica e consumo sustentável</t>
  </si>
  <si>
    <t>Discutir o modelo de consumo linear (extrair-produzir-descartar) e seus impactos.
Explicar o conceito de pegada ecológica e sua aplicação.</t>
  </si>
  <si>
    <t>Efeito estufa</t>
  </si>
  <si>
    <t>Efeito estufa: natural x intensificado
Principais gases de efeito estufa (GEE)</t>
  </si>
  <si>
    <t>Analisar  o funcionamento do efeito estufa natural e sua importância para a manutenção da vida na Terra.
Diferenciar o efeito estufa natural do intensificado pela ação antrópica.</t>
  </si>
  <si>
    <t>Mudanças climáticas</t>
  </si>
  <si>
    <t>Causas antrópicas das mudanças climáticas</t>
  </si>
  <si>
    <t>Identificar as causas antrópicas e sua relação com as mudanças climáticas globais.
Identificar as principais atividades humanas responsáveis pelo aumento das emissões de gases de efeito estufa.</t>
  </si>
  <si>
    <t>(EM13CHS306) Contextualizar, comparar e avaliar os impactos de diferentes modelos socioeconômicos no uso dos recursos naturais e na promoção da sustentabilidade econômica e socioambiental do planeta (como a adoção dos sistemas da agrobiodiversidade e agroflorestal por diferentes comunidades, entre outros).</t>
  </si>
  <si>
    <t xml:space="preserve">Convenções para mitigar o aquecimento global </t>
  </si>
  <si>
    <t>Aquecimento global: impactos e acordos internacionais de mitigação</t>
  </si>
  <si>
    <t>Consequências do aquecimento global
Protocolo de Kyoto, Acordo de Paris e  Conferência das Partes (COP)</t>
  </si>
  <si>
    <t>Identificar as principais consequências ambientais do aquecimento global.
Conhecer os principais acordos internacionais sobre o clima, com foco no Protocolo de Kyoto (1997) e no Acordo de Paris (2015) e  Conferência das Partes (COP)</t>
  </si>
  <si>
    <t>Impactos ambientais e mudanças climáticas</t>
  </si>
  <si>
    <t>Testando saberes 3</t>
  </si>
  <si>
    <t>Revisar conceitos ambientais, e de mudanças climáticas</t>
  </si>
  <si>
    <t>Sistema Econômico de Mercado</t>
  </si>
  <si>
    <t>Sistema Econômico de Mercado (capitalismo)</t>
  </si>
  <si>
    <t>Analisar o conceito de Sistema Econômico de Mercado e suas características fundamentais.
Identificar o papel dos agentes econômicos, como consumidores, produtores e o mercado competitivo.</t>
  </si>
  <si>
    <t>Blocos econômicos</t>
  </si>
  <si>
    <t>Blocos econômicos (UE, Mercosul, USMCA)
Empresas transnacionais e seu papel no capitalismo global</t>
  </si>
  <si>
    <t>Avaliar o papel dos blocos econômicos na facilitação do comércio, harmonização de políticas econômicas e promoção da cooperação entre países membros.</t>
  </si>
  <si>
    <t>Relação entre Economia e mundo do trabalho</t>
  </si>
  <si>
    <t>Economia e mundo do trabalho</t>
  </si>
  <si>
    <t>Economia e mundo do trabalho
Tecnologia e globalização</t>
  </si>
  <si>
    <t>Analisar as relações entre economia e mundo do trabalho, destacando as transformações nos mercados de trtabalho e seus impactos sociais.
Avaliar os efeitos das mudanças tecnológicas e da globalização sobre as condições de trabalho.</t>
  </si>
  <si>
    <t>Globalização e interdependência econômica
Consequências econômicas e sociais da informalidade</t>
  </si>
  <si>
    <t>Economia global e desigualdades</t>
  </si>
  <si>
    <t>Fluxo de mercadorias, serviços e capitais
Desemprego e informalidade</t>
  </si>
  <si>
    <t>Explicar os fluxos globais de mercadorias, serviços e capitais na economia mundial.
Analisar os impactos da globalização na intensificação do comércio internacional e na interdependência econômica entre países.</t>
  </si>
  <si>
    <t>O tripé da sustentabilidade
Origem e importância dos Objetivos do Desenvolvimento Sustentável</t>
  </si>
  <si>
    <t>Sustentabilidade e desenvolvimento sustentável</t>
  </si>
  <si>
    <t>Pilares da sustentabilidade: econômico, social, ambiental
Objetivos de Desenvolvimento Sustentável (ODS)</t>
  </si>
  <si>
    <t>Analisar o conceito de sustentabilidade e seus três pilares fundamentais
Identificar os Objetivos de Desenvolvimento Sustentável (ODS) da ONU e suas metas principais.</t>
  </si>
  <si>
    <t>Conceito e características dos sistemas agroflorestais
Medidas para reduzir o impacto ambiental individual e coletivo
Impactos ambientais dos combustíveis fósseis</t>
  </si>
  <si>
    <t>Formas de produzir para o futuro</t>
  </si>
  <si>
    <t>Produção e sustentabilidade
Novas formas de produção</t>
  </si>
  <si>
    <t>Analisar formas de produção sustentáveis.</t>
  </si>
  <si>
    <t>(EM13CHS404) Identificar e discutir os múltiplos aspectos do trabalho em diferentes circunstâncias e contextos históricos e/ou geográficos e seus efeitos sobre as gerações, em especial, os jovens, levando em consideração, na atualidade, as transformações técnicas, tecnológicas e informacionais.
(EM13CHS302) Analisar e avaliar criticamente os impactos econômicos e socioambientais de cadeias produtivas ligadas à exploração de recursos naturais e às atividades agropecuárias em diferentes ambientes e escalas de análise, considerando o modo de vida das populações locais – entre elas as indígenas, quilombolas e demais comunidades tradicionais –, suas práticas agroextrativistas e o compromisso com a sustentabilidade.
(EM13CHS304) Analisar os impactos socioambientais decorrentes de práticas de instituições governamentais, de empresas e de indivíduos, discutindo as origens dessas práticas, selecionando, incorporando e promovendo aquelas que favoreçam a consciência e a ética socioambiental e o consumo responsável.</t>
  </si>
  <si>
    <t>Globalização, economia e sustentabilidades</t>
  </si>
  <si>
    <t>Testando saberes 4</t>
  </si>
  <si>
    <t>Revisar conceitos de globalização, economia e sustentabilidades</t>
  </si>
  <si>
    <t>(EM13CHS205) Analisar a produção de diferentes territorialidades em suas dimensões culturais, econômicas, ambientais, políticas e sociais, no Brasil e no mundo contemporâneo, com destaque para as culturas juvenis.</t>
  </si>
  <si>
    <t>Conceitos básicos de demografia</t>
  </si>
  <si>
    <t>Demografia</t>
  </si>
  <si>
    <t>Principais conceitos de demografia
Transição demográfica</t>
  </si>
  <si>
    <t>Explicar os principais conceitos de demografia
Reconhecer o conceito de transição demográfica</t>
  </si>
  <si>
    <t>Demografia brasileira</t>
  </si>
  <si>
    <t>Dados de demografia do Brasil
Distribuição e principais características da população brasileira</t>
  </si>
  <si>
    <t>Analisar os principais dados demográficos da população brasileira</t>
  </si>
  <si>
    <t>(EM13CHS606) 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t>
  </si>
  <si>
    <t>Conceitos basicos de economia</t>
  </si>
  <si>
    <t>O Brasil na economia mundial</t>
  </si>
  <si>
    <t>Principais dados da economia brasileira atual, com destaque para o PIB
O papel da economia brasileira no cenário mundial</t>
  </si>
  <si>
    <t>Analisar dados atuais da economia brasileira, em especial o PIB
Discutir o papel do Brasil na economia mundial</t>
  </si>
  <si>
    <t>(EM13CHS201)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t>
  </si>
  <si>
    <t>Economia do Brasil</t>
  </si>
  <si>
    <t>Evolução da economia do Brasil com destaque para os séculos XVIII, XIX e XX</t>
  </si>
  <si>
    <t>Descrever a evolução da economia brasileira
Reconhecer a importância do real para a estabilidade da economia nacional</t>
  </si>
  <si>
    <t>(EM13CHS203)
Comparar os significados de território, fronteiras e vazio (espacial, temporal e cultural) em diferentes sociedades, contextualizando e relativizando visões dualistas (civilização/barbárie, nomadismo/sedentarismo, esclarecimento/obscurantis mo, cidade/campo, entre outras).</t>
  </si>
  <si>
    <t>Estado, nação e território</t>
  </si>
  <si>
    <t>Conceitos de Estado, nação e território</t>
  </si>
  <si>
    <t>Diferenciar os conceitos de Estado, nação e território.
Explicar as inter-relações entre Estado, nação e território.</t>
  </si>
  <si>
    <t>Conflitos territoriais e geopolítica contemporânea</t>
  </si>
  <si>
    <t>Conflitos territoriais atuais
O papel da ONU e dos organismos internacionais nesses conflitos.</t>
  </si>
  <si>
    <t>Identificar os principais conflitos territoriais da atualidade.
Analisar disputas territoriais e o papel do Estado nas tensões geopolíticas</t>
  </si>
  <si>
    <t>(EM13CHS205) Analisar a produção de diferentes territorialidades em suas dimensões culturais, econômicas, ambientais, políticas e sociais, no Brasil e no mundo contemporâneo, com destaque para as culturas juvenis.
(EM13CHS606) 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
(EM13CHS201)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
"(EM13CHS203)
Comparar os significados de território, fronteiras e vazio (espacial, temporal e cultural) em diferentes sociedades, contextualizando e relativizando visões dualistas (civilização/barbárie, nomadismo/sedentarismo, esclarecimento/obscurantis mo, cidade/campo, entre outras)."</t>
  </si>
  <si>
    <t>Demografia,Estado, nação e territórios</t>
  </si>
  <si>
    <t>Testando saberes 5</t>
  </si>
  <si>
    <t>Revisar conceitos de demografia,Estado, nação e territórios</t>
  </si>
  <si>
    <t>(EM13CHS203) Comparar os significados de território, fronteiras e vazio (espacial, temporal e cultural) em diferentes sociedades, contextualizando e relativizando visões dualistas (civilização/barbárie, nomadismo/sedentarismo, esclarecimento/obscurantismo, cidade/campo, entre outras).
(EM13CHS204) Comparar e avaliar os processos de ocupação do espaço e a formação de territórios, territorialidades e fronteiras, identificando o papel de diferentes agentes (como grupos sociais e culturais, impérios, Estados Nacionais e organismos internacionais) e considerando os conflitos populacionais (internos e externos), a diversidade étnico-cultural e as características socioeconômicas, políticas e tecnológicas.
(EM13CHS603) Analisar a formação de diferentes países, povos e nações e de suas experiências políticas e de exercício da cidadania, aplicando conceitos políticos básicos (Estado, poder, formas, sistemas e regimes de governo, soberania etc.)</t>
  </si>
  <si>
    <t>Geografia urbana</t>
  </si>
  <si>
    <t>Problemas Urbanos e Desigualdades Socioespaciais</t>
  </si>
  <si>
    <t>Identificar os principais problemas urbanos nas cidades brasileiras e globais.</t>
  </si>
  <si>
    <t>(EM13CHS105) Identificar, contextualizar e criticar tipologias evolutivas (populações nômades e sedentárias, entre outras) e oposições dicotômicas (cidade/campo, cultura/natureza, civilizados/bárbaros, razão/emoção, material/virtual etc.), para explicitar suas ambiguidades.</t>
  </si>
  <si>
    <t>Desafios contemporâneos das cidades</t>
  </si>
  <si>
    <t>Debater os desafios e as possibilidades para a transformação das cidades em "smart cities", considerando aspectos tecnológicos, sociais e ambientais, para promover a sustentabilidade e o bem-estar urbano.</t>
  </si>
  <si>
    <t xml:space="preserve">(EM13CHS203)
Comparar os significados de território, fronteiras e vazio (espacial, temporal e cultural) em diferentes sociedades, contextualizando e relativizando visões dualistas (civilização/barbárie, nomadismo/sedentarismo, esclarecimento/obscurantismo, cidade/campo, entre
outras).
(EM13CHS105)
Identificar, contextualizar e criticar tipologias evolutivas (populações nômades e sedentárias, entre outras) e oposições dicotômicas (cidade/campo, cultura/natureza, civilizados/bárbaros, razão/emoção, material/virtual etc.), explicitando suas ambiguidades. </t>
  </si>
  <si>
    <t>Geografia agrária</t>
  </si>
  <si>
    <t>Transformações e Contrastes no Espaço Agrário Brasileiro</t>
  </si>
  <si>
    <t>O espaço agrário brasileiro</t>
  </si>
  <si>
    <t>Compreender as características, transformações e desigualdades do espaço agrário brasileiro.
Analisar os diferentes modelos de produção rural e seus impactos socioeconômicos e ambientais.</t>
  </si>
  <si>
    <t>O Agronegócio e a Expansão das Novas Fronteiras Agrícolas</t>
  </si>
  <si>
    <t>O agronegócio e as novas fronteiras</t>
  </si>
  <si>
    <t>Analisar o crescimento do agronegócio e a abertura de novas fronteiras agrícolas no território brasileiro.
Discutir os impactos socioambientais, econômicos e territoriais desse processo.</t>
  </si>
  <si>
    <t>(EM13CHS105) Identificar, contextualizar e criticar tipologias evolutivas (populações nômades e sedentárias, entre outras) e oposições dicotômicas (cidade/campo, cultura/natureza, civilizados/bárbaros, razão/emoção, material/virtual etc.), para explicitar suas ambiguidades.
"(EM13CHS203)
Comparar os significados de território, fronteiras e vazio (espacial, temporal e cultural) em diferentes sociedades, contextualizando e relativizando visões dualistas (civilização/barbárie, nomadismo/sedentarismo, esclarecimento/obscurantismo, cidade/campo, entre
outras).
(EM13CHS105)
Identificar, contextualizar e criticar tipologias evolutivas (populações nômades e sedentárias, entre outras) e oposições dicotômicas (cidade/campo, cultura/natureza, civilizados/bárbaros, razão/emoção, material/virtual etc.), explicitando suas ambiguidades. "</t>
  </si>
  <si>
    <t>Geografia urbana e agrária</t>
  </si>
  <si>
    <t>Testando saberes 6</t>
  </si>
  <si>
    <t>Revisar conceitos de geografia urbana e agrária</t>
  </si>
  <si>
    <t>Migrações contemporâneas e sua complexidade</t>
  </si>
  <si>
    <t>As causas das migrações contemporâneas</t>
  </si>
  <si>
    <t>Fatores econômicos, sociais e ambientais das migrações
Estudos de caso</t>
  </si>
  <si>
    <t>Identificar os fatores econômicos, sociais e ambientais que motivam migrações contemporâneas.</t>
  </si>
  <si>
    <t>(EM13CHS201)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se posicionar criticamente, em relação a esses processos e às possíveis relações entre eles.</t>
  </si>
  <si>
    <t>Migração em áreas de conflito</t>
  </si>
  <si>
    <t>Migração forçada
Estudos de caso em zonas de conflito</t>
  </si>
  <si>
    <t>Analisar a migração como estratégia de sobrevivência em áreas de conflito.</t>
  </si>
  <si>
    <t>Impacto das migrações em países receptores</t>
  </si>
  <si>
    <t>Impactos demográficos e econômicos das migrações
Integração social e desafios culturais</t>
  </si>
  <si>
    <t>Avaliar as consequências demográficas e econômicas das migrações nos países receptores.</t>
  </si>
  <si>
    <t>Globalização e soberania</t>
  </si>
  <si>
    <t>Fluxos de informação na era digital</t>
  </si>
  <si>
    <t>Redes de informação
Poder midiático
Impacto das plataformas digitais</t>
  </si>
  <si>
    <t>Avaliar os impactos da circulação digital de informações nas relações de poder globais.</t>
  </si>
  <si>
    <t>(EM13CHS205) Analisar a produção de diferentes territorialidades em suas dimensões culturais, econômicas, ambientais, políticas e sociais, no Brasil e no mundo contemporâneo, com destaque para as culturas juvenis.
(EM13CHS305) Analisar e discutir o papel e as competências legais dos organismos nacionais e internacionais de regulação, e o controle e a fiscalização ambiental e dos acordos internacionais, para a promoção e a garantia de práticas ambientais sustentáveis.</t>
  </si>
  <si>
    <t>Migrações, globalizações e sanções</t>
  </si>
  <si>
    <t>Testando saberes 7</t>
  </si>
  <si>
    <t>Exercícios de vestibular e do Enem sobre os conteúdos abordados nas aulas 1 a 5.</t>
  </si>
  <si>
    <t>Revisar conceitos de migrações, globalizações e sanções</t>
  </si>
  <si>
    <t>(EM13CHS202) Analisar e avaliar os impactos das tecnologias na estruturação e nas dinâmicas de grupos, povos e sociedades contemporâneos (fluxos populacionais, financeiros, de mercadorias, de informações, de valores éticos e culturais etc.), bem como suas interferências em decisões políticas, sociais, ambientais, econômicas e culturais.</t>
  </si>
  <si>
    <t>Fluxos materiais e imateriais.</t>
  </si>
  <si>
    <t>Fluxos globais</t>
  </si>
  <si>
    <t>Fluxos Globais.</t>
  </si>
  <si>
    <t>Explicar os conceitos de fluxo geográfico.
Comparar diferentes fluxos materiais e imateriais.</t>
  </si>
  <si>
    <t>Fluxos de informação e tecnologia</t>
  </si>
  <si>
    <t>Fluxos de informação e tecnologia.</t>
  </si>
  <si>
    <t>Explicar a revolução tecnológica e seu impacto na intensificação dos fluxos de informação.
Analisar criticamente os benefícios, desafios e consequências dos fluxos de informação promovidos pelas redes sociais e pela internet.</t>
  </si>
  <si>
    <t>(EM13CHS401) Identificar e analisar as relações entre pessoas, grupos, classes sociais e sociedades, de culturas distintas, diante das transformações técnicas, tecnológicas e informacionais, e das novas formas de trabalho ao longo do tempo, em diferentes espaços (urbanos e rurais) e contextos.</t>
  </si>
  <si>
    <t>Meio técnico-científico-informacional e seu papel na transformação do espaço geográfico.</t>
  </si>
  <si>
    <t>Meio técnico-científico-informacional</t>
  </si>
  <si>
    <t>Meio técnico-científico-informacional.</t>
  </si>
  <si>
    <t>Descrever a evolução histórica da ciência e da tecnologia.
Explicar o meio técnico-científico-informacional e seu papel na transformação do espaço geográfico ao longo do tempo.
Reconhecer os impactos dos avanços científicos e tecnológicos na organização territorial, na sociedade e no meio ambiente.</t>
  </si>
  <si>
    <t>(EM13CHS401) Identificar e analisar as relações entre pessoas, grupos, classes sociais e sociedades, de culturas distintas, diante das transformações técnicas, tecnológicas e informacionais, e das novas formas de trabalho ao longo do tempo, em diferentes espaços (urbanos e rurais) e contextos.
(EM13CHS104) Analisar objetos e vestígios das culturas material e imaterial, de modo a identificar conhecimentos, valores, crenças e práticas que caracterizem a identidade e a diversidade cultural, de diferentes sociedades, inseridas no tempo e no espaço.</t>
  </si>
  <si>
    <t>Tecnologia e transformações no espaço geográfico</t>
  </si>
  <si>
    <t>Tecnologia e transformações no espaço geográfico.</t>
  </si>
  <si>
    <t>Investigar a influência da tecnologia na organização dos espaços urbano e rural.
Reconhecer os impacto da tecnologia nos espaços urbano e rural a curto, médio e longo prazo.</t>
  </si>
  <si>
    <t>(EM13CHS202) Analisar e avaliar os impactos das tecnologias na estruturação e nas dinâmicas de grupos, povos e sociedades contemporâneos (fluxos populacionais, financeiros, de mercadorias, de informações, de valores éticos e culturais etc.), bem como suas interferências em decisões políticas, sociais, ambientais, econômicas e culturais.
(EM13CHS201)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se posicionar criticamente, em relação a esses processos e às possíveis relações entre eles.</t>
  </si>
  <si>
    <t>Blocos econômicos.</t>
  </si>
  <si>
    <t>Comércio Global e Blocos Econômicos</t>
  </si>
  <si>
    <t>Comércio Global</t>
  </si>
  <si>
    <t>Explicar os impactos do comércio global nas economias periféricas e nos países em desenvolvimento.</t>
  </si>
  <si>
    <t>(EM13CHS205) Analisar a produção de diferentes territorialidades em suas dimensões culturais, econômicas, ambientais, políticas e sociais, no Brasil e no mundo contemporâneo, com destaque para as culturas juvenis.
valores, condutas etc.,
(EM13CHS502)
Analisar situações da vida cotidiana, estilos de vidadesnaturalizando e problematizando formas de desigualdade, preconceito, intolerância e discriminação, e identificar ações que promovam os Direitos Humanos, a solidariedade e o respeito às diferenças e às liberdades individuais.</t>
  </si>
  <si>
    <t>Desigualdades regionais</t>
  </si>
  <si>
    <t>Tecnologia e desigualdade</t>
  </si>
  <si>
    <t>Desigualdades regionais e economia.</t>
  </si>
  <si>
    <t>Investigar o papel da tecnologia nas desigualdades, por meio da análise de dados socioeconômicos de diferentes regiões do Brasil e do mundo.
Propor soluções para ampliar a inclusão social e o desenvolvimento econômico.</t>
  </si>
  <si>
    <t>"(EM13CHS401) Identificar e analisar as relações entre pessoas, grupos, classes sociais e sociedades, de culturas distintas, diante das transformações técnicas, tecnológicas e informacionais, e das novas formas de trabalho ao longo do tempo, em diferentes espaços (urbanos e rurais) e contextos.
(EM13CHS104) Analisar objetos e vestígios das culturas material e imaterial, de modo a identificar conhecimentos, valores, crenças e práticas que caracterizem a identidade e a diversidade cultural, de diferentes sociedades, inseridas no tempo e no espaço."
"(EM13CHS202) Analisar e avaliar os impactos das tecnologias na estruturação e nas dinâmicas de grupos, povos e sociedades contemporâneos (fluxos populacionais, financeiros, de mercadorias, de informações, de valores éticos e culturais etc.), bem como suas interferências em decisões políticas, sociais, ambientais, econômicas e culturais.
(EM13CHS201)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se posicionar criticamente, em relação a esses processos e às possíveis relações entre eles."</t>
  </si>
  <si>
    <t>fluxos, meio-técnico-científico-informacional e economia</t>
  </si>
  <si>
    <t>Testando saberes 8</t>
  </si>
  <si>
    <t>Revisar conceitos de fluxos, meio-técnico-científico-informacional e economia</t>
  </si>
  <si>
    <t>Fundamentos da Liderança e da Oratória</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</si>
  <si>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t>
  </si>
  <si>
    <t>• Conceito de liderança e oratória.
• Oralidade e discurso público.</t>
  </si>
  <si>
    <t>O que é liderança e oratória?</t>
  </si>
  <si>
    <t>• Diferença entre oralidade e oratória.
• Liderança como prática social.</t>
  </si>
  <si>
    <t>• Definir liderança e oratória.
• Reconhecer sua importância e aplicação em diferentes esferas da vida social.</t>
  </si>
  <si>
    <t>Desenvolver estratégias de escuta ativa, autoconhecimento, empatia e argumentação, favorecendo o diálogo e a construção de consensos na compreensão e mediação de conflitos pessoais, coletivos e relacionados ao mundo do trabalho.</t>
  </si>
  <si>
    <t>Liderança comunicativa e influência social.</t>
  </si>
  <si>
    <t>A relação entre liderança e oratória</t>
  </si>
  <si>
    <t>• A oratória como ferramenta da liderança.
• Impacto da fala na motivação, mediação e tomada de decisão.</t>
  </si>
  <si>
    <t>Compreender como a oratória fortalece a prática da liderança e favorece relações colaborativas e inspiradoras.</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</si>
  <si>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Desenvolver estratégias de escuta ativa, autoconhecimento, empatia e argumentação, favorecendo o diálogo e a construção de consensos na compreensão e mediação de conflitos pessoais, coletivos e relacionados ao mundo do trabalho.</t>
  </si>
  <si>
    <t>Clareza, coerência e integridade na fala.</t>
  </si>
  <si>
    <t>A importância da clareza na comunicação</t>
  </si>
  <si>
    <t>• Estratégias de clareza e organização da fala.
• Ritmo e entonação.</t>
  </si>
  <si>
    <t>Reconhecer a importância da confiança e da clareza como fundamentos da fala e da liderança.</t>
  </si>
  <si>
    <t>Ruídos e interferências na comunicação.</t>
  </si>
  <si>
    <t>Ruídos e falhas na comunicação</t>
  </si>
  <si>
    <t>• Ruídos físicos, psicológicos e semânticos.
• Estratégias de superação.</t>
  </si>
  <si>
    <t>Reconhecer tipos de ruído e suas consequências na compreensão e colaboração.</t>
  </si>
  <si>
    <t xml:space="preserve"> 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t>
  </si>
  <si>
    <t>Vícios de linguagem.</t>
  </si>
  <si>
    <t>Vícios de linguagem</t>
  </si>
  <si>
    <t>• Tipos de vícios de linguagem.
• Seus efeitos.</t>
  </si>
  <si>
    <t>Identificar e evitar vícios de linguagem que comprometem a clareza e a autoridade da fala pública.</t>
  </si>
  <si>
    <t xml:space="preserve"> Desenvolver estratégias de escuta ativa, autoconhecimento, empatia e argumentação, favorecendo o diálogo e a construção de consensos na compreensão e mediação de conflitos pessoais, coletivos e relacionados ao mundo do trabalho.</t>
  </si>
  <si>
    <t>Comunicação empática e ética.</t>
  </si>
  <si>
    <t>Comunicação não violenta (CNV)</t>
  </si>
  <si>
    <t>Princípios da CNV: observação, sentimento, necessidade e pedido.</t>
  </si>
  <si>
    <t>Aplicar os princípios da comunicação não violenta em interações de fala pública e liderança.</t>
  </si>
  <si>
    <t>Escuta ativa e empatia.</t>
  </si>
  <si>
    <t>Escuta ativa e liderança</t>
  </si>
  <si>
    <t>Práticas de escuta atenta, empatia e feedback construtivo.</t>
  </si>
  <si>
    <t>Compreender o papel da escuta ativa como base da liderança e da construção de confiança.</t>
  </si>
  <si>
    <t>Desenvolver a criticidade para elaborar projetos de vida éticos e autênticos, articulando aspirações pessoais ao protagonismo juvenil e ao impacto positivo na sociedade, explorando diferentes possibilidades de carreira.
Produzir textos orais, escritos e multimodais em diferentes contextos sociais, mobilizando conhecimentos linguísticos e discursivos para analisar criticamente desigualdades históricas e estruturais, promover o diálogo intercultural e fortalecer a participação cidadã.</t>
  </si>
  <si>
    <t>Competências técnicas e socioemocionais e liderança colaborativa.</t>
  </si>
  <si>
    <t>Habilidades de liderança</t>
  </si>
  <si>
    <t>Responsabilidade, empatia, comunicação, tomada de decisão e visão de grupo.</t>
  </si>
  <si>
    <t>Identificar e refletir sobre as principais habilidades envolvidas em práticas de liderança ética e inspiradora.</t>
  </si>
  <si>
    <t>Autopercepção e protagonismo.</t>
  </si>
  <si>
    <t>Reconhecendo nossas práticas de liderança e oratória</t>
  </si>
  <si>
    <t>• Autoanálise das próprias práticas discursivas e de liderança.
• Planejamento de aprimoramento pessoal.</t>
  </si>
  <si>
    <t>Reconhecer potencialidades comunicativas e elaborar metas de desenvolvimento para o Projeto de Vida.</t>
  </si>
  <si>
    <t>Analisar criticamente manifestações artísticas, discursivas e culturais como expressões identitárias e históricas, considerando seus contextos de produção, circulação e recepção e evidenciando as contribuições de grupos historicamente marginalizados na construção do conhecimento e das artes.</t>
  </si>
  <si>
    <t>Juventudes e protagonismo discursivo.</t>
  </si>
  <si>
    <t>Juventude e protagonismo discursivo</t>
  </si>
  <si>
    <t>• Liderança juvenil e oratória social.
• Discursos transformadores.</t>
  </si>
  <si>
    <t>Identificar práticas de liderança e expressão juvenil em contextos sociais e midiáticos.</t>
  </si>
  <si>
    <t>Desenvolver produções artísticas e culturais, como performances, vídeos, jogos e produções multimodais, articuladas às identidades e pluralidades dos territórios, ampliando o repertório cultural e promovendo a mediação sociocultural para contribuir com a transformação social.
Debater estratégias de mediação de conflitos e solução coletiva de problemas de ordem política, econômica e ambiental, com base na diplomacia internacional, a partir do desenvolvimento de projetos que articulem teoria e prática.</t>
  </si>
  <si>
    <t>Cocriação e ambientes colaborativos.</t>
  </si>
  <si>
    <t>Liderança colaborativa</t>
  </si>
  <si>
    <t>Colaboração, coautoria e liderança dialógica.</t>
  </si>
  <si>
    <t>Valorizar a cooperação e o diálogo como fundamentos da fala pública e da liderança inclusiva.</t>
  </si>
  <si>
    <t>Produzir textos orais, escritos e multimodais em diferentes contextos sociais, mobilizando conhecimentos linguísticos e discursivos para analisar criticamente desigualdades históricas e estruturais, promover o diálogo intercultural e fortalecer a participação cidadã.</t>
  </si>
  <si>
    <t>Aplicação prática de liderança colaborativa.</t>
  </si>
  <si>
    <t>Prática colaborativa de liderança</t>
  </si>
  <si>
    <t>Produção colaborativa de discursos ou propostas.</t>
  </si>
  <si>
    <t>Aplicar as habilidades de comunicação e liderança em uma atividade prática de coautoria.</t>
  </si>
  <si>
    <t>Avaliar a participação ativa dos jovens na sociedade, promovendo reflexões sobre sua contribuição para a diversidade, o bem-estar coletivo e a transformação social, com base nos princípios dos Direitos Humanos e no fortalecimento de uma convivência ética e inclusiva; e
Desenvolver produções artísticas e culturais, como performances, vídeos, jogos e produções multimodais, articuladas às identidades e pluralidades dos territórios, ampliando o repertório cultural e promovendo a mediação sociocultural para contribuir com a transformação social.</t>
  </si>
  <si>
    <t>Aplicação dos conceitos de oratória e liderança.</t>
  </si>
  <si>
    <t>Dinâmica de integração</t>
  </si>
  <si>
    <t>Expressão oral, escuta ativa e improviso colaborativo.</t>
  </si>
  <si>
    <t>Consolidar aprendizagens por meio de uma atividade lúdica que integre fala, escuta e liderança.</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</si>
  <si>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Desenvolver a criticidade para elaborar projetos de vida éticos e autênticos, articulando aspirações pessoais ao protagonismo juvenil e ao impacto positivo na sociedade, explorando diferentes possibilidades de carreira.</t>
  </si>
  <si>
    <t>Sistematização e reflexão.</t>
  </si>
  <si>
    <t>O que aprendemos com a fala e a escuta</t>
  </si>
  <si>
    <t>Revisão dos principais conceitos e habilidades de liderança e oratória.</t>
  </si>
  <si>
    <t>Consolidar aprendizagens e reconhecer avanços na comunicação ética e expressiva.</t>
  </si>
  <si>
    <t>Técnicas de Comunicação</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</si>
  <si>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t>
  </si>
  <si>
    <t>Expressividade vocal e entonação</t>
  </si>
  <si>
    <t>A eficácia do discurso oral</t>
  </si>
  <si>
    <t>Ritmo, entonação e projeção; pausas e ênfases; domínio vocal e intenção.</t>
  </si>
  <si>
    <t>Aplicar técnicas vocais para fortalecer a clareza, a intencionalidade e o impacto da fala.</t>
  </si>
  <si>
    <t>Participar de práticas corporais como manifestações culturais e identitárias, compreendendo seus significados sociais, históricos e políticos, e avaliando seu impacto na promoção da inclusão, da diversidade e da convivência democrática;</t>
  </si>
  <si>
    <t>Expressividade integrada</t>
  </si>
  <si>
    <t>Integração entre voz, corpo e intencionalidade discursiva</t>
  </si>
  <si>
    <t>Relação entre o verbal e o não verbal; coerência comunicativa.</t>
  </si>
  <si>
    <t>Integrar expressão vocal e corporal para ampliar a presença e a autenticidade.</t>
  </si>
  <si>
    <t>Desenvolver produções artísticas e culturais, como performances, vídeos, jogos e produções multimodais, articuladas às identidades e pluralidades dos territórios, ampliando o repertório cultural e promovendo a mediação sociocultural para contribuir com a transformação social;</t>
  </si>
  <si>
    <t>Aplicação de técnicas expressivas</t>
  </si>
  <si>
    <r>
      <rPr>
        <sz val="10"/>
        <color rgb="FF000000"/>
        <rFont val="Arial"/>
      </rPr>
      <t>Oficina prática: presença e coerência comunicativa (</t>
    </r>
    <r>
      <rPr>
        <b/>
        <sz val="10"/>
        <color rgb="FF000000"/>
        <rFont val="Arial"/>
      </rPr>
      <t>AULA COMPLEMENTAR</t>
    </r>
    <r>
      <rPr>
        <sz val="10"/>
        <color rgb="FF000000"/>
        <rFont val="Arial"/>
      </rPr>
      <t>)</t>
    </r>
  </si>
  <si>
    <t>Uso combinado de voz, corpo e intenção discursiva em situações reais.</t>
  </si>
  <si>
    <t>Aplicar, de forma prática, as técnicas de expressividade vocal e corporal em apresentações curtas.</t>
  </si>
  <si>
    <t>Persuasão e retórica ética</t>
  </si>
  <si>
    <t>Fundamentos da persuasão ética</t>
  </si>
  <si>
    <t>Ethos (credibilidade), Logos (razão) e PáThos (emoção).</t>
  </si>
  <si>
    <t>Identificar e aplicar os pilares da persuasão em falas éticas e eficazes.</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</si>
  <si>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dasFake News;</t>
  </si>
  <si>
    <t>Prática de persuasão</t>
  </si>
  <si>
    <t>Persuasão e responsabilidade discursiva</t>
  </si>
  <si>
    <t>Ética da influência; persuasão versus manipulação; responsabilidade discursiva.</t>
  </si>
  <si>
    <t>Diferenciar persuasão ética e manipulação discursiva, refletindo sobre seus impactos sociais.</t>
  </si>
  <si>
    <t>Argumentação crítica</t>
  </si>
  <si>
    <t>Falácias e manipulações discursivas</t>
  </si>
  <si>
    <t>Falácias argumentativas (ad hominem, apelo à emoção, falsa causa etc.).</t>
  </si>
  <si>
    <t>Reconhecer falácias argumentativas e compreender seus efeitos sobre a credibilidade e o diálogo.</t>
  </si>
  <si>
    <t>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
Analisar criticamente conflitos em diferentes contextos históricos, culturais, sociais e políticos, com foco no Sul Global, identificando suas causas e impactos para fundamentar debates, aprimorar processos de mediação e fortalecer a construção de argumentações embasadas em perspectivas éticas, democráticas e sustentáveis.</t>
  </si>
  <si>
    <t>Oficina de análise</t>
  </si>
  <si>
    <t>Análise crítica de discursos</t>
  </si>
  <si>
    <t>Análise prática de falas e textos; ethos, logos, páthos e falácias.</t>
  </si>
  <si>
    <t>Aplicar os conceitos de persuasão e falácia na leitura crítica de discursos reais.</t>
  </si>
  <si>
    <t>Criar produções artísticas e culturais a partir de diferentes linguagens e suportes, mobilizando referências estéticas, históricas e identitárias na promoção de equidade, justiça social e valorização da diversidade cultural e dos Direitos Humanos;
Discutir o papel do jovem como agente social, político, ambiental, profissional e cultural, compreendendo as dinâmicas que moldam suas identidades e expressões nas culturas juvenis contemporâneas.</t>
  </si>
  <si>
    <t>Storytelling e oratória</t>
  </si>
  <si>
    <t>Narrativas e estratégias de engajamento</t>
  </si>
  <si>
    <t>Elementos da narrativa (conflito, personagem, clímax, desfecho); storytelling como técnica de oratória.</t>
  </si>
  <si>
    <t>Utilizar estruturas narrativas para tornar discursos mais envolventes e significativos.</t>
  </si>
  <si>
    <t>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Avaliar a participação ativa dos jovens na sociedade, promovendo reflexões sobre sua contribuição para a diversidade, o bem-estar coletivo e a transformação social, com base nos princípios dos Direitos Humanos e no fortalecimento de uma convivência ética e inclusiva;</t>
  </si>
  <si>
    <t>Oficina de storytelling</t>
  </si>
  <si>
    <t>Narrativas de credibilidade e autoridade discursiva</t>
  </si>
  <si>
    <t>Construção de micro-histórias; relação entre emoção e propósito.</t>
  </si>
  <si>
    <t>Criar narrativas breves que expressem valores e experiências de liderança.</t>
  </si>
  <si>
    <t>Empregar estratégias argumentativas e discursivas em debates, mediações e produções textuais, utilizando diferentes linguagens (artísticas, corporais, verbais, multimodais e digitais) para propor intervenções sociais e culturais voltadas à equidade, à justiça social Desenvolver estratégias de escuta ativa, autoconhecimento, empatia e argumentação, favorecendo o diálogo e a construção de consensos na compreensão e mediação de conflitos pessoais, coletivos e relacionados ao mundo do trabalho.</t>
  </si>
  <si>
    <t>Comunicação assertiva</t>
  </si>
  <si>
    <t>Oratória assertiva e empática</t>
  </si>
  <si>
    <t>Assertividade, empatia e limites; mediação de conflitos comunicativos.</t>
  </si>
  <si>
    <t>Praticar comunicação assertiva para fortalecer o diálogo e a liderança colaborativa.</t>
  </si>
  <si>
    <t>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
Desenvolver iniciativas que reflitam sobre a educação decolonial, o combate ao racismo, a valorização da diversidade cultural e a preservação dos Direitos Humanos, fortalecendo ações coletivas que busquem transformar realidades sociais e promover a inclusão e a equidade de forma ética e sustentável.</t>
  </si>
  <si>
    <t>Ética e responsabilidade comunicativa</t>
  </si>
  <si>
    <t>Linguagem, poder e influência</t>
  </si>
  <si>
    <t>Linguagem, poder e responsabilidade; discurso e cidadania.</t>
  </si>
  <si>
    <t>Refletir sobre o impacto social e político das práticas discursivas.</t>
  </si>
  <si>
    <t>Avaliar produções linguísticas e artísticas em diversos suportes, identificando suas implicações culturais, políticas e ideológicas, promovendo reflexões sobre inclusão, diversidade e resolução colaborativa de conflitos em contextos locais e globais.</t>
  </si>
  <si>
    <t>Avaliação e síntese</t>
  </si>
  <si>
    <t>Comunicar é construir sentidos</t>
  </si>
  <si>
    <t>Revisão das técnicas de expressão vocal, corporal e argumentativa.</t>
  </si>
  <si>
    <t>Sistematizar aprendizagens e reconhecer avanços na expressividade e ética comunicativa.</t>
  </si>
  <si>
    <t>Empregar estratégias de comunicação em diferentes contextos socioprofissionais, utilizando a língua estrangeira e língua materna para interagir de forma ética e adequada, compreendendo normas discursivas, variações linguísticas e aspectos interculturais que se manifestam nas relações de trabalho em contextos local, regional, nacional e global.
Desenvolver a criticidade para elaborar projetos de vida éticos e autênticos, articulando aspirações pessoais ao protagonismo juvenil e ao impacto positivo na sociedade, explorando diferentes possibilidades de carreira.</t>
  </si>
  <si>
    <t>Autoavaliação e reflexão pessoal</t>
  </si>
  <si>
    <t>Autoavaliação comunicativa</t>
  </si>
  <si>
    <t>Autoanálise da presença, da escuta e da expressão; definição de metas pessoais.</t>
  </si>
  <si>
    <t>Reconhecer o próprio desenvolvimento comunicativo e definir estratégias de aprimoramento contínuo.</t>
  </si>
  <si>
    <t>Participar da produção de conteúdos orais, escritos e multimodais em língua estrangeira e/ou materna, aplicando estratégias de comunicação eficazes para debater temas globais e locais, como Direitos Humanos, justiça social e diversidade, promovendo a consciência política e o engajamento cidadão;</t>
  </si>
  <si>
    <t>Estratégias de improviso</t>
  </si>
  <si>
    <r>
      <rPr>
        <sz val="10"/>
        <color rgb="FF000000"/>
        <rFont val="Arial"/>
      </rPr>
      <t>Comunicação e raciocínio em contextos de pressão (</t>
    </r>
    <r>
      <rPr>
        <b/>
        <sz val="10"/>
        <color rgb="FF000000"/>
        <rFont val="Arial"/>
      </rPr>
      <t>AULA COMPLEMENTAR</t>
    </r>
    <r>
      <rPr>
        <sz val="10"/>
        <color rgb="FF000000"/>
        <rFont val="Arial"/>
      </rPr>
      <t>)</t>
    </r>
  </si>
  <si>
    <t>Técnicas de improviso planejado; organização rápida de ideias; controle emocional.</t>
  </si>
  <si>
    <t>Desenvolver raciocínio rápido e organização discursiva em situações inesperadas.</t>
  </si>
  <si>
    <t>Negociação e gestão de conflitos</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</si>
  <si>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C3 - Desenvolver estratégias de escuta ativa, autoconhecimento, empatia e argumentação, favorecendo o diálogo e a construção de consensos na compreensão e mediação de conflitos pessoais, coletivos e relacionados ao mundo do trabalho.</t>
  </si>
  <si>
    <t>Fundamentos gerais da negociação.</t>
  </si>
  <si>
    <t>Fundamentos da negociação</t>
  </si>
  <si>
    <t>Princípios e etapas da negociação.</t>
  </si>
  <si>
    <t>Compreender os fundamentos teóricos da negociação</t>
  </si>
  <si>
    <t>Fundamentos da negociação: Simulação</t>
  </si>
  <si>
    <t>Prática de negociação.</t>
  </si>
  <si>
    <t>Aplicar princípios de negociação, desenvolvendo estratégias de cooperação e comunicação eficaz.</t>
  </si>
  <si>
    <t>Princípios do rapport e sua aplicação na comunicação estratégica.</t>
  </si>
  <si>
    <t>Rapport como ferramenta de negociação I</t>
  </si>
  <si>
    <t>Espelhamento verbal e não verbal.
Sintonia e coesão comunicativa.
Reconhecimento de estilos comunicativos.</t>
  </si>
  <si>
    <t>Reconhecer o rapport como instrumento de aproximação e construção de confiança em contextos de negociação.</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</si>
  <si>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t>
  </si>
  <si>
    <t>Aplicações do rapport em situações de conflito e negociação.</t>
  </si>
  <si>
    <t>Rapport como ferramenta de negociação II</t>
  </si>
  <si>
    <t>Rapport aplicado a contextos de conflito.
Influência positiva e ética.
Ruptura e retomada de sintonia comunicativa.</t>
  </si>
  <si>
    <t>Aplicar o rapport como técnica de negociação colaborativa e de mediação comunicativa.</t>
  </si>
  <si>
    <t>Fundamentos da negociação colaborativa e do consenso.</t>
  </si>
  <si>
    <t>Negociação e construção colaborativa de acordos</t>
  </si>
  <si>
    <t>Princípios da negociação colaborativa.
Construção de consenso e reconhecimento mútuo.</t>
  </si>
  <si>
    <t>Identificar elementos de uma negociação ética e colaborativa, valorizando transparência e respeito.</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</si>
  <si>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C5 - Discutir o papel do jovem como agente social, político, ambiental, profissional e cultural, compreendendo as dinâmicas que moldam suas identidades e expressões nas culturas juvenis contemporâneas.</t>
  </si>
  <si>
    <t>Comunicação estratégica na liderança</t>
  </si>
  <si>
    <t>Linguagem, coordenação e influência.
Decisão e planejamento discursivo.</t>
  </si>
  <si>
    <t>Compreender o papel da linguagem na liderança e no trabalho coletivo.</t>
  </si>
  <si>
    <t>Negociação em contextos de pressão</t>
  </si>
  <si>
    <t>Negociar sob pressão</t>
  </si>
  <si>
    <t>Assertividade e controle emocional.
Tomada de decisão em contextos adversos.</t>
  </si>
  <si>
    <t>Exercitar estratégias de negociação sob pressão mantendo foco, ética e clareza.</t>
  </si>
  <si>
    <t>Linguagens C1 - Analisar criticamente os processos de produção, circulação e recepção das diversas formas de linguagem (verbal, visual, corporal, multimodal e digital), avaliando seus impactos sociais, políticos e culturais nos diferentes campos de atuação, com foco na equidade, na justiça social e na democratização do saber;</t>
  </si>
  <si>
    <t>Tipos, causas e efeitos comunicativos dos conflitos.</t>
  </si>
  <si>
    <t>Compreendendo os tipos e impactos dos conflitos</t>
  </si>
  <si>
    <t>Natureza dos conflitos interpessoais e organizacionais.
Padrões de interação e resposta.</t>
  </si>
  <si>
    <t>Analisar situações de conflito e seus efeitos comunicativos.</t>
  </si>
  <si>
    <t>Comunicação dialógica e reconhecimento de vozes em contextos de conflito.</t>
  </si>
  <si>
    <t>Diálogo e legitimidade na resolução de conflitos</t>
  </si>
  <si>
    <t>Poder de fala e escuta; reconhecimento discursivo; legitimidade e representação.</t>
  </si>
  <si>
    <t>Analisar como o reconhecimento das vozes envolvidas influencia a resolução de conflitos e a construção de acordos legítimos.</t>
  </si>
  <si>
    <t>Ciências Humanas C3 - Debater estratégias de mediação de conflitos e solução coletiva de problemas, de ordem política, econômica, ambiental, com base na diplomacia internacional, a partir do desenvolvimento de projetos que articulem teoria e prática;</t>
  </si>
  <si>
    <t>Liderança e colaboração em contextos de conflito.</t>
  </si>
  <si>
    <t>Mediação comunicativa e tomada de decisão</t>
  </si>
  <si>
    <t>Mediação, escuta e liderança compartilhada.</t>
  </si>
  <si>
    <t>Exercitar a liderança dialógica e colaborativa em processos de negociação.</t>
  </si>
  <si>
    <t>Linguagens C1 - Investigar discursos midiáticos, científicos, literários e artísticos, considerando suas intencionalidades, modos de construção e circulação, identificando mecanismos de persuasão, estratégias argumentativas e representações sociais, na promoção de uma leitura crítica da realidade;</t>
  </si>
  <si>
    <t>Linguagem, autoridade e desigualdade discursiva.</t>
  </si>
  <si>
    <t>Poder simbólico, discurso e convivência</t>
  </si>
  <si>
    <t>Discurso, poder simbólico e práticas comunicativas.</t>
  </si>
  <si>
    <t>Compreender como a linguagem pode influenciar as relações humanas e os modos de convivência.</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</si>
  <si>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C5 - Desenvolver a criticidade para elaborar projetos de vida éticos e autênticos, articulando aspirações pessoais ao protagonismo juvenil e ao impacto positivo na sociedade, explorando diferentes possibilidades de carreira.</t>
  </si>
  <si>
    <t>Tomada de decisão e comunicação colaborativa.</t>
  </si>
  <si>
    <t>Síntese comunicativa e convivência democrática</t>
  </si>
  <si>
    <t>Revisão e autoavaliação discursiva.</t>
  </si>
  <si>
    <t>Sistematizar os principais aprendizados do bimestre, reconhecendo avanços na comunicação, na escuta e na mediação de conflitos.</t>
  </si>
  <si>
    <t>Fala pública, apresentação pessoal e pitch</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</si>
  <si>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C5 - Avaliar a participação ativa dos jovens na sociedade, promovendo reflexões sobre sua contribuição para a diversidade, o bem-estar coletivo e a transformação social, com base nos princípios dos Direitos Humanos e no fortalecimento de uma convivência ética e inclusiva;</t>
  </si>
  <si>
    <t>Oralidade, representação e impacto social.</t>
  </si>
  <si>
    <t>Fala pública e participação social</t>
  </si>
  <si>
    <t>Fala pública e engajamento; comunicação e cidadania.</t>
  </si>
  <si>
    <t>Compreender o papel da fala pública na liderança e na transformação coletiva.</t>
  </si>
  <si>
    <t>Linguagens C6 - Participar da produção de conteúdos orais, escritos e multimodais em língua estrangeira e/ou materna, aplicando estratégias de comunicação eficazes para debater temas globais e locais, como Direitos Humanos, justiça social e diversidade, promovendo a consciência política e o engajamento cidadão;</t>
  </si>
  <si>
    <t>Identidade e autoria discursiva</t>
  </si>
  <si>
    <t>Autoria e protagonismo comunicativo</t>
  </si>
  <si>
    <t>Autenticidade e coerência na fala pública.</t>
  </si>
  <si>
    <t>Criar falas curtas que expressem valores, convicções e visão de mundo.</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</si>
  <si>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C3 - Desenvolver estratégias de escuta ativa, autoconhecimento, empatia e argumentação, favorecendo o diálogo e a construção de consensos na compreensão e mediação de conflitos pessoais, coletivos e relacionados ao mundo do trabalho.</t>
  </si>
  <si>
    <t>Confiança discursiva e propósito coletivo.</t>
  </si>
  <si>
    <t>Confiança e propósito na liderança</t>
  </si>
  <si>
    <t>Relação entre visão, propósito e credibilidade.</t>
  </si>
  <si>
    <t>Reconhecer como a liderança se comunica pela clareza de propósito e consistência de valores.</t>
  </si>
  <si>
    <t>Linguagens C4 -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C3 - Desenvolver estratégias de escuta ativa, autoconhecimento, empatia e argumentação, favorecendo o diálogo e a construção de consensos na compreensão e mediação de conflitos pessoais, coletivos e relacionados ao mundo do trabalho.</t>
  </si>
  <si>
    <t>Expressividade e influência discursiva.</t>
  </si>
  <si>
    <t>Presença comunicativa e influência positiva</t>
  </si>
  <si>
    <t>Linguagem corporal, ritmo, escuta e conexão emocional.</t>
  </si>
  <si>
    <t>Compreender a presença como gesto de confiança, escuta e empatia na liderança.</t>
  </si>
  <si>
    <t>Estrutura e composição do discurso.</t>
  </si>
  <si>
    <t>Planejamento e estrutura do pitch</t>
  </si>
  <si>
    <t>Estrutura de fala: abertura, problema, proposta, apelo à ação.</t>
  </si>
  <si>
    <t>Planejar pitches de interesse social com coerência e propósito.</t>
  </si>
  <si>
    <t>Linguagens C6 - Participar da produção de conteúdos orais, escritos e multimodais em língua estrangeira e/ou materna, aplicando estratégias de comunicação eficazes para debater temas globais e locais, como Direitos Humanos, justiça social e diversidade, promovendo a consciência política e o engajamento cidadão;
Ciências Humanas C3 - Desenvolver estratégias de escuta ativa, autoconhecimento, empatia e argumentação, favorecendo o diálogo e a construção de consensos na compreensão e mediação de conflitos pessoais, coletivos e relacionados ao mundo do trabalho.</t>
  </si>
  <si>
    <t>Público-alvo e adequação discursiva.</t>
  </si>
  <si>
    <t>Propósito e público-alvo na comunicação</t>
  </si>
  <si>
    <t>Intencionalidade comunicativa e empatia discursiva.</t>
  </si>
  <si>
    <t>Adequar o discurso às características e expectativas do público.</t>
  </si>
  <si>
    <t>Foco discursivo e concisão.</t>
  </si>
  <si>
    <t>Pitch e fala pública</t>
  </si>
  <si>
    <t>Técnicas de síntese e impacto; concisão e clareza.</t>
  </si>
  <si>
    <t>Produzir pitches de até 90 segundos voltados a temas diversos</t>
  </si>
  <si>
    <t>Storytelling aplicado à liderança pública e ao engajamento social</t>
  </si>
  <si>
    <t>Narrativas de liderança e pertencimento</t>
  </si>
  <si>
    <t>Estrutura narrativa a serviço da causa; emoção, pertencimento e propósito coletivo.</t>
  </si>
  <si>
    <t>Construir narrativas curtas que conectem experiências pessoais e valores coletivos, fortalecendo a fala pública como ação de liderança e engajamento.</t>
  </si>
  <si>
    <t>Improviso e interação comunicativa.</t>
  </si>
  <si>
    <t>Improviso e escuta estratégica</t>
  </si>
  <si>
    <t>Estratégias de fala sob pressão e devolutiva rápida.</t>
  </si>
  <si>
    <t>Manter clareza e empatia em situações de improviso e exposição pública.</t>
  </si>
  <si>
    <t>Linguagens C6 - Participar da produção de conteúdos orais, escritos e multimodais em língua estrangeira e/ou materna, aplicando estratégias de comunicação eficazes para debater temas globais e locais, como Direitos Humanos, justiça social e diversidade, promovendo a consciência política e o engajamento cidadão;
Ciências Humanas C5 - Avaliar a participação ativa dos jovens na sociedade, promovendo reflexões sobre sua contribuição para a diversidade, o bem-estar coletivo e a transformação social, com base nos princípios dos Direitos Humanos e no fortalecimento de uma convivência ética e inclusiva;</t>
  </si>
  <si>
    <t>Ensaio e aperfeiçoamento discursivo.</t>
  </si>
  <si>
    <t>Laboratório de fala pública</t>
  </si>
  <si>
    <t>Ensaios de performance com devolutiva.</t>
  </si>
  <si>
    <t>Consolidar domínio técnico e expressivo no discurso público.</t>
  </si>
  <si>
    <t>Linguagens C3 - Empregar estratégias argumentativas e discursivas em debates, mediações e produções textuais, utilizando diferentes linguagens (artísticas, corporais, verbais, multimodais e digitais) para propor intervenções sociais e culturais voltadas à equidade, à justiça social e à defesa dos Direitos Humanos.
Ciências Humanas C3 - Debater estratégias de mediação de conflitos e solução coletiva de problemas, de ordem política, econômica, ambiental, com base na diplomacia internacional, a partir do desenvolvimento de projetos que articulem teoria e prática;</t>
  </si>
  <si>
    <t>Liderança colaborativa e coautoria discursiva.</t>
  </si>
  <si>
    <t>Pitch coletivo de impacto social</t>
  </si>
  <si>
    <t>Coautoria e liderança colaborativa.</t>
  </si>
  <si>
    <t>Construir falas em grupo voltadas à defesa de causas públicas.</t>
  </si>
  <si>
    <t>Performance e engajamento comunitário.</t>
  </si>
  <si>
    <t>Mostra pública de liderança comunicativa</t>
  </si>
  <si>
    <t>Evento de apresentação e devolutiva crítica.</t>
  </si>
  <si>
    <t>Compartilhar publicamente discursos que expressem liderança e compromisso coletivo.</t>
  </si>
  <si>
    <t>Leitura</t>
  </si>
  <si>
    <t>EM13LGG102
EM13LGG302
EM13LGG401
EM13LGG403</t>
  </si>
  <si>
    <t>• Analisar visões de mundo, conflitos de interesse, preconceitos e ideologias presentes nos discursos veiculados nas diferentes mídias, ampliando suas possibilidades de explicação, interpretação e intervenção crítica da/na realidade.
• Posicionar-se criticamente diante de diversas visões de mundo presentes nos discursos em diferentes linguagens, levando em conta seus contextos de produção e de circulação.
• Analisar criticamente textos de modo a compreender e caracterizar as línguas como fenômeno (geo)político, histórico, social, cultural, variável, heterogêneo e sensível aos contextos de uso.
• Fazer uso do inglês como língua de comunicação global, levando em conta a multiplicidade e variedade de usos, usuários e funções dessa língua no mundo contemporâneo.</t>
  </si>
  <si>
    <t>Estratégias de leitura.</t>
  </si>
  <si>
    <t>Learning English nowadays 
(Part 1)</t>
  </si>
  <si>
    <t>• Prática de leitura.
• Palavras conhecidas e cognatas.
• Vocabulário temático.
• Estratégias para compreensão de textos.</t>
  </si>
  <si>
    <t>• Mobilizar conhecimentos prévios para compreensão de textos.
• Identificar posicionamento crítico de um texto em inglês.</t>
  </si>
  <si>
    <t>Plataforma EF</t>
  </si>
  <si>
    <t>-</t>
  </si>
  <si>
    <t>Trilha de aprendizagem individual.</t>
  </si>
  <si>
    <t>Trilha de estudos individual na sala de aula.</t>
  </si>
  <si>
    <t>Aprimoramento da proficiência em língua inglesa.</t>
  </si>
  <si>
    <t>Learning English nowadays 
(Part 2)</t>
  </si>
  <si>
    <t>• Prática de leitura.
• Vocabulário temático.
• Estratégias para compreensão de textos.</t>
  </si>
  <si>
    <t>• Mobilizar conhecimentos prévios para compreensão de textos.
• Identificar informações gerais e específicas em um texto de temática familiar.
• Identificar posicionamento crítico de um texto em inglês.</t>
  </si>
  <si>
    <t>Learning English nowadays 
(Part 3)</t>
  </si>
  <si>
    <t>Learning English nowadays 
(Part 4)</t>
  </si>
  <si>
    <t>• Mobilizar conhecimentos prévios para compreensão de textos.
• Identificar informações gerais e específicas em um texto de temática familiar.
• Utilizar Estratégias de leitura para resolução de exercícios de vestibular.</t>
  </si>
  <si>
    <t>Análise Linguística</t>
  </si>
  <si>
    <t>EM13LGG103
EM13LGG104
EM13LGG403</t>
  </si>
  <si>
    <t>Analisar o funcionamento das linguagens, para interpretar e produzir criticamente discursos em textos de diversas semioses (visuais, verbais, sonoras, gestuais).
Utilizar as diferentes linguagens, levando em conta seus funcionamentos, para a compreensão e produção de textos e discursos em diversos campos de atuação social
Fazer uso do inglês como língua de comunicação global, levando em conta a multiplicidade e variedade de usos, usuários e funções dessa língua no mundo contemporâneo.</t>
  </si>
  <si>
    <t>• Análise e produção de discursos nas diversas linguagens e contextos.
• Prática de linguagem.</t>
  </si>
  <si>
    <t>Learning English nowadays 
(Part 5)</t>
  </si>
  <si>
    <t>• Simple present tense.
• Prática de compreensão e produção textual.
• Vocabulário temático.</t>
  </si>
  <si>
    <t>• Mobilizar conhecimentos prévios para compreensão e produção de textos.
• Identificar verbos no tempo presente, compreendendo sua função na construção textual.</t>
  </si>
  <si>
    <t>Learning English nowadays 
(Part 6)</t>
  </si>
  <si>
    <t>• Simple Present tense.
• Prática de compreensão e produção textual.
• Vocabulário temático.</t>
  </si>
  <si>
    <t>• Mobilizar conhecimentos prévios para compreensão e produção de textos.
• Identificar e utilizar elementos linguísticos específicos, compreendendo sua função na construção textual.</t>
  </si>
  <si>
    <t>Evolution in Communication (Part 1)</t>
  </si>
  <si>
    <t>• Identificar informações gerais e específicas em um texto de temática familiar.
• Utilizar Estratégias de leitura de tirinhas.</t>
  </si>
  <si>
    <t>Evolution in Communication (Part 2)</t>
  </si>
  <si>
    <t>Evolution in Communication (Part 3)</t>
  </si>
  <si>
    <t>• Identificar informações gerais e específicas em um texto de temática familiar.
• Utilizar Estratégias de leitura para resolução de questões de múltipla escolha.</t>
  </si>
  <si>
    <t>Evolution in Communication (Part 4)</t>
  </si>
  <si>
    <t>• Identificar informações gerais e específicas em um texto de temática familiar.
• Utilizar Estratégias de leitura para resolução de exercícios de vestibular.</t>
  </si>
  <si>
    <t>Análise e produção de discursos nas diversas linguagens e contextos.</t>
  </si>
  <si>
    <t>Evolution in Communication (Part 5)</t>
  </si>
  <si>
    <t>• Past simple tense.
• Prática de compreensão e produção textual.
• Vocabulário temático.</t>
  </si>
  <si>
    <t>• Mobilizar conhecimentos prévios para compreensão e produção de textos.
• Identificar verbos no tempo passado, compreendendo sua função na construção textual.</t>
  </si>
  <si>
    <t>Trilha de Estudos individual na sal de aula</t>
  </si>
  <si>
    <t>Aprimoramento da proficiência em língua inglesa</t>
  </si>
  <si>
    <t>Evolution in Communication (Part 6)</t>
  </si>
  <si>
    <t>Estratégias de leitura</t>
  </si>
  <si>
    <t>EM13LGG102
EM13LGG104
EM13LGG302
EM13LGG401
EM13LGG403</t>
  </si>
  <si>
    <t>Leitura.</t>
  </si>
  <si>
    <t>Migration Issues (Part 1)</t>
  </si>
  <si>
    <t>• Prática de leitura.
• Vocabulário temático.
• Estratégias para compreensão de textos.
• Superlative form</t>
  </si>
  <si>
    <t xml:space="preserve">Identificar informações gerais e específicas em um texto sobre migração;
Identificar adjetivos no grau superlativo, compreendendo sua função na construção textual
</t>
  </si>
  <si>
    <t>Migration Issues (Part 2)</t>
  </si>
  <si>
    <t>• Prática de leitura.
• Vocabulário temático.
• Estratégias para compreensão de textos.
• Comparative form</t>
  </si>
  <si>
    <t>Identificar informações gerais e específicas em um texto sobre migração;
Identificar adjetivos comparativos, compreendendo sua função na cosntrução textual</t>
  </si>
  <si>
    <t>Migration Issues (Part 3)</t>
  </si>
  <si>
    <t xml:space="preserve">• Prática de leitura.
• Vocabulário temático.
• Estratégias para compreensão de textos.
</t>
  </si>
  <si>
    <t>Identificar informações gerais e específicas em um texto sobre migração;
Identificar e compreender paalvras-chaves relacionadas ao tema da migração</t>
  </si>
  <si>
    <t>Migration Issues (Part 4)</t>
  </si>
  <si>
    <t>• Prática de leitura.
• Vocabulário temático
• Estratégias para compreensão de textos.
• Irregular adjetives</t>
  </si>
  <si>
    <t xml:space="preserve">Identificar informações gerais e específicas em um texto sobre migração;
Identificar adjetivos irregulares, compreendendo sua função na construção textual.​
</t>
  </si>
  <si>
    <t>Prática de linguagem</t>
  </si>
  <si>
    <t>EM13LGG102
EM13LGG103
EM13LGG104
EM13LGG302
EM13LGG403</t>
  </si>
  <si>
    <t>• Analisar o funcionamento das linguagens, para interpretar e produzir criticamente discursos em textos de diversas semioses (visuais, verbais, sonoras, gestuais).
• Fazer uso do inglês como língua de comunicação global, levando em conta a multiplicidade e variedade de usos, usuários e funções dessa língua no mundo contemporâneo.</t>
  </si>
  <si>
    <t>Migration Issues (Part 5)</t>
  </si>
  <si>
    <t xml:space="preserve">Prática de Compreensão e produção textual;​
​
Vocabulário temático;​
</t>
  </si>
  <si>
    <t>Utilizar a língua inglesa para compreender e produzir textos, posicionando-se diante de questões polêmicas da temática da migração</t>
  </si>
  <si>
    <t xml:space="preserve"> 
• Analisar visões de mundo, conflitos de interesse, preconceitos e ideologias presentes nos discursos veiculados nas diferentes mídias, ampliando suas possibilidades de explicação, interpretação e intervenção crítica da/na realidade.   
• Analisar o funcionamento das linguagens, para interpretar e produzir criticamente discursos em textos de diversas semioses (visuais, verbais, sonoras, gestuais).   
• Utilizar as diferentes linguagens, levando em conta os seus funcionamentos, para a compreensão e produção de textos e discursos em diversos campos de atuação.  
• Posicionar-se criticamente diante de diversas visões de mundo presentes nos discursos em diferentes linguagens, levando em conta seus contextos de produção e de circulação.​ 
• Fazer uso do inglês como língua de comunicação global, levando em conta a multiplicidade e variedade de usos, usuários e funções dessa língua no mundo contemporâneo.</t>
  </si>
  <si>
    <t>Migration Issues (Part 6)</t>
  </si>
  <si>
    <t xml:space="preserve">Prática de Compreensão e produção textual;​
​
Vocabulário temático;​
​
</t>
  </si>
  <si>
    <t>Consumerism and health - Part 1</t>
  </si>
  <si>
    <t>• Prática de leitura.
• Vocabulário temático
• Estratégias para compreensão de textos.
 • Inferências em questões de vestibulares.</t>
  </si>
  <si>
    <t>• Identificar informações gerais e específicas em um texto  sobre consumo e saúde..
• Utilizar Estratégias de leitura para resolução de exercícios de vestibulares.</t>
  </si>
  <si>
    <t>Consumerism and health - Part 2</t>
  </si>
  <si>
    <t>• Prática de leitura.
• Vocabulário temático
• Estratégias para compreensão de textos.
• Will x going to.</t>
  </si>
  <si>
    <t>• Identificar informações gerais e específicas em um texto sobre consumo e saúde.
• - Diferenciar “will” de “going to”, compreendendo suas funções na construção textual.</t>
  </si>
  <si>
    <t>Consumerism and health - Part 3</t>
  </si>
  <si>
    <t>• Prática de leitura.
• Vocabulário temático
• Estratégias para compreensão de textos.
• Active voice x passive voice.</t>
  </si>
  <si>
    <t>• Identificar informações gerais e específicas em um texto sobre consumo e saúde.
• Diferenciar “active voice” de “passive voice”, compreendendo suas funções na construção textual.</t>
  </si>
  <si>
    <t>Consumerism and health - Part 4</t>
  </si>
  <si>
    <t>• Prática de leitura.
• Vocabulário temático
• Estratégias para compreensão de textos.
• False cognates.</t>
  </si>
  <si>
    <t>• Identificar informações gerais e específicas em um texto de temática familiar.
• Reconhecer falsos cognatos da língua inglesa.</t>
  </si>
  <si>
    <t>Análise e produção de discursos nas diversas linguagens e contextos</t>
  </si>
  <si>
    <t>Consumerism and health - Part 5</t>
  </si>
  <si>
    <t>• Prática de compreensão e produção textual.
• Vocabulário e gramática específicos.</t>
  </si>
  <si>
    <t xml:space="preserve">Utilizar diferentes recursos linguísticos para compreender e produzir textos em língua inglesa. ​
Posicionar-se diante de questões polêmicas sobre o consumo e saúde, utilizando a língua inglesa
</t>
  </si>
  <si>
    <t>Consumerism and health - Part 6</t>
  </si>
  <si>
    <t>Fitness and health (Part 1)</t>
  </si>
  <si>
    <t>• Prática de leitura.
• Inferência de significado pelo contexto.
• Vocabulário temático.
• Leitura e conhecimento prévio.</t>
  </si>
  <si>
    <t>• Ler e compreender textos de circulação social em inglês.
• Identificar o significado de palavras desconhecidas pelo seu contexto.
• Reconhecer e utilizar a criação de hipóteses para apoiar a compreensão de um texto.</t>
  </si>
  <si>
    <t>Fitness and health (Part 2)</t>
  </si>
  <si>
    <t>• Prática de leitura.
• Inferência de significado pelo contexto.
• Vocabulário temático.</t>
  </si>
  <si>
    <t>• Ler e compreender textos de circulação social em inglês.
• Identificar o significado de palavras desconhecidas pelo seu contexto.
• Reconhecer e utilizar a criação de hipóteses para apoiar a compreensão de um texto.
• Posicionar-se diante do texto lido.</t>
  </si>
  <si>
    <t>Fitness and health (Part 3)</t>
  </si>
  <si>
    <t>Fitness and health (Part 4)</t>
  </si>
  <si>
    <t>• Ler e compreender textos de circulação social em inglês.
• Identificar o significado de palavras desconhecidas pelo seu contexto.
• Reconhecer a leitura como recurso para ampliação de vocabulário em inglês​.</t>
  </si>
  <si>
    <t>Fitness and health (Part 5)</t>
  </si>
  <si>
    <t>• Prática de compreensão e produção textual.
• Vocabulário temático
Adverbio de frequência</t>
  </si>
  <si>
    <t>• Mobilizar conhecimentos prévios para compreensão e produção de textos.
• Identificar advérbios de frequência, compreendendo sua função na construção textual.</t>
  </si>
  <si>
    <t>Fitness and health (Part 6)</t>
  </si>
  <si>
    <t>- Prática de compreensão e produção textual
- Vocabulário temático
- Future tense
- 'Should' em contextos de conselhos ou recomendações</t>
  </si>
  <si>
    <t>• Mobilizar conhecimentos prévios para compreensão e produção de textos.
• Identificar verbos no tempo futuro, compreendendo sua função na construção textual.
-compreender e utilizar o 'should' em contextos de conselhos ou recomendações.</t>
  </si>
  <si>
    <t>Science Revolution (Part 1)</t>
  </si>
  <si>
    <t>• Prática de leitura.
• Vocabulário temático.
• Pronomes e referências.</t>
  </si>
  <si>
    <t>• Ler e compreender textos de circulação social em inglês.
• Identificar o significado de palavras desconhecidas pelo seu contexto.
 • Reconhecer e utilizar a criação de hipóteses para apoiar a compreensão de um texto.</t>
  </si>
  <si>
    <t>Science Revolution (Part 2)</t>
  </si>
  <si>
    <t>Science Revolution (Part 3)</t>
  </si>
  <si>
    <t>• Prática de leitura.
• Vocabulário temático.
• Inferência de significado pelo contexto.
• Tempo verbal e compreensão textual.</t>
  </si>
  <si>
    <t>Science Revolution (Part 4)</t>
  </si>
  <si>
    <t>• Leitura crítica de textos.
• Vocabulário temático.
• Estratégias para compreensão textual.
• Prática de leitura.</t>
  </si>
  <si>
    <t>• Ler e compreender textos de circulação social em inglês.
• Identificar o significado de palavras desconhecidas pelo seu contexto.
• Reconhecer e utilizar estratégias para a leitura crítica de textos.</t>
  </si>
  <si>
    <t>EM13LGG102
EM13LGG103
EM13LGG104
EM13LGG403</t>
  </si>
  <si>
    <t>Science Revolution (Part 5)</t>
  </si>
  <si>
    <t>• Prática de compreensão e produção textual.
• Passive voice.
• Vocabulário temático.</t>
  </si>
  <si>
    <t>- Ler e compreender textos de circulação social em inglês
- Identificar e utilizar a voz passiva em inglês, compreendendo sua função na construção textual
- Analisar o efeito de sentido decorrente do uso da voz passiva em textos em língua inglesa</t>
  </si>
  <si>
    <t>Science Revolution (Part 6)</t>
  </si>
  <si>
    <t>Ler e compreender textos de circulação social em inglês
Identificar e utilizar a voz passiva em inglês, compreendendo sua função na construção textual
Analisar o efeito de sentido decorrente do uso da voz passiva em textos em língua inglesa</t>
  </si>
  <si>
    <t>Estratégias de Leitura</t>
  </si>
  <si>
    <t>(EM13LGG102) Analisar visões de mundo, conflitos de interesse, preconceitos e ideologias presentes nos discursos veiculados nas diferentes mídias, ampliando suas possibilidades de explicação, interpretação e intervenção crítica da/na realidade.
(EM13LGG302) Posicionar-se criticamente diante de diversas visões de mundo presentes nos discursos em diferentes linguagens, levando em conta seus contextos de produção e de circulação.
(EM13LGG401) Analisar criticamente textos de modo a compreender e caracterizar as línguas como fenômeno (geo)político, histórico, social, cultural, variável, heterogêneo e sensível aos contextos de uso.
(EM13LGG403) Fazer uso do inglês como língua de comunicação global, levando em conta a multiplicidade e variedade de usos, usuários e funções dessa língua no mundo contemporâneo.</t>
  </si>
  <si>
    <t>Science and society (Part 1)</t>
  </si>
  <si>
    <t>Prática de leitura;
Vocabulário temático;
Quantifier - Some.</t>
  </si>
  <si>
    <t>Ler e compreender textos de circulação social em inglês sobre ciência e sociedade
Identificar a função do quantificador "some" na construção textual. ​</t>
  </si>
  <si>
    <t>Trilha de aprendizagem individual</t>
  </si>
  <si>
    <t>Science and society (Part 2)</t>
  </si>
  <si>
    <t>Prática de leitura;
Vocabulário temático;
Present perfect.</t>
  </si>
  <si>
    <t xml:space="preserve">Ler e compreender textos de circulação social em inglês sobre ciência e sociedade
Identificar a função do "present perfect na construção textual. </t>
  </si>
  <si>
    <t>Science and society (Part 3)</t>
  </si>
  <si>
    <t>Prática de leitura;
Vocabulário temático;
Terminação -ing.</t>
  </si>
  <si>
    <t>Ler e compreender textos de circulação social em inglês sobre ciência e sociedade
Identificar a função da terminação "-ing" na construção textual. ​</t>
  </si>
  <si>
    <t>Science and society (Part 4)</t>
  </si>
  <si>
    <t>Prática de leitura;
Vocabulário temático;
Should x must.</t>
  </si>
  <si>
    <t xml:space="preserve">Ler e compreender textos de circulação social em inglês sobre ciência e sociedade
Identificar a função dos verbos modais "should” e “must” na construção textual
</t>
  </si>
  <si>
    <t>Science and society (Part 5)</t>
  </si>
  <si>
    <t>Prática de Compreensão e produção textual;
Vocabulário temático
Present Perfect: for-since</t>
  </si>
  <si>
    <t>Utilizar diferentes recursos linguísticos para compreender e produzir textos em língua inglesa.​
​
Diferenciar "for" e "since" em textos sobre ciência e sociedade, compreendendo sua função na construção textual. ​
​
Utilizar a língua inglesa para posicionar-se diante de questões polêmicas sobre ciência e sociedade​
​</t>
  </si>
  <si>
    <t>Science and society (Part 6)</t>
  </si>
  <si>
    <t>Prática de Compreensão e produção textual;
Vocabulário temático
Present Perfect: already - yet - just</t>
  </si>
  <si>
    <t>Utilizar diferentes recursos linguísticos para compreender e produzir textos em língua inglesa.​
​
Diferenciar "already", "just" e "yet" em textos sobre ciência e sociedade, compreendendo sua função na construção textual. ​
​
Utilizar a língua inglesa para informar-se sobre a temática de ciência e sociedade​.
​</t>
  </si>
  <si>
    <t>(EM13LGG103) Analisar o funcionamento das linguagens, para interpretar e produzir criticamente discursos em textos de diversas semioses (visuais, verbais, sonoras, gestuais).
(EM13LGG403) Fazer uso do inglês como língua de comunicação global, levando em conta a multiplicidade e variedade de usos, usuários e funções dessa língua no mundo contemporâneo.</t>
  </si>
  <si>
    <t>The world of work - Part 1</t>
  </si>
  <si>
    <t>Prática de leitura;
Vocabulário temático;
Past perfect.</t>
  </si>
  <si>
    <t xml:space="preserve">Ler e compreender textos de circulação social em inglês sobre o mundo do trabalho
Identificar a função do "past perfect na construção textual.
</t>
  </si>
  <si>
    <t>The world of work - Part 2</t>
  </si>
  <si>
    <t>Prática de leitura;
Vocabulário temático;
Future perfect.</t>
  </si>
  <si>
    <t>Ler e compreender textos de circulação social em inglês sobre o mundo do trabalho
Identificar a função do "future perfect” na construção textual.</t>
  </si>
  <si>
    <t>The world of work - Part 3</t>
  </si>
  <si>
    <t>Prática de leitura;
Vocabulário temático;
Real conditionals.</t>
  </si>
  <si>
    <t>Ler e compreender textos de circulação social em inglês sobre o mundo do trabalho
Identificar a função de "real conditionals” na construção textual.</t>
  </si>
  <si>
    <t>The world of work - Part 4</t>
  </si>
  <si>
    <t>Prática de leitura;
Vocabulário temático;
Unreal conditionals.</t>
  </si>
  <si>
    <t>Ler e compreender textos de circulação social em inglês sobre o mundo do trabalho
Identificar a função de "unreal conditionals” na construção textual.</t>
  </si>
  <si>
    <t>The world of work - Part 5</t>
  </si>
  <si>
    <t>Prática de Compreensão e produção textual;
Soft skills and hard skills</t>
  </si>
  <si>
    <t xml:space="preserve">Utilizar diferentes recursos linguísticos para compreender e produzir textos em língua inglesa. ​
Posicionar-se diante de questões polêmicas sobre o mundo do trabalho, utilizando a língua inglesa
</t>
  </si>
  <si>
    <t>The world of work - Part 6</t>
  </si>
  <si>
    <t>Prática de compreensão e produção textual;
Soft skills and hard skills</t>
  </si>
  <si>
    <t>English for life (Part 1)</t>
  </si>
  <si>
    <t>Prática de leitura;
Programação de estudos.</t>
  </si>
  <si>
    <t>Compreender como é organizada as provas de vestibulares de inglês  
Familiarizar-se com uma rotina de estudo para avanços na aprendizagem.</t>
  </si>
  <si>
    <t>English for life (Part 2)</t>
  </si>
  <si>
    <t>Prática de leitura
Técnicas de leitura: skimming e scanning</t>
  </si>
  <si>
    <t>Reconhecer e utilizar estratégias de skimming e scanning para  compreensão textual
Ler e compreender informações gerais e específicas em textos escritos em inglês
Utilizar estratégias de leitura para resolução de exercícios de vestibular</t>
  </si>
  <si>
    <t>English for life (Part 3)</t>
  </si>
  <si>
    <t>Prática de leitura
Fact and detail questions
Distratores</t>
  </si>
  <si>
    <t>Compreender o que é um distrator em avaliações de vestibulares
Identificar distratores comuns em fact and detail questions
Utilizar estratégias de leitura para resolução de exercícios de vestibular</t>
  </si>
  <si>
    <t>English for life 
(part 4)</t>
  </si>
  <si>
    <t>Prática de leitura
Fact and detail questions;
Distratores</t>
  </si>
  <si>
    <t>Identificar distratores comuns em fact and detail questions
Utilizar estratégias de leitura para resolução de exercícios de vestibular</t>
  </si>
  <si>
    <t>Análise e produção de discursos nas diversas linguagens e contextos.
Prática de linguagem</t>
  </si>
  <si>
    <t>English for life 
(Part 5)</t>
  </si>
  <si>
    <t>Prática de Compreensão e produção textual;
Vocabulário e gramática específicos.</t>
  </si>
  <si>
    <t>Mobilizar conhecimentos prévios para compreensão e produção de textos;
Identificar e utilizar elementos linguísticos específicos compreendendo sua função na construção  textual.</t>
  </si>
  <si>
    <t>English for life
(Part 6)</t>
  </si>
  <si>
    <t>Mobilizar conhecimentos prévios para compreensão e produção de textos;
Identificar e utilizar elementos linguísticos específicos compreendendo sua função na construção  textual.</t>
  </si>
  <si>
    <t>Technology: Good or Evil? (Part 1)</t>
  </si>
  <si>
    <t>Prática de leitura;
Simple Present;
Vocabulário Específico;</t>
  </si>
  <si>
    <t>Ler e compreender textos de circulação social em inglês;
Identificar a relação entre tempo verbal e a construção de sentido em um texto em inglês.</t>
  </si>
  <si>
    <t>Technology: Good or Evil? (Part 2)</t>
  </si>
  <si>
    <t>Prática de leitura;
Vocabulário Específico.</t>
  </si>
  <si>
    <t>Ler e compreender textos de circulação social em inglês;​
Utilizar o contexto para apoiar a compreensão de uma palavra desconhecida</t>
  </si>
  <si>
    <t>Technology: Good or Evil? (Part 3)</t>
  </si>
  <si>
    <t>Prática de leitura;​
Leitura de gráficos;​
Vocabulário Específico.</t>
  </si>
  <si>
    <t>Ler e compreender textos de circulação social em inglês que utilizam gráficos;​
Identificar diferentes tipos de gráficos, compreendendo os dados que eles representam.​</t>
  </si>
  <si>
    <t>Technology: Good or Evil? (Part 4)</t>
  </si>
  <si>
    <t>Prática de leitura;​
estratégia de leitura de gráficos;​
Vocabulário Específico.</t>
  </si>
  <si>
    <t>Ler e compreender textos de circulação social em inglês que utlizam gráficos.
Reconhecer e utilizar estratégias para leitura de gráficos em inglês</t>
  </si>
  <si>
    <t>(EM13LGG103) Analisar o funcionamento das linguagens, para interpretar e produzir criticamente discursos em textos de diversas semioses (visuais, verbais, sonoras, gestuais).
(EM13LGG104) - Utilizar as diferentes linguagens, levando em conta seus funcionamentos, para a compreensão e produção de textos e discursos em diversos campos de atuação social
(EM13LGG403) Fazer uso do inglês como língua de comunicação global, levando em conta a multiplicidade e variedade de usos, usuários e funções dessa língua no mundo contemporâneo.</t>
  </si>
  <si>
    <t>Technology: Good or Evil? (Part 5)</t>
  </si>
  <si>
    <t>Prática de Compreensão e produção textual;
Future Form - will
Vocabulário temático.</t>
  </si>
  <si>
    <t xml:space="preserve">Mobilizar conhecimentos prévios para compreensão e produção de textos sobre tecnologia e sociedade
Identificar a função do ‘will’ para previsões futuras  em inglês
</t>
  </si>
  <si>
    <t>Ler e compreender textos de circulação social em inglês.
Utilizar estratégias de leitura para resolução de exercícios de vestibular.</t>
  </si>
  <si>
    <t>Technology: Good or Evil? (Part 6)</t>
  </si>
  <si>
    <t>Prática de Compreensão e produção textual;
Debate em inglês
Vocabulário temático</t>
  </si>
  <si>
    <t xml:space="preserve">Mobilizar conhecimentos prévios para compreensão e produção de textos sobre tecnologia e sociedade
Posicionar-se criticamente diante da temática do papel da tecnologia na sociedade, utilizando recursos linguísticos adequados ao tema.
</t>
  </si>
  <si>
    <t>Artificial Intelligence (Part 1)</t>
  </si>
  <si>
    <t>Prática de leitura;
Vocabulário Específico.
Linking words - contrast.</t>
  </si>
  <si>
    <t>Ler e compreender textos de circulação social em inglês sobre inteligência artificial
Analisar o efeito de sentido decorrente do uso de conectivo de contraste em textos em língua inglesa</t>
  </si>
  <si>
    <t xml:space="preserve">(EM13LGG102) Analisar visões de mundo, conflitos de interesse, preconceitos e ideologias presentes nos discursos veiculados nas diferentes mídias, ampliando suas possibilidades de explicação, interpretação e intervenção crítica da/na realidade.
(EM13LGG302) Posicionar-se criticamente diante de diversas visões de mundo presentes nos discursos em diferentes linguagens, levando em conta seus contextos de produção e de circulação.
(EM13LGG401) Analisar criticamente textos de modo a compreender e caracterizar as línguas como fenômeno (geo)político, histórico, social, cultural, variável, heterogêneo e sensível aos contextos de uso.
(EM13LGG403) Fazer uso do inglês como língua de comunicação global, levando em conta a multiplicidade e variedade de usos, usuários e funções dessa língua no mundo contemporâneo.
</t>
  </si>
  <si>
    <t>Artificial Intelligence (Part 2)</t>
  </si>
  <si>
    <t>Prática de leitura;
Vocabulário Específico.
Linking words - addition.</t>
  </si>
  <si>
    <t>Ler e compreender textos de circulação social em inglês  sobre inteligência artificial
Analisar o efeito de sentido decorrente do uso de conectivo de adição em textos em língua inglesa</t>
  </si>
  <si>
    <t>Artificial Intelligence (Part 3)</t>
  </si>
  <si>
    <t>Prática de leitura;
Vocabulário Específico.
Linking words - cause.</t>
  </si>
  <si>
    <t>Ler e compreender textos de circulação social em inglês  sobre inteligência artificial
Analisar o efeito de sentido decorrente do uso de conectivo de causa em textos em língua inglesa</t>
  </si>
  <si>
    <t>Artificial Intelligence (Part 4)</t>
  </si>
  <si>
    <t>Prática de leitura;
Vocabulário Específico.
Linking words - consequence.</t>
  </si>
  <si>
    <t>Ler e compreender textos de circulação social em inglês  sobre inteligência artificial
Analisar o efeito de sentido decorrente do uso de conectivo de consequência em textos em língua inglesa</t>
  </si>
  <si>
    <t>Artificial Intelligence (Part 5)</t>
  </si>
  <si>
    <t>Prática de Compreensão e produção textual;
Vocabulário temático.</t>
  </si>
  <si>
    <t>Utilizar diferentes recursos linguísticos para compreender e produzir textos em língua inglesa. ​
​
Posicionar-se diante de questões polêmicas sobre inteligência artificial, utilizando a língua inglesa ​</t>
  </si>
  <si>
    <t>EM13LGG102
EM13LGG103
EM13LGG302
EM13LGG401
EM13LGG403</t>
  </si>
  <si>
    <t xml:space="preserve"> Analisar visões de mundo, conflitos de interesse, preconceitos e ideologias presentes nos discursos veiculados nas diferentes mídias, ampliando suas possibilidades de explicação, interpretação e intervenção crítica da/na realidade.​
 Posicionar-se criticamente diante de diversas visões de mundo presentes nos discursos em diferentes linguagens, levando em conta seus contextos de produção e de circulação.​
 Analisar criticamente textos de modo a compreender e caracterizar as línguas como fenômeno (geo)político, histórico, social, cultural, variável, heterogêneo e sensível aos contextos de uso.​
Fazer uso do inglês como língua de comunicação global, levando em conta a multiplicidade e variedade de usos, usuários e funções dessa língua no mundo contemporâneo.</t>
  </si>
  <si>
    <t>Artificial Intelligence (Part 6)</t>
  </si>
  <si>
    <t>Environmental issues - Part 1</t>
  </si>
  <si>
    <t xml:space="preserve">Prática de leitura;
Vocabulário Específico;
Reference questions;
Possessive 
adjectives </t>
  </si>
  <si>
    <t>Ler e compreender textos de circulação social em inglês sobre questões ambientais.
Identificar a referência de pronomes possessivos na construção textual.</t>
  </si>
  <si>
    <t>Environmental issues - Part 2</t>
  </si>
  <si>
    <t>Prática de leitura;
Vocabulário Específico;
Reference questions;
Relative pronouns.</t>
  </si>
  <si>
    <t>Ler e compreender textos de circulação social em inglês sobre questões ambientas.
Identificar a referência de pronomes relativos na construção textual.</t>
  </si>
  <si>
    <t>Environmental issues - Part 3</t>
  </si>
  <si>
    <t xml:space="preserve">Prática de leitura;
Vocabulário Específico;
</t>
  </si>
  <si>
    <t>Ler e compreender textos de circulação social em inglês sobre questões ambientas;​
Utilizar estratégias de leitura para compreensão de textos em inglês​</t>
  </si>
  <si>
    <t>"EM13LGG103
EM13LGG104
EM13LGG403"</t>
  </si>
  <si>
    <t>Environmental issues - Part 4</t>
  </si>
  <si>
    <t>Prática de Compreensão e produção textual;
Fast fashion vocabulary</t>
  </si>
  <si>
    <t>Utilizar diferentes recursos linguísticos para compreender e produzir textos em língua inglesa. ​​
​
Posicionar-se diante de questões polêmicas sobre o questões ambientais, utilizando a língua inglesa​</t>
  </si>
  <si>
    <t>Environmental issues - Part 5</t>
  </si>
  <si>
    <t xml:space="preserve">
Prática de Compreensão e produção textual;
Fast fashion vocabulary</t>
  </si>
  <si>
    <t>Mobilizar conhecimentos prévios para compreensão e produção de textos sobre meio ambiente.
Identificar e utilizar elementos linguísticos específicos compreendendo sua função na construção textual.</t>
  </si>
  <si>
    <t>Aula Desafio:  How can we reduce  the impact of fast fashion in our community?​</t>
  </si>
  <si>
    <t>Vocabulário específico sobre meio ambiente e fast fashion.</t>
  </si>
  <si>
    <t>Utilizar a língua inglesa para desenvolver a consciência crítica sobre os impactos ambientais da indústria da fast fashion.</t>
  </si>
  <si>
    <t>EM13CNT201</t>
  </si>
  <si>
    <t>Evolução dos modelos atômicos.</t>
  </si>
  <si>
    <t>Representando os modelos atômicos</t>
  </si>
  <si>
    <t>Modelos atômicos.</t>
  </si>
  <si>
    <t>• Compreender a evolução dos modelos atômicos.
• Construir protótipos representando os principais modelos atômicos.</t>
  </si>
  <si>
    <t>EM13CNT204</t>
  </si>
  <si>
    <t>Cinemática.</t>
  </si>
  <si>
    <t>O movimento circular na prática</t>
  </si>
  <si>
    <t>Movimento circular uniforme.</t>
  </si>
  <si>
    <t>• Compreender o movimento circular, suas características e as forças envolvidas.
• Aplicar os conceitos de velocidade angular e aceleração centrípeta em um experimento prático.</t>
  </si>
  <si>
    <t>EM13CNT101</t>
  </si>
  <si>
    <t>Ameaças ao equilíbrio do ecossistema.</t>
  </si>
  <si>
    <t>As interações de um ecossistema</t>
  </si>
  <si>
    <t>• Equilíbrio sistêmico do ecossistema.
• Fatores abióticos que influenciam o equilíbrio dos ecossistemas.</t>
  </si>
  <si>
    <t>Analisar os fatores que influenciam na manutenção do equilíbrio sistêmico de um ecossistema.</t>
  </si>
  <si>
    <t>Ligações químicas e solubilidade.</t>
  </si>
  <si>
    <t>Traçando os limites da solubilidade</t>
  </si>
  <si>
    <t>• Ligação iônica.
• Solubilidade de compostos iônicos. • Curva de solubilidade.</t>
  </si>
  <si>
    <t>Explorar, na prática, os conceitos de
soluções e solubilidade,
conectando-os às propriedades
físico-químicas das substâncias,
desenvolvendo habilidades como
coleta de dados, análise e
interpretação de resultados.</t>
  </si>
  <si>
    <t>Dinâmica (Leis de Newton; força de atrito, plano inclinado, força centrípeta).</t>
  </si>
  <si>
    <t>A física do plano inclinado</t>
  </si>
  <si>
    <t>Forças atuantes em um plano inclinado.</t>
  </si>
  <si>
    <t>Compreender a relação entre trabalho, força e deslocamento em
planos inclinados.</t>
  </si>
  <si>
    <t>EM13CNT306</t>
  </si>
  <si>
    <t>Impactos da poluição nos sistemas fisiológicos.</t>
  </si>
  <si>
    <t>Impactos da poluição na audição</t>
  </si>
  <si>
    <t>• Sistema auditivo.
• Poluição sonora.</t>
  </si>
  <si>
    <t>Reconhecer a fisiologia da orelha humana e os riscos da poluição sonora.</t>
  </si>
  <si>
    <t>EM13CNT309</t>
  </si>
  <si>
    <t>Combustíveis alternativos.</t>
  </si>
  <si>
    <t>Produção de Biodiesel</t>
  </si>
  <si>
    <t>Biocombustíveis.</t>
  </si>
  <si>
    <t>• Demonstrar a produção de biodiesel a partir de óleos vegetais.
• Compreender a importância dos biocombustíveis para a sustentabilidade e a redução de impactos ambientais.</t>
  </si>
  <si>
    <t>EM13CNT102</t>
  </si>
  <si>
    <t>Dilatação térmica.</t>
  </si>
  <si>
    <t>É possível expandir o ar?</t>
  </si>
  <si>
    <t>Demonstrar de forma prática como a temperatura afeta o volume do ar, evidenciando o fenômeno da dilatação térmica do ar.</t>
  </si>
  <si>
    <t>EM13CNT203</t>
  </si>
  <si>
    <t>Áreas verdes urbanas.</t>
  </si>
  <si>
    <t>A importância das áreas verdes na nossa cidade</t>
  </si>
  <si>
    <t>Reconhecer o que são áreas verdes urbanas e a sua importância para a sustentabilidade ambiental das cidades.</t>
  </si>
  <si>
    <t>EM13CNT206</t>
  </si>
  <si>
    <t>Plásticos (polímeros).</t>
  </si>
  <si>
    <t>Síntese de bioplástico</t>
  </si>
  <si>
    <t>• Polímeros – plásticos e bioplásticos.
• Química ambiental.</t>
  </si>
  <si>
    <t>• Estudar os plásticos e seus
impactos ambientais.
• Sintetizar bioplástico a partir do
amido.</t>
  </si>
  <si>
    <t>EM13CNT301</t>
  </si>
  <si>
    <t>Termodinâmica.</t>
  </si>
  <si>
    <t>Gás em Movimento</t>
  </si>
  <si>
    <t>Variáveis de estado de um gás – pressão, volume e temperatura.</t>
  </si>
  <si>
    <t>Explorar a relação entre as variáveis de estado de um gás (pressão, volume e temperatura) e como essas variáveis influenciam o comportamento do gás.</t>
  </si>
  <si>
    <t>Células vegetais.</t>
  </si>
  <si>
    <t>Investigando o invisível:
extração do DNA</t>
  </si>
  <si>
    <t>• Estrutura e função do DNA.
• Técnicas de extração de DNA: rompimento de membranas celulares, separação de resíduos e
precipitação de DNA.</t>
  </si>
  <si>
    <t>Realizar o processo de extração de DNA a partir de vegetais, aplicando conceitos de biologia celular e molecular.</t>
  </si>
  <si>
    <t>Reatividade de compostos orgânicos.</t>
  </si>
  <si>
    <t>Desidratação do açúcar</t>
  </si>
  <si>
    <t>• Funções Orgânicas.
• Reatividade de compostos orgânicos.</t>
  </si>
  <si>
    <t>• Observar a reatividade do açúcar (sacarose) ao ser aquecido.
• Comparar a desidratação do açúcar por aquecimento e interação com ácido.</t>
  </si>
  <si>
    <t>EM13CNT107</t>
  </si>
  <si>
    <t>Eletrostática.</t>
  </si>
  <si>
    <t>Investigando os processos de eletrização</t>
  </si>
  <si>
    <t>• Materiais condutores e isolantes.
• Processos de eletrização.</t>
  </si>
  <si>
    <t>Demonstrar os processos de eletrização por atrito, eletrização por contato e eletrização por indução de forma simples e prática.</t>
  </si>
  <si>
    <t>EM13CNT202</t>
  </si>
  <si>
    <t>Fisiologia: Regulação homeostática.</t>
  </si>
  <si>
    <t>Como funciona o sistema urinário?</t>
  </si>
  <si>
    <t>Identificar as principais funções do rim humano (filtração, reabsorção e secreção).</t>
  </si>
  <si>
    <t>Produzindo meu próprio sabão</t>
  </si>
  <si>
    <t>• Reações orgânicas.
• Aplicações da química orgânica.</t>
  </si>
  <si>
    <t>• Compreender a reação de saponificação.
• Aplicar o conceito de reações orgânicas.</t>
  </si>
  <si>
    <t>EM13CNT106</t>
  </si>
  <si>
    <t>• Circuitos elétricos.
• Eletrodinâmica.</t>
  </si>
  <si>
    <t>Circuito Elétrico Básico: Acendendo a Lâmpada</t>
  </si>
  <si>
    <t>• Circuitos elétricos simples.
• Componentes de um circuito elétrico.</t>
  </si>
  <si>
    <t>• Compreender o funcionamento de um circuito elétrico simples.
• Observar como a energia elétrica percorre o circuito e acende a lâmpada.</t>
  </si>
  <si>
    <t>Análise de Protozoários em Amostra de Água</t>
  </si>
  <si>
    <t>• Protozoários.
• Ecologia aquática.</t>
  </si>
  <si>
    <t>Identificar a presença de protozoários em amostras de água.</t>
  </si>
  <si>
    <t>Rendimento de reações químicas.</t>
  </si>
  <si>
    <t>Determinando o rendimento de uma reação</t>
  </si>
  <si>
    <t>Rendimento de uma reação química.</t>
  </si>
  <si>
    <t>• Determinar o rendimento de uma reação simples.
• Calcular o rendimento experimental com base na quantidade de produto formado.</t>
  </si>
  <si>
    <t>EM13CNT205</t>
  </si>
  <si>
    <t>Empuxo.</t>
  </si>
  <si>
    <t>Medindo o Empuxo em Líquidos</t>
  </si>
  <si>
    <t>• Princípio de Arquimedes.
• Empuxo e flutuabilidade.</t>
  </si>
  <si>
    <t>• Demonstrar o princípio de empuxo (Lei de Arquimedes) e medir o empuxo em diferentes líquidos.
• Observar como a flutuabilidade de um objeto depende do volume deslocado e da densidade do líquido.</t>
  </si>
  <si>
    <t>EM13CNT105</t>
  </si>
  <si>
    <t>Ações mitigatórias da interferência humana nos ciclos biogeoquímicos.</t>
  </si>
  <si>
    <t>Criação de adubo verde</t>
  </si>
  <si>
    <t>• Compostagem e Decomposição.
• Orgânica.
• Ciclos biogeoquímicos.</t>
  </si>
  <si>
    <t>• Demonstrar o processo de compostagem e como transformar resíduos orgânicos em adubo verde.
• Compreender a importância da decomposição de matéria orgânica para a formação de compostos que enriquecem o solo.</t>
  </si>
  <si>
    <t>• Reação de neutralização.
• Indicadores de pH.</t>
  </si>
  <si>
    <t>Desvendando a reação de neutralização e pH</t>
  </si>
  <si>
    <t>Reações ácido-base, pH, indicadores ácido e base.</t>
  </si>
  <si>
    <t>• Investigar as reações de neutralização entre ácidos e bases.
• Utilizar indicadores ácido-base para observar as mudanças de pH.</t>
  </si>
  <si>
    <t>Astronomia (estrelas; planetas; satélite; outros corpos celestes; força gravitacional).</t>
  </si>
  <si>
    <t>Simulação da Gravitação e Movimentos Planetários</t>
  </si>
  <si>
    <t>• Sistema solar.
• Leis de Kepler.
• Gravitação.</t>
  </si>
  <si>
    <t>• Compreender as Leis de Kepler e a Lei da Gravitação Universal.
• Demonstrar, por meio de simulações, os movimentos dos planetas no Sistema Solar.</t>
  </si>
  <si>
    <t>Procariontes e Eucariontes.</t>
  </si>
  <si>
    <t>Explorando o Microscópio: Células Procariontes e Eucariontes</t>
  </si>
  <si>
    <t>• Procariontes.
• Eucariontes.</t>
  </si>
  <si>
    <t>• Identificar e diferenciar células procariontes e eucariontes ao microscópio.
• Observar a estrutura celular de cada tipo de célula, destacando a presença ou ausência de núcleo e organelas.</t>
  </si>
  <si>
    <t>Rapidez das transformações químicas (variáveis que influenciam nas reações químicas).</t>
  </si>
  <si>
    <t>Fatores que Afetam a Velocidade das Reações Químicas</t>
  </si>
  <si>
    <t>• Rapidez de transformações químicas​.
• Fatores que afetam a rapidez das transformações​.
• Concentração, temperatura e superfície de contato.</t>
  </si>
  <si>
    <t>• Compreender como a temperatura, a concentração e a área de contato afetam a velocidade das reações químicas.
• Observar e registrar como esses fatores influenciam a rapidez de reações simples.</t>
  </si>
  <si>
    <t>Ondas sonoras (altura; frequência; timbre; intensidade; qualidades fisiológicas do som).</t>
  </si>
  <si>
    <t>Conhecendo a Intensidade, a Altura e o Timbre dos Sons</t>
  </si>
  <si>
    <t>• Altura, frequência, timbre e intensidade do som.
• Escala de decibéis.</t>
  </si>
  <si>
    <t>• Compreender as principais qualidades das ondas sonoras: altura, frequência, timbre e intensidade.
• Utilizar um medidor de decibéis para medir e praticar a variação da intensidade do som.</t>
  </si>
  <si>
    <t>Leis de Mendel.</t>
  </si>
  <si>
    <t>Herança de características simples</t>
  </si>
  <si>
    <t>• Genótipo.
• Fenótipo.
• Leis de Mendel.</t>
  </si>
  <si>
    <t>• Recordar as Leis de Mendel.
• Compreender a transmissão de características genéticas.</t>
  </si>
  <si>
    <t>EM13CNT107
EM13CNT308</t>
  </si>
  <si>
    <t>Transformações químicas que envolvem corrente elétrica: pilhas, baterias.</t>
  </si>
  <si>
    <t>Gerando Energia a Partir de Reações Químicas</t>
  </si>
  <si>
    <t>• Pilhas e Reações Redox.
• Circuito Elétrico Simples.</t>
  </si>
  <si>
    <t>• Compreender o funcionamento básico de uma pilha simples e os processos de oxidação e redução.
• Montar uma pilha simples utilizando materiais acessíveis.</t>
  </si>
  <si>
    <t>Óptica (princípios da propagação retilínea da luz; independência da luz; reversibilidade da luz; sombra e penumbra; câmara escura de orifício; espelhos; lentes; reflexão, refração e absorção da luz).</t>
  </si>
  <si>
    <t>Reflexão e a Lei de Snell</t>
  </si>
  <si>
    <t>• Reflexão da Luz.
• Lei de Snell.</t>
  </si>
  <si>
    <t>• Compreender os fenômenos de reflexão e refração da luz.
• Experimentar com materiais diversos para observar como a luz se comporta ao ser refletida ou refratada.</t>
  </si>
  <si>
    <t>Higiene dos alimentos.</t>
  </si>
  <si>
    <t>Higiene na manipulação de alimentos</t>
  </si>
  <si>
    <t>• Higiene dos alimentos.
• Doenças de transmissão hídrica e alimentar.</t>
  </si>
  <si>
    <t>• Demonstrar a importância da higiene pessoal na manipulação de alimento.
• Conscientizar os alunos sobre as boas práticas de higiene na cozinha.</t>
  </si>
  <si>
    <t>Cálculos químicos.</t>
  </si>
  <si>
    <t>Cálculo de Concentração e Diluição de Soluções</t>
  </si>
  <si>
    <t>• Concentração de Soluções.
• Diluição de Soluções.</t>
  </si>
  <si>
    <t>• Compreender o conceito de concentração de soluções e a importância da diluição.
• Aplicar a fórmula da diluição para preparar soluções com diferentes concentrações.</t>
  </si>
  <si>
    <t>• Magnetismo (campo magnético; bússola; eletroímã).
• Eletromagnetismo (forças eletromagnéticas).</t>
  </si>
  <si>
    <t>Eletromagnetismo: Forças e Campos em Ação</t>
  </si>
  <si>
    <t>Eletromagnetismo.</t>
  </si>
  <si>
    <t>• Observar como os ímãs interagem com objetos ferromagnéticos e como se comportam ao se aproximar de diferentes materiais.
• Explorar como as cargas elétricas geram um campo elétrico e como ele influencia as partículas ao seu redor.</t>
  </si>
  <si>
    <t>Observando o fototropismo em plantas</t>
  </si>
  <si>
    <t>• Demonstrar como as plantas se orientam em resposta à luz.
• Compreender como a luz influencia o crescimento das plantas e como esse fenômeno é uma adaptação evolutiva das plantas.</t>
  </si>
  <si>
    <t>EM13CNT308</t>
  </si>
  <si>
    <t>Eletrólise aquosa do sal de cozinha</t>
  </si>
  <si>
    <t>• Eletrólise.
• Reações em Soluções Aquosas.</t>
  </si>
  <si>
    <t>• Compreender o processo de eletrólise e seus produtos em soluções aquosas.
• Realizar a eletrólise aquosa de NaCl.</t>
  </si>
  <si>
    <t>EM13CNT310</t>
  </si>
  <si>
    <t>Mecânica (hidrostática).</t>
  </si>
  <si>
    <t>O Princípio de Pascal em Ação</t>
  </si>
  <si>
    <t>• Hidrostática.
• Princípio de Pascal.</t>
  </si>
  <si>
    <t>• Demonstrar o Princípio de Pascal através de um experimento simples.
• Observar como a pressão é transmitida igualmente em todas as direções em um fluido incompressível.</t>
  </si>
  <si>
    <t>Sistema ABO.</t>
  </si>
  <si>
    <t>Explorando o Sistema ABO</t>
  </si>
  <si>
    <t>• Sistema ABO.
• Herança mendeliana.</t>
  </si>
  <si>
    <t>• Demonstrar como os tipos sanguíneos são herdados de acordo com a herança mendeliana, especificamente com o sistema ABO.
• Entender como o genótipo (código genético) e o fenótipo (característica observada) se relacionam no contexto da herança dos tipos sanguíneos.</t>
  </si>
  <si>
    <t>ANO/SÉRIE</t>
  </si>
  <si>
    <t>SEMANA</t>
  </si>
  <si>
    <t>DATA</t>
  </si>
  <si>
    <t>UNIDADE</t>
  </si>
  <si>
    <t>AULA UNIDADE</t>
  </si>
  <si>
    <t>AULA SALA</t>
  </si>
  <si>
    <t>FORMATO DE AULA</t>
  </si>
  <si>
    <t>OBJETIVO</t>
  </si>
  <si>
    <t>CONTEÚDOS</t>
  </si>
  <si>
    <t>ENTREGA DE PROJETO</t>
  </si>
  <si>
    <t>HABILIDADE - BNCC COMPUTAÇÃO - CÓDIGO</t>
  </si>
  <si>
    <t>HABILIDADE - BNCC COMPUTAÇÃO - TEXTO</t>
  </si>
  <si>
    <t>HABILIDADE - BNCC - CÓDIGO</t>
  </si>
  <si>
    <t>HABILIDADE - BNCC - TEXTO</t>
  </si>
  <si>
    <t>HABILIDADES BNCC PARÂMETROS IF (TEXTO)</t>
  </si>
  <si>
    <t>2ª série</t>
  </si>
  <si>
    <t>02 a 06/12</t>
  </si>
  <si>
    <t>Introdução à computação: tecnologias na sociedade do futuro</t>
  </si>
  <si>
    <t>Tecnologia no dia a dia</t>
  </si>
  <si>
    <t>Material digital</t>
  </si>
  <si>
    <t>Identificar a presença e o uso de tecnologias digitais no trabalho.
Compreender os impactos das tecnologias na evolução das profissões.
Analisar como a tecnologia pode promover um mundo mais justo.</t>
  </si>
  <si>
    <t>Transformações digitais no trabalho.
Adaptação profissional e novas carreiras.
Tecnologia e ODS (ONU).</t>
  </si>
  <si>
    <t>n/a</t>
  </si>
  <si>
    <t>EM13CO09</t>
  </si>
  <si>
    <t>Identificar tecnologias digitais, sua presença e formas de uso, nas diferentes atividades no mundo do trabalho.</t>
  </si>
  <si>
    <t>Avaliar o impacto das tecnologias digitais e das mídias sociais nas dinâmicas sociais, econômicas e culturais, utilizando modelagem matemática para simular cenários e auxiliar na formulação de políticas públicas e decisões que promovam a equidade, a inclusão digital e a sustentabilidade, com foco no bem-estar coletivo.</t>
  </si>
  <si>
    <t>Vamos inspecionar</t>
  </si>
  <si>
    <t>Vídeo</t>
  </si>
  <si>
    <t>Utilizar a ferramenta "Inspecionar" para visualizar o código web.
Analisar a estrutura de páginas web e modificar seu conteúdo.
Avaliar a autenticidade de informações para combater fake news.</t>
  </si>
  <si>
    <t>Ferramentas de desenvolvedor (F12).
Tags HTML e estrutura web.
Verificação de informações e Fake News.</t>
  </si>
  <si>
    <t>EM13CO14</t>
  </si>
  <si>
    <t xml:space="preserve">Avaliar a confiabilidade das informações encontradas em meio digital, investigando seus modos de construção e considerando a autoria, a estrutura e o propósito da mensagem. </t>
  </si>
  <si>
    <t>Examinar criticamente conteúdos digitais e midiáticos, mobilizando abordagens científicas e investigativas para avaliar aspectos de privacidade, representatividade e os impactos das redes sociais na construção da identidade e das relações interpessoais, bem como seu papel no enfrentamento da desinformação e das Fake News;</t>
  </si>
  <si>
    <t>09 a 13/02</t>
  </si>
  <si>
    <t>O que veremos nas aulas?</t>
  </si>
  <si>
    <t>Refletir sobre o uso de diferentes tecnologias para a construção de soluções computacionais.
Relacionar tecnologias digitais com saberes escolares.
Propor o uso responsável de IA em soluções tecnológicas, avaliando suas limitações.</t>
  </si>
  <si>
    <t>Ferramentas e linguagens de programação.
Uso de tecnologia para solucionar problemas do cotidiano escolar.
Reflexão sobre o uso responsável de IA e suas limitações.</t>
  </si>
  <si>
    <t>EM13CO02 e EM13CO18</t>
  </si>
  <si>
    <t>Explorar e construir a solução de problemas por meio de refinamentos, utilizando diversos níveis de abstração desde a especificação até a implementação. 
Planejar e gerenciar projetos integrados às áreas de conhecimento de forma colaborativa, solucionando problemas, usando diversos artefatos computacionais.</t>
  </si>
  <si>
    <t>Propor soluções para desafios sociais aplicando algoritmos, linguagens de programação e princípios de Inteligência Artificial - IA para gerar impactos sociais positivos em áreas como saúde, educação e meio ambiente; e ; Avaliar o impacto das tecnologias digitais e das mídias sociais nas dinâmicas sociais, econômicas e culturais, utilizando modelagem matemática para simular cenários e auxiliar na formulação de políticas públicas e decisões que promovam a equidade, a inclusão digital e a sustentabilidade, com foco no bem-estar coletivo.</t>
  </si>
  <si>
    <t>Inteligência artificial</t>
  </si>
  <si>
    <t>Compreender os fundamentos da Inteligência Artificial.
Comparar a inteligência artificial com a inteligência humana.
Analisar os riscos e benefícios do uso da IA na sociedade.</t>
  </si>
  <si>
    <t>Fundamentos e tipos de IA.
Comparativo IA vs. inteligência humana.
Potenciais, riscos e limites da IA.</t>
  </si>
  <si>
    <t>Sim</t>
  </si>
  <si>
    <t>EM13CO10</t>
  </si>
  <si>
    <t xml:space="preserve">Conhecer os fundamentos da Inteligência Artificial, comparando-a com a inteligência humana, analisando suas potencialidades, riscos e limites. 
</t>
  </si>
  <si>
    <t>Explorar as tecnologias emergentes, como inteligência artificial e narrativas digitais e participar da criação de experiências interativas e na experimentação de novas formas de expressão e produção cultural, promovendo a democratização do acesso aos bens culturais e à informação.</t>
  </si>
  <si>
    <t>16 a 20/02</t>
  </si>
  <si>
    <t>Semana Carvanal (Feriados e Planejamento/Replanejamento)</t>
  </si>
  <si>
    <t>23 a 27/02</t>
  </si>
  <si>
    <t>Lógica de programação: criando arte interativa com P5.js.</t>
  </si>
  <si>
    <t>Iniciando nossa jornada</t>
  </si>
  <si>
    <t>Vìdeo</t>
  </si>
  <si>
    <t>Compreender os conceitos básicos de funções em JavaScript.
Aplicar comandos básicos de desenho no P5.js, como createCanvas() e circle().
Modificar parâmetros de comandos em p5.js para ajustar a posição e o tamanho de formas geométricas.</t>
  </si>
  <si>
    <t>Fundamentos de programação com JavaScript utilizando a biblioteca P5.js.
Utilização de funções básicas como setup() e draw().
Manipulação de coordenadas em formas geométricas no p5.js.</t>
  </si>
  <si>
    <t>EM13CO02</t>
  </si>
  <si>
    <t>(EM13CO02) Explorar e construir a solução de problemas por meio de refinamentos, utilizando diversos níveis de abstração desde a especificação até a implementação.</t>
  </si>
  <si>
    <t>EMIFMAT04</t>
  </si>
  <si>
    <t>Reconhecer produtos e/ou processos criativos por meio de fruição, vivências e reflexão crítica na produção do conhecimento matemático e sua aplicação no desenvolvimento de processos tecnológicos diversos.</t>
  </si>
  <si>
    <t>Investigar situações-problema, a partir da análise de variáveis e hipóteses relevantes, da integração de conhecimentos matemáticos e de outras áreas, e da seleção de estratégias adequadas, para a interpretação de dados e a solução de problemas em diferentes contextos.</t>
  </si>
  <si>
    <t>Adicionando outras formas</t>
  </si>
  <si>
    <t>Aplicar comandos de desenho básicos como line() e triangle() no P5.js.
Criar novas formas e elementos visuais (ex: boca, nariz, orelhas) no personagem utilizando as coordenadas do plano cartesiano.
Relembrar o processo de login e recuperação de projetos anteriores no editor P5.js.</t>
  </si>
  <si>
    <t>Recuperação e gerenciamento de projetos no editor P5.js.
Uso de comandos de desenho (line() e triangle()) para criar formas geométricas específicas.
Manipulação de coordenadas X e Y para posicionar elementos em um plano cartesiano.</t>
  </si>
  <si>
    <t>02 a 06/03</t>
  </si>
  <si>
    <t>Colorindo nosso desenho</t>
  </si>
  <si>
    <t>Aplicar conceitos de cores em código usando o P5.js.
Criar novas formas e elementos visuais (ex: sobrancelhas, pupilas) no personagem utilizando as coordenadas do plano cartesiano.
Documentar o código com comentários claros e organizados.</t>
  </si>
  <si>
    <t>Cores predefinidas e hexadecimal no P5.js.
Utilização de outros comandos para criar mais formas geométricas.
Comentários para documentação de código.</t>
  </si>
  <si>
    <t>Efeito Monalisa</t>
  </si>
  <si>
    <t>Aplicar conceitos de mapeamento para restringir a movimentação de elementos gráficos na tela.
Analisar a lógica de posicionamento e ajuste de variáveis para criar interações visuais precisas.
Criar uma animação interativa onde elementos gráficos seguem a posição do cursor do mouse.</t>
  </si>
  <si>
    <t>Comando map() para limitar o movimento de elementos na tela.
Conceito de variáveis em programação.
Práticas de declaração de variáveis e organização de código para evitar erros em animações.</t>
  </si>
  <si>
    <t xml:space="preserve">09 a 13/02 </t>
  </si>
  <si>
    <t>9 e 10</t>
  </si>
  <si>
    <t>Avaliação da unidade: 
- Introdução à computação: tecnologias na sociedade do futuro</t>
  </si>
  <si>
    <t xml:space="preserve">- </t>
  </si>
  <si>
    <t>16 a 20/03</t>
  </si>
  <si>
    <t>Novo projeto: quente frio</t>
  </si>
  <si>
    <t>Aplicar conceitos de coordenadas aleatórias para posicionar elementos na tela de um projeto.
Compreender a diferença entre números inteiros e decimais em operações de comparação.
Testar e depurar código utilizando console.log().</t>
  </si>
  <si>
    <t>Utilização do comando random() para sortear um valor aleatório.
Diferenciação entre números inteiros e decimais.
Corrigir bugs a partir de pequenos testes.</t>
  </si>
  <si>
    <t>Será que podemos utilizar Pitágoras?</t>
  </si>
  <si>
    <t>Aplicar operadores lógicos para combinar múltiplas condições em uma estrutura condicional.
Compreender o conceito de distância e sua aplicação em projetos interativos.
Implementar o Teorema de Pitágoras para calcular distâncias em um plano cartesiano.</t>
  </si>
  <si>
    <t>Uso de operadores lógicos (e).
Introdução ao conceito de distância em um plano cartesiano.
Aplicação do Teorema de Pitágoras.</t>
  </si>
  <si>
    <t>EM13CO18</t>
  </si>
  <si>
    <t>Planejar e gerenciar projetos integrados às áreas de conhecimento de forma colaborativa, solucionando problemas, usando diversos artefatos computacionais.</t>
  </si>
  <si>
    <t>23 a 27/03</t>
  </si>
  <si>
    <t>Comandos em Javascript</t>
  </si>
  <si>
    <t>Compreender o uso da função dist() do P5JS para calcular distâncias entre dois pontos.
Aplicar o conceito de distância para ajustar o comportamento visual de elementos interativos.
Associar diferentes abordagens para calcular distâncias.</t>
  </si>
  <si>
    <t>Ajuste do tamanho de um círculo baseado na distância do cursor ao ponto oculto.
Uso da função dist() do P5JS.
Comparação de métodos de cálculo de distância, incluindo o Teorema de Pitágoras e a função dist().</t>
  </si>
  <si>
    <t>Propor soluções para desafios sociais aplicando algoritmos, linguagens de programação e princípios de Inteligência Artificial - IA para gerar impactos sociais positivos em áreas como saúde, educação e meio ambiente</t>
  </si>
  <si>
    <t>Quente frio dinâmico</t>
  </si>
  <si>
    <t>Revisar o código para identificar e remover variáveis e comandos desnecessários.
Aplicar o comando constrain para limitar o movimento de um objeto dentro de um plano cartesiano.
Modificar a dificuldade de um projeto interativo através da modificação de parâmetros de distância.</t>
  </si>
  <si>
    <t>Identificação e remoção de código redundante ou desnecessário.
Uso do comando constrain do P5JS.
Ajuste da dificuldade de um jogo interativo.</t>
  </si>
  <si>
    <t>30/03 a 02/04</t>
  </si>
  <si>
    <t>15 e 16</t>
  </si>
  <si>
    <t>Semana para nivelamento</t>
  </si>
  <si>
    <t>06 a 10/04</t>
  </si>
  <si>
    <t>17 e 18</t>
  </si>
  <si>
    <t>Avaliação de unidade: 
- Lógica de programação: criando arte interativa com P5.js</t>
  </si>
  <si>
    <t>22 a 24/04</t>
  </si>
  <si>
    <t>19 e 20</t>
  </si>
  <si>
    <t>Recuperação do bimestre</t>
  </si>
  <si>
    <t>22 a 30/04</t>
  </si>
  <si>
    <t>Modelo Computacional: Simulação com planilhas</t>
  </si>
  <si>
    <t>Criando uma planilha do zero</t>
  </si>
  <si>
    <t>Nomear os principais elementos de uma planilha eletrônica, como células, colunas e linhas.
Compreender a importância da organização de dados dentro de uma planilha para planejamento e tomada de decisões.
Demonstrar como criar uma planilha em branco no Google Planilhas e inserir informações básicas.</t>
  </si>
  <si>
    <t>Acesso e criação de uma planilha no Google Planilhas. Estrutura básica de uma planilha: células, colunas e linhas. Inserção e organização de informações em uma planilha.</t>
  </si>
  <si>
    <t>EM13CO12</t>
  </si>
  <si>
    <t>Produzir, analisar, gerir e compartilhar informações a partir de dados, utilizando princípios de ciência de dados</t>
  </si>
  <si>
    <t>EMIFMAT01</t>
  </si>
  <si>
    <t>Investigar e analisar situações problema identificando e selecionando conhecimentos matemáticos relevantes para uma dada situação, elaborando modelos para sua representação.</t>
  </si>
  <si>
    <t>Demonstrando a capacidade de: Identificar dados relacionados a desafios sociais, econômicos e ambientais, por meio de ferramentas tecnológicas e representações gráficas para organizar e visualizar as informações de maneira estruturada.</t>
  </si>
  <si>
    <t>Formatando a planilha</t>
  </si>
  <si>
    <t>Listar as principais ferramentas de formatação no Google Planilhas.
Descrever a importância da formatação para a organização e legibilidade da planilha.
Aplicar estilos e cores para melhorar a visualização dos dados.</t>
  </si>
  <si>
    <t>Ajuste de colunas e mesclagem de células.
Personalização de textos, fontes e cores.
Uso de cores alternadas para melhor visualização de dados.</t>
  </si>
  <si>
    <t>04 a 08/05</t>
  </si>
  <si>
    <t xml:space="preserve">Fórmulas e cálculos 
</t>
  </si>
  <si>
    <t>Nomear as células e colunas utilizadas para cálculos dentro do Google Planilhas.
Explicar como utilizar fórmulas básicas de multiplicação e soma para calcular valores automaticamente.
Aplicar as fórmulas aprendidas para ajustar valores e explorar diferentes cenários de custos em uma planilha.</t>
  </si>
  <si>
    <t>Uso de fórmulas matemáticas no Google Planilhas.
Aplicação da multiplicação e soma em células específicas.
Exploração de funções e ajustes dinâmicos de valores.</t>
  </si>
  <si>
    <t>Aplicar elementos da matemática financeira no planejamento pessoal, familiar e comunitário, considerando conceitos como juros simples e compostos, amortização de dívidas e elaboração de orçamentos, com foco na sustentabilidade financeira, tomada de decisões responsáveis e redução das desigualdades econômicas;</t>
  </si>
  <si>
    <t>Extraindo informações com gráficos</t>
  </si>
  <si>
    <t>Nomear os principais tipos de gráficos disponíveis no Google Planilhas.
Explicar como os gráficos podem ajudar na interpretação de dados da planilha.
Aplicar a criação e personalização de gráficos para representar visualmente os valores da planilha.</t>
  </si>
  <si>
    <t>Seleção de dados e inserção de gráficos.
Personalização de gráficos (cores, títulos e legendas).
Atualização dinâmica de gráficos com base em mudanças na planilha.</t>
  </si>
  <si>
    <t>Elaborar produções textuais e multimodais em diferentes gêneros e suportes, utilizando métodos investigativos e analíticos para articular conhecimentos interdisciplinares, valorizando a diversidade cultural, a acessibilidade e a transformação social nos territórios. Demonstrando a capacidade de: Identificar dados relacionados a desafios sociais, econômicos e ambientais, por meio de ferramentas tecnológicas e representações gráficas para organizar e visualizar as informações de maneira estruturada.</t>
  </si>
  <si>
    <t>11 a 15/05</t>
  </si>
  <si>
    <t>25 e 26</t>
  </si>
  <si>
    <t>Avaliação das unidades: 
- Modelo Computacional: Simulação com planilhas</t>
  </si>
  <si>
    <t>18 a 22/05</t>
  </si>
  <si>
    <t>Fórmulas matemáticas</t>
  </si>
  <si>
    <t>Listar as células e referências utilizadas para cálculos de porcentagem em planilhas. Explicar como utilizar fórmulas para calcular valores com porcentagem e valores acumulados. Aplicar fórmulas dinâmicas para simular diferentes cenários de economia financeira ao longo dos anos.</t>
  </si>
  <si>
    <t>Identificação e organização de células em planilhas. Cálculo de porcentagens e reservas financeiras usando fórmulas. Criação de simulações financeiras dinâmicas para projeção futura.</t>
  </si>
  <si>
    <t>EM13CO11</t>
  </si>
  <si>
    <t>Criar e explorar modelos computacionais simples para simular e fazer previsões, identificando sua importância no desenvolvimento científico.</t>
  </si>
  <si>
    <t>EM13MAT203 e EMIFMAT01</t>
  </si>
  <si>
    <t>Planejar e executar ações envolvendo a criação e a utilização de aplicativos, jogos (digitais ou não), planilhas para o controle de orçamento familiar, simuladores de cálculos de juros compostos, dentre outros, para aplicar conceitos matemáticos e tomar decisões.
Investigar e analisar situações problema identificando e selecionando conhecimentos matemáticos relevantes para uma dada situação, elaborando modelos para sua representação.</t>
  </si>
  <si>
    <t>Fórmulas em planilhas</t>
  </si>
  <si>
    <t>Localizar células e referências utilizadas para cálculos. Explicar como fixar células para garantir cálculos corretos ao longo dos anos. Aplicar fórmulas para prever aumentos e seus impactos em reservas financeiras.</t>
  </si>
  <si>
    <t>Utilização de preenchimento automático para séries numéricas. Aplicação de porcentagem em cálculos. Fixação de células ($) para manter referências em cálculos dinâmicos.</t>
  </si>
  <si>
    <t>Demonstrando a capacidade de: Compreender padrões de consumo e estratégias de planejamento financeiro e ambiental sustentável, considerando evidências, análises econômicas e projeções responsáveis, aplicando conceitos matemáticos e tomada de decisões conscientes para incentivar práticas de economia solidária, agricultura familiar, responsabilidade socioambiental e sustentabilidade.</t>
  </si>
  <si>
    <t>25 a 29/05</t>
  </si>
  <si>
    <t>Modelo computacional</t>
  </si>
  <si>
    <t>Identificar erros em cálculos de reserva anual e entender a necessidade da fixação de células. Explicar como os rendimentos podem impactar no acúmulo de uma reserva financeira. Aplicar fórmulas para calcular o valor acumulado ao longo dos anos, considerando investimentos com juros.</t>
  </si>
  <si>
    <t>Correção e fixação de células para cálculos de reserva anual. Adição de rendimentos sobre valores acumulados. Adição de rendimentos sobre valores acumulados.</t>
  </si>
  <si>
    <t>Compartilhando a Planilha</t>
  </si>
  <si>
    <t>Analisar os dados da planilha e testar diferentes cenários, expandindo o modelo para mais anos. Formatar os valores como moeda, ajustar a estrutura visual e aplicar cores alternadas para melhor organização. Criar gráficos para representar visualmente o crescimento dos valores e compreender padrões de crescimento exponencial.</t>
  </si>
  <si>
    <t>Expansão dos dados e verificação de fórmulas ao longo dos anos. Formatação de planilhas (moeda, cores, bordas e organização). Inserção e personalização de gráficos para análise visual de tendências financeiras.</t>
  </si>
  <si>
    <t>01 a 03/06</t>
  </si>
  <si>
    <t>31 e 32</t>
  </si>
  <si>
    <t>08 a 12/06</t>
  </si>
  <si>
    <t>Introdução a python - desafios de programação pt 1</t>
  </si>
  <si>
    <t>Introdução ao Google Colab</t>
  </si>
  <si>
    <t>Compreender os conceitos básicos do Google Colab e sua interface. Aplicar o comando print para exibir textos em Python. Criar variáveis simples para armazenar dados reutilizáveis em código Python.</t>
  </si>
  <si>
    <t>Introdução, criação de notebooks e execução de células. Uso para exibir textos na tela e prática inicial de programação. Criação e manipulação de variáveis para personalizar saídas.</t>
  </si>
  <si>
    <t>EMIFMAT02</t>
  </si>
  <si>
    <t>Levantar e testar hipóteses sobre variáveis que interferem na explicação ou resolução de uma situação-problema, elaborando modelos com a linguagem matemática para analisá-la e avaliar sua adequação em termos de possíveis limitações, eficiência e possibilidades de generalização.</t>
  </si>
  <si>
    <t>Calculando pontos</t>
  </si>
  <si>
    <t>Identificar variáveis apropriadas para representar diferentes categorias em um problema. Calcular resultados combinando variáveis matematicamente em Python. Apresentar resultados de forma clara e explicativa utilizando strings formatadas.</t>
  </si>
  <si>
    <t>Armazenamento de valores associados a diferentes categorias em variáveis. Utilizar operações matemáticas com variáveis para calcular totais. Apresentar de forma clara de resultados no terminal usando concatenação de string e variável.</t>
  </si>
  <si>
    <t>EM13CO01</t>
  </si>
  <si>
    <t>(EM13CO01) Explorar e construir a solução de problemas por meio da reutilização de partes de soluções existentes.</t>
  </si>
  <si>
    <t>15 a 19/06</t>
  </si>
  <si>
    <t>Distribuindo itens</t>
  </si>
  <si>
    <t>Coletar entradas do usuário utilizando a função input para resolver problemas interativos.
Implementar cálculos matemáticos em Python para distribuir recursos de forma equitativa.
Exibir resultados utilizando print com mensagens claras e variáveis integradas.</t>
  </si>
  <si>
    <t>Uso de input para obter valores de usuários com descrições claras.
Divisão inteira, soma, e multiplicação para solucionar problemas práticos.
Determinar quantidades proporcionais de itens com base em condições.</t>
  </si>
  <si>
    <t>EM13CO01e EM13CO02</t>
  </si>
  <si>
    <t>Explorar e construir a solução de problemas por meio da reutilização de partes de soluções existentes.
Explorar e construir a solução de problemas por meio de refinamentos, utilizando diversos níveis de abstração desde a especificação até a implementação.</t>
  </si>
  <si>
    <t>Usando condicionais</t>
  </si>
  <si>
    <t>Coletar entradas de dados do usuário para definir as condições do problema. Utilizar estruturas condicionais (if e else) para validar cenários e tomar decisões. Validar a capacidade de transporte com base em restrições e apresentar resultados claros.</t>
  </si>
  <si>
    <t>Entrada de dados com input. Estruturas condicionais (if/else). Mensagens dinâmicas usando condições (positivo ou negativo).</t>
  </si>
  <si>
    <t>22 a 26/06</t>
  </si>
  <si>
    <t>37 e 38</t>
  </si>
  <si>
    <t>Avaliação da unidade: 
- Modelo Computacional: Simulação com planilhas
- Introdução a python - desafios de programação pt 1</t>
  </si>
  <si>
    <t>27 a 31/07</t>
  </si>
  <si>
    <t>39 e 40</t>
  </si>
  <si>
    <t>Anos Finais</t>
  </si>
  <si>
    <t>27/07 a 31/07</t>
  </si>
  <si>
    <t>Introdução a python: funções e loops</t>
  </si>
  <si>
    <t>Aprofundando condicionais</t>
  </si>
  <si>
    <t>Implementar condições encadeadas (if, elif, else) para validar múltiplos cenários em um programa.
Controlar o fluxo lógico do programa com base em entradas fornecidas pelos usuários.
Exibir os resultados baseados em regras condicionais utilizando mensagens claras.</t>
  </si>
  <si>
    <t>Uso de if, elif e else para decisões múltiplas.
Entrada de dados (input)
Modelagem e verificação de cenários complexos com múltiplas condições.</t>
  </si>
  <si>
    <t>(EM13CO01)</t>
  </si>
  <si>
    <t xml:space="preserve"> Explorar e construir a solução de problemas por meio da reutilização de partes de soluções existentes.</t>
  </si>
  <si>
    <t>Funções e cálculos</t>
  </si>
  <si>
    <t>Definir funções personalizadas em Python utilizando def para resolver problemas específicos.
Calcular resultados baseados em dados fornecidos, aplicando operadores matemáticos e funções embutidas.
Retornar valores de uma função e utilizá-los em outros contextos do programa.</t>
  </si>
  <si>
    <t>Estruturação de funções para cálculos específicos.
Identificação do maior valor em um conjunto de números usando função embutida max.
Organização do código para garantir execução correta e legibilidade.</t>
  </si>
  <si>
    <t xml:space="preserve">(EM13CO01)
(EM13CO02) </t>
  </si>
  <si>
    <t xml:space="preserve"> Explorar e construir a solução de problemas por meio da reutilização de partes de soluções existentes.
Explorar e construir a solução de problemas por meio de refinamentos, utilizando diversos níveis de abstração desde a especificação até a implementação.</t>
  </si>
  <si>
    <t>03/08 a 07/08</t>
  </si>
  <si>
    <t>Cálculo iterativo</t>
  </si>
  <si>
    <t>Implementar laços de repetição com a estrutura for para executar ações repetitivas.
Utilizar a função range() para definir intervalos numéricos em Python.
Exibir cálculos iterativos formatados de maneira clara e compreensível.</t>
  </si>
  <si>
    <t>Uso de for para iterar sobre intervalos definidos.
Definição de intervalos de números para iterações usando range.
Formatação de saída para apresentar cálculos.</t>
  </si>
  <si>
    <t>Criando desafios</t>
  </si>
  <si>
    <t>Desenvolver a habilidade de formular problemas computacionais claros e resolvíveis.
Elaborar enunciados de desafios que utilizem as estruturas aprendidas em Python.
Promover a troca de conhecimentos ao compartilhar e resolver desafios propostos por colegas.</t>
  </si>
  <si>
    <t>Formulação de problemas.
Aplicação das ferramentas aprendidas (laços, funções, condicionais).
Troca de desafios entre grupos ou indivíduos para prática e feedback.</t>
  </si>
  <si>
    <t>10/08 a 14/08</t>
  </si>
  <si>
    <t>Ciência de dados: construindo uma análise de dados com Python</t>
  </si>
  <si>
    <t>Análise exploratória</t>
  </si>
  <si>
    <t>Identificar padrões em dados coletados a partir de temas escolhidos, utilizando conceitos básicos de análise de dados.
Elaborar perguntas investigativas que direcionem a coleta de dados para uma análise exploratória.
Relacionar diferentes tipos de dados coletados com o tema escolhido, propondo hipóteses iniciais.</t>
  </si>
  <si>
    <t>Introdução à análise exploratória de dados
Definição de temática e perguntas
Reflexão sobre coleta de dados</t>
  </si>
  <si>
    <t xml:space="preserve">(EM13CO12) 
(EM13CO13) </t>
  </si>
  <si>
    <t>Produzir, analisar, gerir e compartilhar informações a partir de dados, utilizando princípios de ciência de dados.
Analisar e utilizar as diferentes formas de representação e consulta a dados em formato digital para pesquisas científicas.</t>
  </si>
  <si>
    <t>Criando formulários</t>
  </si>
  <si>
    <t>Construir formulários digitais utilizando ferramentas online para coletar dados.
Identificar formatos de perguntas adequados para análises de dados, considerando clareza e relevância.
Compartilhar formulários com diferentes públicos, expandindo a amostra de respostas coletadas.</t>
  </si>
  <si>
    <t>Introdução ao Google Forms
Configuração de perguntas
Distribuição do formulário</t>
  </si>
  <si>
    <t xml:space="preserve">
17/08 a 21/08</t>
  </si>
  <si>
    <t>Publicando dados</t>
  </si>
  <si>
    <t>Transferir dados coletados em formulários online para o Google Planilhas, organizando-os para análise.
Publicar e compartilhar dados no formato CSV, garantindo acessibilidade para análise em ferramentas externas.
Refletir sobre a clareza e a organização dos dados publicados, visando facilitar a interpretação por terceiros.</t>
  </si>
  <si>
    <t>Navegação na aba de respostas e visualização dos dados preenchidos.
Conversão de respostas em tabelas organizadas e adição de carimbo de data/hora.
Procedimento para compartilhar o link do arquivo com valores separados por vírgulas, destacando sua utilidade para análises no Google Colab e outros softwares.</t>
  </si>
  <si>
    <t>Introdução ao
Google Colab</t>
  </si>
  <si>
    <t>Validar</t>
  </si>
  <si>
    <t>Configurar o Google Colab para leitura e manipulação de dados utilizando a biblioteca pandas.
Criar e organizar células de texto e código no Google Colab para descrever e implementar análises.
Ler arquivos CSV no Google Colab e visualizar tabelas de dados para análise inicial.</t>
  </si>
  <si>
    <t>Criação de notebooks, organização de células de texto e código, e formatação de títulos e descrições.
Uso do Pandas para manipulação de dados, configurando o ambiente de programação.
Importação de arquivos CSV a partir de links publicados e visualização em formato tabular.</t>
  </si>
  <si>
    <t>24/08 a 28/08</t>
  </si>
  <si>
    <t>Avaliação da unidade:
- Introdução a python: funções e loops</t>
  </si>
  <si>
    <t>31/08 a 04/09</t>
  </si>
  <si>
    <t>Gráficos e insights</t>
  </si>
  <si>
    <t>Gerar histogramas a partir de dados tabulares usando a biblioteca Pandas.
Identificar valores atípicos (outliers) em histogramas e interpretar o significado deles nos dados analisados.
Elaborar resumos descritivos das informações extraídas dos gráficos, conectando-os aos objetivos da pesquisa.</t>
  </si>
  <si>
    <t>Uso do método .hist para visualização gráfica de colunas específicas.
Identificação de padrões, tendências e outliers nos histogramas gerados.
Inserção de resumos em células de texto no Google Colab, conectando os dados gráficos às inferências iniciais.</t>
  </si>
  <si>
    <t>Demonstrando a capacidade de:
Aplicar conceitos estatísticos e modelagem matemática na interpretação de dados em áreas como saúde pública, educação, cultura, economia, mercado de trabalho, desigualdades sociais e mudanças climáticas, utilizando tabelas, gráficos e medidas de tendência central e dispersão.</t>
  </si>
  <si>
    <t>Explorando frequências</t>
  </si>
  <si>
    <t>Utilizar o método value_counts do Pandas para agrupar e contar ocorrências em colunas de dados.
Identificar e interpretar padrões e valores discrepantes (outliers) nos dados analisados.
Comparar a distribuição dos dados coletados para levantar hipóteses sobre o comportamento das amostras.</t>
  </si>
  <si>
    <t>Uso do Pandas para agrupar e contar valores únicos em colunas específicas de uma tabela de dados.
Interpretação dos resultados agrupados, identificando comportamentos atípicos e frequências predominantes.
Introdução ao método para sumarizar estatísticas dos dados (describe), incentivando a exploração individual para aprofundamento.</t>
  </si>
  <si>
    <t>07/09 a 11/09</t>
  </si>
  <si>
    <t>Analisando médias</t>
  </si>
  <si>
    <t>Aplicar o método describe do Pandas para obter uma visão estatística dos dados, incluindo contagens, médias e percentis.
Comparar média e mediana para identificar a influência de outliers nos dados analisados.
Resumir os insights obtidos a partir das estatísticas descritivas para interpretar tendências e padrões nos dados.</t>
  </si>
  <si>
    <t>Extração de estatísticas básicas como média, desvio padrão, mínimos, máximos e percentis.
Cálculo e comparação para avaliar a presença de outliers e compreender a distribuição dos dados.
Organização e documentação das descobertas em células de texto para facilitar a interpretação e análise subsequente.</t>
  </si>
  <si>
    <t>Revisão do notebook</t>
  </si>
  <si>
    <t>Revisar e organizar o notebook do Google Colab, adicionando descrições claras e detalhadas em todas as etapas da análise.
Inserir resumos e destaques em pontos-chave do código e dos resultados para facilitar o entendimento por terceiros.
Refletir sobre os resultados obtidos e propor novas perguntas ou melhorias para futuras análises de dados.</t>
  </si>
  <si>
    <t>Inclusão de informações contextuais, como data da coleta de dados, e descrição detalhada de etapas e resultados.
Documentação dos principais insights e aspectos mais relevantes da análise de dados.
Reflexão sobre lacunas, melhorias e possibilidades de segmentação para futuras coletas e interpretações de dados.</t>
  </si>
  <si>
    <t>14/09 a 18/09</t>
  </si>
  <si>
    <t>21/09 a 25/09</t>
  </si>
  <si>
    <t>Avaliação da unidade:
- Ciência de dados: construindo uma análise de dados com Python</t>
  </si>
  <si>
    <t>28/09 a 02/10</t>
  </si>
  <si>
    <t>Inteligência Artificial: mapeando ideias e prototipando soluções</t>
  </si>
  <si>
    <t>Mapeando problemas</t>
  </si>
  <si>
    <t>Identificar incômodos do cotidiano.
Utilizar IA de forma inicial e intencional para organizar e priorizar problemas.
Formular uma frase-problema clara, indicando quem é afetado e quais impactos são gerados.</t>
  </si>
  <si>
    <t>Problema × solução (origem de produtos/startups).
Estrutura de formulação de problema (quem, dificuldade, consequência).
Uso inicial de IA para levantamento e priorização de ideias.</t>
  </si>
  <si>
    <t>(EM13CO10)
(EM13CO18)</t>
  </si>
  <si>
    <t xml:space="preserve"> Conhecer os fundamentos da Inteligência Artificial,
comparando-a com a inteligência humana, analisando suas
potencialidades, riscos e limites.
 Planejar e gerenciar projetos integrados às áreas de
conhecimento de forma colaborativa, solucionando problemas,
usando diversos artefatos computacionais.</t>
  </si>
  <si>
    <t>Criando personas</t>
  </si>
  <si>
    <t>Analisar o problema identificando afetados, frequência e consequências.
Utilizar IA como ferramenta investigativa, filtrando exageros e generalizações.Utilizar IA como ferramenta investigativa, filtrando exageros e generalizações.
Construir uma persona representativa conectada ao problema.</t>
  </si>
  <si>
    <t>Investigação contextual do problema.
Uso crítico da IA para aprofundamento de análise.
Construção de persona (perfil, dores, cenário de uso).</t>
  </si>
  <si>
    <t>05/10 a 09/10</t>
  </si>
  <si>
    <t>21 e 22</t>
  </si>
  <si>
    <t>Avaliação de Substituição do 3º bimestre</t>
  </si>
  <si>
    <t>Ideando protótipos</t>
  </si>
  <si>
    <t>Analisar múltiplas soluções possíveis antes de escolher uma.
Avaliar criticamente quais soluções fazem sentido como produto digital.
Selecionar e justificar uma solução principal conectada ao problema.</t>
  </si>
  <si>
    <t>Ideação de soluções
Critérios de escolha de solução.
Uso da IA para geração e comparação de alternativas.</t>
  </si>
  <si>
    <t>Prototipando no Figma</t>
  </si>
  <si>
    <t>Representar visualmente a solução por meio de um wireframe simples.
Utilizar IA e ferramentas digitais para estruturar uma página inicial.
Justificar escolhas visuais com base no problema e na persona.</t>
  </si>
  <si>
    <t>Protótipo e wireframe.
Organização visual e hierarquia de informações.
Figma IA</t>
  </si>
  <si>
    <t>(EM13CO18)
(EM13CO21)</t>
  </si>
  <si>
    <t xml:space="preserve"> Planejar e gerenciar projetos integrados às áreas de
conhecimento de forma colaborativa, solucionando problemas,
usando diversos artefatos computacionais.
 Comunicar ideias complexas de forma clara por meio
de objetos digitais como mapas conceituais, infográficos,
hipertextos e outros.</t>
  </si>
  <si>
    <t>12/10 a 16/10</t>
  </si>
  <si>
    <t>23 e 24</t>
  </si>
  <si>
    <t>19/10 a 23/10</t>
  </si>
  <si>
    <t xml:space="preserve">Avaliação da unidade:
- Inteligência Artificial: mapeando ideias e prototipando soluções
</t>
  </si>
  <si>
    <t>26/10 a 30/10</t>
  </si>
  <si>
    <t>Página web: do zero à primeira interação</t>
  </si>
  <si>
    <t>Primeiros passos no VSCode</t>
  </si>
  <si>
    <t>Criar um arquivo HTML e abri-lo em um navegador.
Identificar as tags HTML essenciais para a estrutura de uma página.
Utilizar tags de texto como h1 e p para formatar conteúdo</t>
  </si>
  <si>
    <t>Estrutura básica de um documento HTML.
Tags de título (h1) e parágrafo (p).
Recursos e atalhos do VSCode. (CTRL+B, ALT+Z, Ctrl+Espaço)</t>
  </si>
  <si>
    <t>Estrutura básica de HTML</t>
  </si>
  <si>
    <t>Estruturar um documento HTML com head, body e meta tags.
Inserir informações de autoria em um post de blog.
Analisar a importância da autoria e credibilidade em conteúdos online.</t>
  </si>
  <si>
    <t>Estrutura semântica do HTML (head, body, header, main).
Meta tags (charset, viewport, title).
Credibilidade e autoria em conteúdos digitais.</t>
  </si>
  <si>
    <t>(EM13CO23)</t>
  </si>
  <si>
    <t xml:space="preserve"> Analisar criticamente as experiências em comunidades virtuais e as relações advindas da interação e comunicação com outras pessoas, bem como seus impactos na sociedade.</t>
  </si>
  <si>
    <t>02/11 a 06/11</t>
  </si>
  <si>
    <t>Estilizando páginas com CSS</t>
  </si>
  <si>
    <t>Aplicar estilos CSS básicos a elementos HTML.
Utilizar propriedades CSS como background, color, margin e padding.
Verificar e aplicar contraste de cores para garantir acessibilidade.</t>
  </si>
  <si>
    <t>Sintaxe básica do CSS e inclusão de estilos.
Propriedades de estilização (background, color, margin, padding, text-align).
Acessibilidade visual e contraste de cores.</t>
  </si>
  <si>
    <t>(EM13CO15)</t>
  </si>
  <si>
    <t>Analisar a interação entre usuários e artefatos computacionais, abordando aspectos da experiência do usuário e promovendo reflexão sobre a qualidade do uso dos artefatos nas esferas do trabalho, do lazer e do estudo.</t>
  </si>
  <si>
    <t>Imagens e espaçamentos</t>
  </si>
  <si>
    <t>Identificar os elementos do modelo de caixa (conteúdo, padding, border e margin)
Aplicar o atributo alt na tag img para descrever imagens de forma acessível.
Compreender técnicas de prompt para gerar imagens coerentes com o contexto da página.</t>
  </si>
  <si>
    <t>Padding, border, margin.
Tag img, atributos src e alt.
Gemini para geração de imagem</t>
  </si>
  <si>
    <t>09/11 a 13/11</t>
  </si>
  <si>
    <t>Flexbox e Classes</t>
  </si>
  <si>
    <t>Compreender o comportamento padrão do display: block nos elementos HTML.
Explicar como display:flex e a divisão em divs alteram o posicionamento dos elementos.
Compreender e aplicar seletores de classe e combinadores para controlar quais elementos HTML recebem estilos específicos.</t>
  </si>
  <si>
    <t>Seletores CSS (tag, combinadores e classes)
Classes CSS e sua lógica de reutilização
font-weight</t>
  </si>
  <si>
    <t>Contador de likes em JavaScript</t>
  </si>
  <si>
    <t>Identificar as tags HTML button e span e suas funções básicas
Utilizar document.querySelector e addEventListener para capturar cliques
Implementar um contador de likes que atualiza o valor exibido no span</t>
  </si>
  <si>
    <t>Seleção de elementos com document.querySelector
Eventos em JavaScript (addEventListener)
Atualização de conteúdo com textContent e incremento (++)</t>
  </si>
  <si>
    <t>16/11 a 20/11</t>
  </si>
  <si>
    <t>33 e 34</t>
  </si>
  <si>
    <t>Abertura da avaliação da unidade:
- Página web: do zero à primeira interação</t>
  </si>
  <si>
    <t>Eventos em múltiplos elementos</t>
  </si>
  <si>
    <t>Reconhecer o papel do HTML, CSS e JavaScript na página
Compreender o uso do querySelectorAll para múltiplos elementos
Aplicar forEach para adicionar eventos a vários botões</t>
  </si>
  <si>
    <t>Estrutura básica: HTML, CSS e JavaScript
Seletores JS: querySelector e querySelectorAll
forEach e event listeners</t>
  </si>
  <si>
    <t>Lógica de curtidas</t>
  </si>
  <si>
    <t>Recordar o conceito de booleano e o uso do ===
Aplicar condicionais para limitar curtidas
Compreender o efeito do limite na interação do usuário</t>
  </si>
  <si>
    <t>Booleanos e operador ===
if/else e lógica de curtir/descurtir
Estado da página e compartilhamento do projeto</t>
  </si>
  <si>
    <t>(EM13CO01)
(EM13CO24)</t>
  </si>
  <si>
    <t xml:space="preserve">      Explorar e construir a solução de problemas por meio da reutilização de partes de soluções existentes.
 Identificar e reconhecer como as redes sociais e artefatos computacionais em geral interferem na saúde física e mental de seus usuários. </t>
  </si>
  <si>
    <t>23/11 a 27/11</t>
  </si>
  <si>
    <t xml:space="preserve">Avaliação da unidade:
- Página web: do zero à primeira interação
</t>
  </si>
  <si>
    <t>35 e 36</t>
  </si>
  <si>
    <t>30/11 a 04/12</t>
  </si>
  <si>
    <t>07/12 a 11/12</t>
  </si>
  <si>
    <t>Avaliação de Substituição do 4º bimestre</t>
  </si>
  <si>
    <t>02 a 06/02</t>
  </si>
  <si>
    <t>Mídias digitais: sua apresentação com autor IA.</t>
  </si>
  <si>
    <t>Apresentações com IA</t>
  </si>
  <si>
    <t>Identificar os elementos que compõem uma boa apresentação.
Compreender o conceito de inteligência artificial generativa e seu uso na criação de apresentações.
Relacionar situações do cotidiano com o uso de IA para comunicação e produção de conteúdo.</t>
  </si>
  <si>
    <t xml:space="preserve">A importância das apresentações na vida acadêmica e profissional.
Introdução à inteligência artificial generativa e suas aplicações.
Planejamento inicial da criação de uma apresentação com suporte de IA.
</t>
  </si>
  <si>
    <t>EM13CO22</t>
  </si>
  <si>
    <t>(EM13CO22) Produzir e publicar conteúdo como textos, imagens, áudios, vídeos e suas associações, bem como ferramentas para sua integração, organização e apresentação, utilizando diferentes mídias digitais.</t>
  </si>
  <si>
    <t>Do roteiro à estrutura</t>
  </si>
  <si>
    <t>Interpretar um roteiro de apresentação.
Aplicar instruções em uma ferramenta de IA para gerar uma estrutura inicial de apresentação.
Organizar um esqueleto de apresentação com início, meio e fim, adaptado ao tema estudado.</t>
  </si>
  <si>
    <t xml:space="preserve">Leitura e análise de roteiro para guiar a construção de uma apresentação.
Uso de inteligência artificial generativa para criar estruturas de apresentação.
Criação do esqueleto textual com base em dados e análises pessoais.
</t>
  </si>
  <si>
    <t>Do texto ao slide</t>
  </si>
  <si>
    <t>Transformar o esqueleto textual em estrutura visual de slides.
Adaptar conteúdos gerados por IA para o estilo e a linguagem pessoal de apresentação.
Selecionar modelos visuais adequados ao tema da apresentação utilizando ferramentas digitais.</t>
  </si>
  <si>
    <t>Conversão de esqueleto textual em apresentação visual.
Curadoria de elementos visuais (títulos, cores, quantidade de slides, estética e legibilidade).
o que o estudante aprende / principais conceitos / quais atividades ele faz.</t>
  </si>
  <si>
    <t>EM13CO19 e EM13CO22</t>
  </si>
  <si>
    <t>Expor, argumentar e negociar propostas, produtos e serviços, utilizando diferentes mídias e ferramentas digitais. 
Produzir e publicar conteúdo como textos, imagens, áudios, vídeos e suas associações, bem como ferramentas para sua integração, organização e apresentação, utilizando diferentes mídias digitais.</t>
  </si>
  <si>
    <t>Engenharia de prompt</t>
  </si>
  <si>
    <t>Revisar criticamente os conteúdos gerados por IA para adequação ao propósito comunicativo da apresentação.
Planejar a organização dos slides com base em estrutura lógica e coerente.
Desenvolver comandos (prompts) específicos e objetivos para orientar a produção de conteúdos pela IA.</t>
  </si>
  <si>
    <t>Análise crítica dos textos gerados por IA para apresentações.
Construção de prompts eficazes, com instruções claras sobre forma, conteúdo e formato.
Organização final dos slides: sequência, estrutura textual e foco no conteúdo essencial.</t>
  </si>
  <si>
    <t>EM13CO19</t>
  </si>
  <si>
    <t xml:space="preserve">Expor, argumentar e negociar propostas, produtos e serviços, utilizando diferentes mídias e ferramentas digitais. 
</t>
  </si>
  <si>
    <t>Examinar criticamente conteúdos digitais e midiáticos, mobilizando abordagens científicas e investigativas para avaliar aspectos de privacidade, representatividade e os impactos das redes sociais (...) enfrentamento da desinformação e das Fake News.</t>
  </si>
  <si>
    <t>3º série</t>
  </si>
  <si>
    <t>Melhorando o design</t>
  </si>
  <si>
    <t>Aprimorar a apresentação visual com ajustes de design, como tamanho de texto, alinhamento e destaques.
Inserir elementos visuais, como imagens geradas por IA, para enriquecer a compreensão do conteúdo.
Selecionar recursos gráficos e estilos visuais adequados ao tema da apresentação e ao público-alvo.</t>
  </si>
  <si>
    <t>Melhoria da legibilidade e organização dos slides (textos, fontes, espaçamento, alinhamento).
Inclusão de imagens como elementos complementares ao conteúdo apresentado.
Uso de IA integrada ao Canva para criação de imagens didáticas personalizadas.</t>
  </si>
  <si>
    <t>Apresentação em vídeo</t>
  </si>
  <si>
    <t>Explorar recursos multimídia (áudio e vídeo) para complementar apresentações digitais.
Utilizar ferramentas digitais para gravar apresentações com narração própria ou com voz gerada por IA.
Demonstrar autonomia na escolha entre diferentes formas de apresentar o conteúdo (vídeo, áudio, texto).</t>
  </si>
  <si>
    <t xml:space="preserve">Gravação de apresentações com áudio e vídeo no Canva.
Inserção de voz gerada por IA como alternativa à gravação com câmera.
Publicação e exportação do conteúdo multimídia final (em formato mp4).
</t>
  </si>
  <si>
    <t>Hora da ação</t>
  </si>
  <si>
    <t>Executar a apresentação final utilizando os recursos desenvolvidos ao longo da unidade.
Refletir sobre a clareza, autoria e organização dos conteúdos apresentados.
Validar se a apresentação digital cumpre os critérios de estrutura narrativa, coerência e personalização.</t>
  </si>
  <si>
    <t>Apresentação final do projeto em vídeo, presencial ou gravado.
Verificação de aspectos como autoria, clareza e narrativa dos slides.
Compartilhamento e publicação da apresentação digital (via link, vídeo ou arquivo).</t>
  </si>
  <si>
    <t>AutorIA</t>
  </si>
  <si>
    <t>Refletir criticamente sobre o processo de construção da apresentação com auxílio da inteligência artificial.
Avaliar os pontos positivos e negativos do uso de IA como ferramenta de apoio criativo.
Reconhecer o papel da autoria, da criatividade e da colaboração no processo de criação com IA.</t>
  </si>
  <si>
    <t xml:space="preserve">Avaliação crítica do uso da inteligência artificial na produção digital.
Identificação de momentos de autonomia criativa e colaboração com IA.
Expressão de sentimentos e percepções sobre o trabalho com tecnologia.
</t>
  </si>
  <si>
    <t>Analisar criticamente o impacto das TDICs na produção, circulação e recepção de informações, avaliando sua influência na construção do conhecimento, nas práticas sociais e no enfrentamento da desinformação.</t>
  </si>
  <si>
    <t>09 a 13/03</t>
  </si>
  <si>
    <t>Avaliação da unidade: 
- Mídias digitais: sua apresentação com autor IA.</t>
  </si>
  <si>
    <t>Planilhas: analisando dados sobre acessibilidade na sua comunidade pt 1</t>
  </si>
  <si>
    <t>Construindo o formulário</t>
  </si>
  <si>
    <t>Utilizar o Google Formulários para criar uma pesquisa quantitativa.
Elaborar perguntas eficazes, selecionando os tipos de resposta adequados.
Organizar e formatar as perguntas do formulário de pesquisa.</t>
  </si>
  <si>
    <t>Google Formulários.
Pesquisa Quantitativa.
Tipos de Perguntas.</t>
  </si>
  <si>
    <t>EM13CO13
EM13CO22</t>
  </si>
  <si>
    <t>(EM13CO13) Analisar e utilizar as diferentes formas de representação e consulta a dados em formato digital para pesquisas científicas.
(EM13CO22) Produzir e publicar conteúdo como textos, imagens, áudios, vídeos e suas associações, bem como ferramentas para sua integração, organização e apresentação, utilizando diferentes mídias digitais.</t>
  </si>
  <si>
    <t>Demonstrando a capacidade de: Aplicar conceitos estatísticos e modelagem matemática na interpretação de dados em áreas como saúde pública, educação, cultura, economia, mercado de trabalho, desigualdades sociais e mudanças climáticas, utilizando tabelas, gráficos e medidas de tendência central e dispersão.</t>
  </si>
  <si>
    <t>Formulário com seções</t>
  </si>
  <si>
    <t>Implementar lógica condicional em formulários para direcionar o fluxo de perguntas.
Revisar e finalizar um formulário de pesquisa para garantir a coleta de dados desejada.
Publicar e compartilhar o formulário, ajustando as configurações de privacidade.</t>
  </si>
  <si>
    <t>Lógica Condicional em Formulários.
Publicação de Formulários.
Privacidade de Dados.</t>
  </si>
  <si>
    <t>Primeiros passos com planilhas</t>
  </si>
  <si>
    <t>Exportar dados de um formulário para o Google Planilhas.
Organizar dados em planilhas, renomeando e manipulando colunas.
Aplicar filtros para explorar e analisar subconjuntos de dados.</t>
  </si>
  <si>
    <t>Google Planilhas.
Exportação de Dados.
Filtragem de Dados.</t>
  </si>
  <si>
    <t>EM13CO13</t>
  </si>
  <si>
    <t xml:space="preserve">Analisar e utilizar as diferentes formas de representação e consulta a dados em formato digital para pesquisas científicas. </t>
  </si>
  <si>
    <t>Visualizando seus dados</t>
  </si>
  <si>
    <t>Classificar e organizar dados em planilhas para facilitar a análise.
Gerar gráficos adequados (pizza, histograma) para visualizar diferentes tipos de dados.
Interpretar gráficos para extrair conclusões sobre os dados coletados.</t>
  </si>
  <si>
    <t>Classificação de Dados.
Tipos de Gráficos.
Interpretação Visual de Dados.</t>
  </si>
  <si>
    <t>Interpretar representações gráficas de dados sociais e ambientais, utilizando ferramentas digitais para comunicar as informações e apoiar a compreensão de questões relacionadas à emergência climática e outros elementos críticos relacionados à sustentabilidade socioambiental.</t>
  </si>
  <si>
    <t>Avaliação das unidades: 
- Planilhas: analisando dados sobre acessibilidade na sua comunidade pt 1</t>
  </si>
  <si>
    <t>Planilhas: analisando dados sobre acessibilidade na sua comunidade pt 2</t>
  </si>
  <si>
    <t>Fórmulas e estatística</t>
  </si>
  <si>
    <t>Aplicar fórmulas como MÉDIA e MEDIANA para calcular estatísticas descritivas. Utilizar a função CONT.SE para quantificar ocorrências específicas nos dados. Explorar as estatísticas da coluna para uma análise rápida e eficiente dos dados.</t>
  </si>
  <si>
    <t>Fórmulas de Planilha (MÉDIA, MEDIANA, CONT.SE). Análise Estatística Básica. Identificação de Discrepâncias.</t>
  </si>
  <si>
    <t>(EM13CO13) Analisar e utilizar as diferentes formas de representação e consulta a dados em formato digital para pesquisas científicas.</t>
  </si>
  <si>
    <t>Introdução à criação de apresentações</t>
  </si>
  <si>
    <t>Utilizar o Canva IA para iniciar a criação de apresentações de forma eficiente. Fornecer instruções claras à IA para gerar designs relevantes e contextualizados. Estruturar uma apresentação com base nos resultados e conclusões da pesquisa.</t>
  </si>
  <si>
    <t>Canva IA. Geração de Apresentações. Estruturação de Conteúdo.</t>
  </si>
  <si>
    <t>Apresentação com dados e gráficos</t>
  </si>
  <si>
    <t>Integrar elementos visuais e gráficos dinâmicos em apresentações do Canva. Vincular dados do Google Planilhas ao Canva para criar gráficos personalizados. Comparar visualmente diferentes conjuntos de dados para reforçar conclusões.</t>
  </si>
  <si>
    <t>Integração Canva-Planilhas. Geração de Gráficos no Canva. Visualização Comparativa de Dados.</t>
  </si>
  <si>
    <t>Compartilhando seu projeto</t>
  </si>
  <si>
    <t>Refinar o design e a identidade visual da apresentação no Canva. Utilizar ferramentas de IA para gerar e integrar imagens relevantes. Preparar e compartilhar a apresentação final para diferentes públicos.</t>
  </si>
  <si>
    <t>Design de Apresentações. Geração de Imagens com IA. Estratégias de Compartilhamento.</t>
  </si>
  <si>
    <t>Produzir e publicar conteúdo como textos, imagens, áudios, vídeos e suas associações, bem como ferramentas para sua integração, organização e apresentação, utilizando diferentes mídias digitais.</t>
  </si>
  <si>
    <t>Avaliação das unidades: 
- Planilhas: analisando dados sobre acessibilidade na sua comunidade pt 2</t>
  </si>
  <si>
    <t xml:space="preserve">Segurança digital com criptografia em python. </t>
  </si>
  <si>
    <t>Criptografando informações</t>
  </si>
  <si>
    <t>Compreender o princípio básico da criptografia por substituição.
Implementar um algoritmo de cifra simples utilizando iteração de strings e conversão de tipos em Python.
Analisar o processo de transformação de caracteres em um algoritmo de criptografia.</t>
  </si>
  <si>
    <t>Criptografia por substituição.
Iteração de strings em Python.
Conversão de tipos (int, str).</t>
  </si>
  <si>
    <t>(EM13C002)</t>
  </si>
  <si>
    <t>(EM13C002) Explorar e construir a solução de problemas por meio de refinamentos, utilizando diversos níveis de abstração desde a especificação até a implementação.</t>
  </si>
  <si>
    <t>Compreender os impactos do uso das tecnologias nas relações interpessoais, analisando seus benefícios e os desafios éticos, como segurança, privacidade, exclusão digital, acessibilidade e inclusão social, e aplicando conceitos matemáticos como estatísticas, modelagem matemática, e análise de dados para abordar questões de justiça e Direitos Humanos no contexto sociocultural e ambiental.</t>
  </si>
  <si>
    <t>Criptografando letras</t>
  </si>
  <si>
    <t xml:space="preserve">
Vìdeo</t>
  </si>
  <si>
    <t>Converter caracteres em seus valores ASCII e vice-versa.
Construir uma tabela de substituição para criptografar letras.
Desenvolver uma função em Python para aplicar uma cifra de substituição em texto.</t>
  </si>
  <si>
    <t>Conversão de tipos (int, str).
Tabela ASCII e função ord()
Cifras de substituição com tabelas</t>
  </si>
  <si>
    <t>Refinando a cifra</t>
  </si>
  <si>
    <t>Aplicar lógica condicional para tratar diferentes tipos de caracteres em uma cifra.
Refinar algoritmos de criptografia para lidar com exceções.
Testar a robustez de uma função de codificação com entradas variadas.</t>
  </si>
  <si>
    <t>Estruturas condicionais (if/else)
Tratamento de exceções em criptografia
Refinamento de algoritmos</t>
  </si>
  <si>
    <t>(EM13C002)
(EM13C008)</t>
  </si>
  <si>
    <t>(EM13C002) Explorar e construir a solução de problemas por meio de refinamentos, utilizando diversos níveis de abstração desde a especificação até a implementação.
(EM13CO08) Entender como mudanças na tecnologia afetam a segurança, incluindo novas maneiras de preservar sua privacidade e dados pessoais on-line, reportando suspeitas e buscando ajuda em situações de risco.</t>
  </si>
  <si>
    <t>Elaborar modelos matemáticos, por meio do uso de ferramentas tecnológicas digitais e da sistematização de dados e evidências, para a representação, investigação e solução de problemas interdisciplinares, considerando critérios científicos, éticos e sociais e favorecendo a formação integral e a intervenção sociocultural.</t>
  </si>
  <si>
    <t>Hash</t>
  </si>
  <si>
    <t>Compreender o conceito de transformar texto em um valor numérico único.
Compreender e implementar uma transformação de senha baseada em acumulação de valores.
Analisar as implicações da transformação numérica de textos quanto à reversibilidade da informação.</t>
  </si>
  <si>
    <t>Introdução a funções hash
Acumulação de valores numéricos
Transformações unidirecionais de dados</t>
  </si>
  <si>
    <t>Segurança digital com criptografia em python.</t>
  </si>
  <si>
    <t>Hash aprimorado</t>
  </si>
  <si>
    <t>Modificar um algoritmo de hash para que a ordem dos caracteres influencie o resultado.
Organizar o código de hash em uma função reutilizável.
Compreender a importância de limitar o tamanho de um hash para eficiência computacional.</t>
  </si>
  <si>
    <t>Hashing sensível à ordem
Reutilização de código com funções
Operador módulo para limitar valores</t>
  </si>
  <si>
    <t>Autenticação segura</t>
  </si>
  <si>
    <t>Aplicar funções hash para armazenar e verificar senhas de forma segura.
Comparar hashes para autenticação de usuários sem expor a senha original.
Compreender a importância de não armazenar senhas em texto claro em bancos de dados.</t>
  </si>
  <si>
    <t>Autenticação de senhas com hash
Segurança no armazenamento de credenciais
Comparação de valores hash</t>
  </si>
  <si>
    <t>(EM13C008)</t>
  </si>
  <si>
    <t>(EM13CO08) Entender como mudanças na tecnologia afetam a segurança, incluindo novas maneiras de preservar sua privacidade e dados pessoais on-line, reportando suspeitas e buscando ajuda em situações de risco.</t>
  </si>
  <si>
    <t>Combinações</t>
  </si>
  <si>
    <t>Compreender o conceito de ataque de força bruta e suas aplicações.
Utilizar a biblioteca itertools para gerar todas as combinações possíveis.
Analisar a eficiência de testar todas as possibilidades em um problema.</t>
  </si>
  <si>
    <t>Ataques de força bruta
Geração de combinações com itertools
Listas e iteração em Python</t>
  </si>
  <si>
    <t>(EM13C001)</t>
  </si>
  <si>
    <t>(EM13C001) Explorar e construir a solução de problemas por meio da reutilização de partes de soluções existentes.</t>
  </si>
  <si>
    <t xml:space="preserve"> Ataque de força bruta</t>
  </si>
  <si>
    <t>Simular um ataque de força bruta para quebrar uma senha com hash.
Analisar a relação entre o tamanho da senha e a dificuldade de um ataque de força bruta.
Identificar a importância de senhas fortes e atualizadas para a segurança digital.</t>
  </si>
  <si>
    <t>Simulação de ataque de força bruta
Dicionários de caracteres para ataques
Impacto do tamanho da senha na segurança</t>
  </si>
  <si>
    <t>Avaliação das unidades: 
Segurança digital com criptografia em python.</t>
  </si>
  <si>
    <t>Avaliação de recuperação do bimestre</t>
  </si>
  <si>
    <t>Ciência de dados: prevendo padrões de qualidade de vida da turma</t>
  </si>
  <si>
    <t>Planejando a investigação</t>
  </si>
  <si>
    <t>Compreender o ciclo de ciência de dados e a importância da ordenação e aleatoriedade para a organização de informações. 
Implementar algoritmos clássicos (Bubble Sort e Fisher-Yates) e estruturas de repetição para manipular listas dinâmicas. 
Construir sistemas de decisão lógica e pontuação utilizando variáveis acumuladoras e operadores condicionais encadeados.</t>
  </si>
  <si>
    <t>Estruturas de Controle e Repetição: Laços for e while, condicionais if/elif/else e funções de intervalo range(). 
Manipulação de Listas: Métodos append, pop, remove, fatiamento (slicing), ordenação (sort) e embaralhamento (shuffle). 
Lógica e Abstração: Ciclo de Ciência de Dados, algoritmos de troca (swapping), importação de bibliotecas e depuração de índices.</t>
  </si>
  <si>
    <t>(EM13CO12)</t>
  </si>
  <si>
    <t xml:space="preserve"> Produzir, analisar, gerir e compartilhar informações a partir de dados, utilizando princípios de ciência de dados.
</t>
  </si>
  <si>
    <t>Primeiros gráficos</t>
  </si>
  <si>
    <t>Identificar o histograma como uma ferramenta visual para representar a distribuição de frequências de um conjunto de dados. 
Empregar a biblioteca matplotlib.</t>
  </si>
  <si>
    <t>Visualização de Dados: Importação da biblioteca matplotlib.pyplot e funções de plotagem (hist, show). 
Customização de Gráficos: Parâmetros de barras (bins), cores, rótulos de eixos (xlabel, ylabel) e títulos. 
Exploração de Ferramentas: Uso de IA para descoberta de novos tipos de gráficos e sistemas de cores (nomes e hexadecimais).</t>
  </si>
  <si>
    <t>Resumindo dados em poucos números</t>
  </si>
  <si>
    <t>Diferenciar as medidas de tendência central (média e mediana) e de dispersão (desvio padrão) para interpretar conjuntos de dados. 
Calcular estatísticas descritivas básicas utilizando a biblioteca numpy e aplicá-las em contextos reais. 
Avaliar criticamente situações em que a média pode não representar fielmente a realidade de um grupo, utilizando a mediana como alternativa.</t>
  </si>
  <si>
    <t>Estatística Descritiva: Conceitos de média, mediana e desvio padrão aplicados à análise de dados. 
Biblioteca Numpy: Uso das funções np.mean, np.median e np.std para processamento numérico. 
Visualização Estatística: Plotagem de linhas de tendência (axvline) e áreas de variação (axvspan) em histogramas.</t>
  </si>
  <si>
    <t>Modelos: simulando para entender</t>
  </si>
  <si>
    <t>Compreender o conceito de modelo computacional como uma representação simplificada da realidade para fins de estudo e previsão. Simular grandes conjuntos de dados utilizando a distribuição normal e parâmetros estatísticos (média e desvio padrão). Analisar a influência do tamanho da amostra (parâmetro size) na formação da curva de distribuição de um fenômeno natural.</t>
  </si>
  <si>
    <t>Modelagem Computacional: Definição de modelos, parâmetros (loc, scale) e utilidade das simulações na ciência. 
Distribuição Normal: Geração de dados aleatórios com np.random.normal e visualização de densidade populacional. 
Exploração de Fenômenos: Uso de distribuições alternativas (uniforme, exponencial, poisson) para simular diferentes contextos reais.</t>
  </si>
  <si>
    <t xml:space="preserve">(EM13CO11) </t>
  </si>
  <si>
    <t>Discutir a eficácia de modelos matemáticos na previsão de cenários políticos, econômicos, sociais, epidemiológicos e ambientais, considerando limitações e incertezas por meio da análise de padrões, variações e simulações; e</t>
  </si>
  <si>
    <t>A regra 68-95-99,7 e por que amostras pequenas mentem</t>
  </si>
  <si>
    <t>Demonstrar a regra empírica da distribuição normal (68-95-99,7) através de testes computacionais com grandes volumes de dados. 
Avaliar o impacto da variabilidade amostral, reconhecendo que amostras pequenas podem gerar estimativas imprecisas da realidade. 
Empregar ferramentas de IA para a depuração de erros de execução e interpretação de mensagens do sistema em Python.</t>
  </si>
  <si>
    <t>Regra Empírica: Concentração de dados em torno da média dentro de 1, 2 e 3 desvios padrões. 
Variabilidade Amostral: Diferença entre a média populacional e as médias estimadas por amostras de diferentes tamanhos (np.random.choice). 
Depuração de Erros: Identificação e correção de falhas de lógica e sintaxe, como o acesso a índices fora do intervalo ou tamanhos de amostra inválidos.</t>
  </si>
  <si>
    <t>Demonstrando a capacidade de:
Identificar dados relacionados a desafios sociais, econômicos e ambientais, por meio de ferramentas tecnológicas e representações gráficas para organizar e visualizar as informações de maneira estruturada.</t>
  </si>
  <si>
    <t>Intervalo de confiança</t>
  </si>
  <si>
    <t>Calcular o intervalo de confiança utilizando o erro padrão para quantificar a incerteza estatística de uma amostra. 
Interpretar o intervalo de confiança como uma faixa de probabilidade que contém o valor real da média populacional. 
Empregar analogias e explicações conceituais assistidas por IA para traduzir termos técnicos abstratos em linguagem acessível.</t>
  </si>
  <si>
    <t>Incerteza Amostral: Conceitos de erro padrão e a relação entre desvio padrão e tamanho da amostra (np.sqrt). 
Intervalos de Confiança (IC): Aplicação prática das margens de 95% (2 sigma) e 99% (3 sigma) em Python. 
Estratégias de Estudo: Uso de analogias para compreensão de conceitos estatísticos e desenvolvimento de funções reutilizáveis.</t>
  </si>
  <si>
    <t>(EM13CO11)
(EM13CO12)</t>
  </si>
  <si>
    <t>Criar e explorar modelos computacionais simples para simular e fazer previsões, identificando sua importância no desenvolvimento científico.
Produzir, analisar, gerir e compartilhar informações a partir de dados, utilizando princípios de ciência de dados.</t>
  </si>
  <si>
    <t>Quando o IC funciona... e quando ele falha</t>
  </si>
  <si>
    <t>Demonstrar a eficácia do intervalo de confiança (IC) através de experimentos repetidos de simulação (Monte Carlo). 
Analisar criticamente as limitações dos modelos estatísticos em cenários do mundo real, como pesquisas eleitorais e fenômenos voláteis. 
Distinguir entre incerteza estatística (tamanho da amostra) e incerteza temporal ou metodológica (viés e mudanças rápidas).</t>
  </si>
  <si>
    <t>Validação de Modelos: Teste de cobertura de múltiplos intervalos de confiança e taxa de acerto em relação à média verdadeira. 
Dinâmicas de Dados: Diferenciação entre fenômenos estáveis (lentos) e fenômenos voláteis (rápidos) e o impacto na validade da pesquisa. 
Pensamento Crítico e IA: Investigação de casos reais de erro em pesquisas e uso de ferramentas de IA para verificação de afirmações históricas.</t>
  </si>
  <si>
    <t>Coleta real, análise e compartilhamento</t>
  </si>
  <si>
    <t>Executar o ciclo completo de uma pesquisa de ciência de dados, desde a coleta de dados reais até a comunicação dos resultados obtidos. 
Comparar dados reais da turma com os modelos teóricos simulados, identificando discrepâncias e padrões específicos do grupo. 
Sintetizar descobertas complexas em conclusões acessíveis, utilizando suporte de IA para refinar a linguagem e identificar limitações metodológicas.</t>
  </si>
  <si>
    <t>Integração de Dados: Importação e manipulação de arquivos CSV utilizando a biblioteca pandas e integração de funções personalizadas. 
Análise Comparativa: Confronto entre estatísticas amostrais reais (média, desvio e IC) e parâmetros de modelos simulados. 
Comunicação Científica: Elaboração de relatórios, interpretação de intervalos de confiança sem jargão técnico e reconhecimento de vieses de pesquisa.</t>
  </si>
  <si>
    <t xml:space="preserve">Avaliação da unidade:
- Ciência de dados: prevendo padrões de qualidade de vida da turma
</t>
  </si>
  <si>
    <t>Página web: meu primeiro flashcard</t>
  </si>
  <si>
    <t>Combatendo a desinformação</t>
  </si>
  <si>
    <t>Compreender o fenômeno das notícias falsas e seu impacto social. 
Analisar a importância da verificação de informações online. 
Elaborar flashcards manuais para diferenciar informações verdadeiras e falsas.</t>
  </si>
  <si>
    <t>Notícias Falsas (Fake News). 
Verificação de Informações. 
Flashcards (Técnica de Estudo).</t>
  </si>
  <si>
    <t xml:space="preserve">(EM13CO23)
(EM13CO24) </t>
  </si>
  <si>
    <t xml:space="preserve"> Analisar criticamente as experiências em comunidades virtuais e as relações advindas da interação e comunicação com outras pessoas, bem como seus impactos na sociedade.
Identificar e reconhecer como as redes sociais e artefatos computacionais em geral interferem na saúde física e mental de seus usuários.</t>
  </si>
  <si>
    <t>HTML: o esqueleto da Web</t>
  </si>
  <si>
    <t>Configurar o ambiente de desenvolvimento utilizando o Visual Studio Code Web. 
Criar a estrutura básica de um documento HTML (head, body, header, main e footer). 
Compreender a função das principais tags HTML para a organização de conteúdo.</t>
  </si>
  <si>
    <t>Visual Studio Code Web. 
Estrutura HTML (Tags head, body, header, main, footer). 
Organização de Documentos Web.</t>
  </si>
  <si>
    <t>(EM13CO22) 
(EM13CO25)</t>
  </si>
  <si>
    <t>Produzir e republicar conteúdo com textos, imagens, áudios, vídeos e suas associações, bem como ferramentas para sua integração, organização e apresentação, utilizando diferentes mídias digitais.
 Dialogar em ambientes virtuais com segurança e respeito às diferenças culturais e pessoais, reconhecendo e denunciando atitudes abusivas.</t>
  </si>
  <si>
    <t>Hierarquia de informação</t>
  </si>
  <si>
    <t>Inserir títulos, links e navegação em um documento HTML. 
Estruturar o conteúdo principal utilizando tags semânticas como article e div. 
Incorporar imagens e parágrafos para compor o flashcard.</t>
  </si>
  <si>
    <t>Tags HTML Semânticas (H1, H2, nav, article). 
Links e Imagens em HTML (a href, img src alt). 
Estruturação de Conteúdo com div e p.</t>
  </si>
  <si>
    <t xml:space="preserve">(EM13CO22) </t>
  </si>
  <si>
    <t>Produzir e republicar conteúdo com textos, imagens, áudios, vídeos e suas associações, bem como ferramentas para sua integração, organização e apresentação, utilizando diferentes mídias digitais.</t>
  </si>
  <si>
    <t>Hora de estilizar a página</t>
  </si>
  <si>
    <t>Criar e conectar um arquivo CSS a um documento HTML. 
Utilizar classes para identificar e estilizar elementos específicos. 
Aplicar propriedades CSS para controlar margens, preenchimentos, largura e altura.</t>
  </si>
  <si>
    <t>CSS (Cascading Style Sheets). 
Seletores de Classe CSS. 
Propriedades de Layout (margin, padding, width, height).</t>
  </si>
  <si>
    <t>Avaliação da unidade:
- Página web: meu primeiro flashcard</t>
  </si>
  <si>
    <t>Página web: flashcards com HTML e CSS</t>
  </si>
  <si>
    <t>Layout Flexível</t>
  </si>
  <si>
    <t>Aplicar display: flex para criar contêineres flexíveis. 
Utilizar justify-content e align-items para alinhar e espaçar elementos. 
Configurar o layout da página para que o rodapé permaneça no final.</t>
  </si>
  <si>
    <t>Flexbox (Display Flex). 
Alinhamento e Distribuição de Conteúdo (justify-content, align-items). 
Layout Responsivo Básico (min-height, flex-direction).</t>
  </si>
  <si>
    <t>Cores e Estilos no CSS</t>
  </si>
  <si>
    <t>Aplicar propriedades CSS para definir cores de fundo e de texto em elementos HTML. 
Ajustar o contraste e a legibilidade de textos para melhorar a experiência do usuário. 
Modificar o tamanho da fonte e remover decorações de links para aprimorar o design visual.</t>
  </si>
  <si>
    <t>Propriedades CSS para cores (background-color, color).
Formatos de cor (nomes, hexadecimal).
Propriedades CSS para texto (text-decoration, font-size, contraste).</t>
  </si>
  <si>
    <t>Posicionamento CSS</t>
  </si>
  <si>
    <t>Utilizar position: relative e position: absolute para sobrepor elementos. 
Aplicar border-radius para arredondar as bordas dos cartões. 
Adicionar box-shadow com RGBA para criar efeitos de sombreamento.</t>
  </si>
  <si>
    <t>Posicionamento CSS (position: relative, absolute). 
Estilização de Bordas (border-radius). 
Efeitos de Sombra (box-shadow com RGBA).</t>
  </si>
  <si>
    <t>Virando o Card</t>
  </si>
  <si>
    <t>Implementar a visibilidade da face traseira e a rotação 3D para o efeito de flashcard. 
Criar transições suaves e efeitos hover para interatividade. 
Organizar múltiplos flashcards em um layout flexível com espaçamento.</t>
  </si>
  <si>
    <t>Animações CSS (transform, transition). 
Interatividade (:hover, backface-visibility, transform-style). 
Layout de Múltiplos Elementos (section, gap).</t>
  </si>
  <si>
    <t>Avaliação da unidade:
Página web: flashcards com HTML e CSS</t>
  </si>
  <si>
    <t>UX e acessibilidade: desenvolvendo interfaces inclusivas</t>
  </si>
  <si>
    <t>Desenvolvendo apps com Gemini</t>
  </si>
  <si>
    <t>Identificar partes reutilizáveis em soluções web; 
Criar uma estrutura inicial com HTML e CSS; 
Utilizar IA como ferramenta de apoio para a geração do código base;</t>
  </si>
  <si>
    <t>HTML e CSS;
IA generativa;
Reutilização de código</t>
  </si>
  <si>
    <t xml:space="preserve">(EM13CO01) 
(EM13CO26) </t>
  </si>
  <si>
    <t xml:space="preserve">Explorar e construir a solução de problemas por meio da reutilização de partes de soluções existentes.
Aplicar os conceitos e pressupostos do direito digital em sua conduta e experiências com o cotidiano da cultura digital, bem como na produção e uso de artefatos computacionais. </t>
  </si>
  <si>
    <t xml:space="preserve">Criar produções artísticas e culturais a partir de diferentes linguagens e suportes, mobilizando referências estéticas, históricas e identitárias na promoção de equidade, justiça social e valorização da diversidade cultural e dos Direitos Humanos; </t>
  </si>
  <si>
    <t>Criando um modal de ajuda</t>
  </si>
  <si>
    <t>Identificar formas de interação em interfaces; 
Melhorar a experiência com elementos visuais; 
Estruturar componentes semânticos;</t>
  </si>
  <si>
    <t>Modal;
CSS layout;
Semântica HTML</t>
  </si>
  <si>
    <t xml:space="preserve">(EM13CO15) </t>
  </si>
  <si>
    <t>Programando interações</t>
  </si>
  <si>
    <t>Implementar interações com JavaScript; 
Manipular elementos do DOM; 
Controlar estados de interface;</t>
  </si>
  <si>
    <t>DOM; 
Eventos; 
Funções JS.</t>
  </si>
  <si>
    <t>Direitos digitais</t>
  </si>
  <si>
    <t>Compreender conceitos de direito digital; 
Analisar situações de risco na internet; 
Relacionar leis ao uso cotidiano;</t>
  </si>
  <si>
    <t>LGPD;
Marco Civil da Internet; 
Segurança digital.</t>
  </si>
  <si>
    <t xml:space="preserve">(EM13CO26) </t>
  </si>
  <si>
    <t>Aplicar os conceitos e pressupostos do direito digital em sua conduta e experiências com o cotidiano da cultura digital, bem como na produção e uso de artefatos computacionais.</t>
  </si>
  <si>
    <t>Acessibilidade web</t>
  </si>
  <si>
    <t>Analisar e comparar a experiência do usuário em interfaces; 
Identificar barreiras de acessibilidade; 
Projetar soluções inclusivas;</t>
  </si>
  <si>
    <t>UX ;
HCI; 
Acessibilidade</t>
  </si>
  <si>
    <t>Tamanho da fonte</t>
  </si>
  <si>
    <t>Implementar controle de tamanho de fonte; 
Manipular estilos via JavaScript; 
Aplicar lógica de programação básica;</t>
  </si>
  <si>
    <t>Variáveis; 
Eventos; 
Estilo dinâmico.</t>
  </si>
  <si>
    <t xml:space="preserve">(EM13CO01) 
(EM13CO15) </t>
  </si>
  <si>
    <t xml:space="preserve">Explorar e construir a solução de problemas por meio da reutilização de partes de soluções existentes.
Analisar a interação entre usuários e artefatos computacionais, abordando aspectos da experiência do usuário e promovendo reflexão sobre a qualidade do uso dos artefatos nas esferas do trabalho, do lazer e do estudo. </t>
  </si>
  <si>
    <t>Abertura da avaliação da unidade:
- Página web: flashcards com HTML e CSS</t>
  </si>
  <si>
    <t>Leitura em voz alta</t>
  </si>
  <si>
    <t>Implementar leitura em voz alta; 
Controlar estados de execução de funções; 
Integrar recursos nativos do navegador;</t>
  </si>
  <si>
    <t>Speech API;
Controle de estado; 
Acessibilidade.</t>
  </si>
  <si>
    <t>Finalizando o projeto</t>
  </si>
  <si>
    <t>Implementar lógica condicional em JS; 
Analisar e corrigir bugs no código; 
Aprimorar estilizações em CSS.</t>
  </si>
  <si>
    <t>Condicionais; 
SpeechSynthesis; 
CSS.</t>
  </si>
  <si>
    <t>Avaliação da unidade:
UX e acessibilidade: desenvolvendo interfaces inclusivas</t>
  </si>
  <si>
    <t>Autoconhecimento e desenvolvimento pessoal</t>
  </si>
  <si>
    <t>• Entusiasmo.
• Curiosidade para aprender.</t>
  </si>
  <si>
    <t>Identidade pessoal e interação social.</t>
  </si>
  <si>
    <t>Construindo conexões no Ensino Médio</t>
  </si>
  <si>
    <t xml:space="preserve">
• A importância de conhecer os outros e as experiências que eles trazem.
• Introdução ao componente Projeto de Vida no Ensino Médio.</t>
  </si>
  <si>
    <t>• Promover a integração entre os alunos e o desenvolvimento de uma rede de apoio e inspiração mútua.
• Apresentar o Projeto de Vida e a importância desse componente na jornada escolar e pessoal dos alunos.</t>
  </si>
  <si>
    <t xml:space="preserve"> Curiosidade para aprender.</t>
  </si>
  <si>
    <t>Projeto de Vida.</t>
  </si>
  <si>
    <t>Um novo capítulo, um novo projeto de vida</t>
  </si>
  <si>
    <t>• Retomada do Projeto de Vida.
• Diferenças entre o Ensino Fundamental e o Ensino Médio.</t>
  </si>
  <si>
    <t>• Retomar trajetória no componente de Projeto de Vida.
• Refletir sobre a transição do Ensino Fundamental para o Ensino Médio.</t>
  </si>
  <si>
    <t>Imaginação criativa e interesse artístico.</t>
  </si>
  <si>
    <t>Identidade ao longo do tempo.</t>
  </si>
  <si>
    <t>O que quero ser agora que cresci?</t>
  </si>
  <si>
    <t>Análise das mudanças de aspirações ao longo do tempo.</t>
  </si>
  <si>
    <t>Expressar sentimentos e percepções sobre mudanças de sonhos e identidade por meio de produções artísticas.</t>
  </si>
  <si>
    <t>Autoconfiança.</t>
  </si>
  <si>
    <t>Linha do tempo pessoal.</t>
  </si>
  <si>
    <t>Caminhos e Marcos: Construindo a Sua Linha do Tempo</t>
  </si>
  <si>
    <t>• Conceito de linha do tempo como uma ferramenta de reflexão.
• Influências na trajetória e identidade.</t>
  </si>
  <si>
    <t>• Ajudar os estudantes a refletir sobre suas trajetórias.
• Iniciar a produção de uma linha do tempo pessoal, com ajuda da rede de apoio do estudante.</t>
  </si>
  <si>
    <t>Empatia e respeito.</t>
  </si>
  <si>
    <t>Conectando histórias: Compartilhando a Linha do Tempo</t>
  </si>
  <si>
    <t>• Fortalecer a conexão entre os alunos.
• Finalizar e socializar a linha do tempo elaborada.</t>
  </si>
  <si>
    <t xml:space="preserve"> Imaginação criativa e interesse artístico.</t>
  </si>
  <si>
    <t>Valores e paixões pessoais.</t>
  </si>
  <si>
    <t>Quem sou eu e o que me move?</t>
  </si>
  <si>
    <t>• Reflexão sobre os valores, paixões e experiências que moldam as escolhas e o comportamento dos alunos.
• Diagrama IKIGAI.</t>
  </si>
  <si>
    <t>• Refletir sobre as experiências, valores e paixões pessoais, compreendendo como esses aspectos influenciam as escolhas e o comportamento.
• Introduzir o diagrama IKIGAI como ferramenta para autoconhecimento e tomada de decisões conscientes.</t>
  </si>
  <si>
    <t>Autoconfiança e tolerância à frustração.</t>
  </si>
  <si>
    <t>Aprendizado e vivências pessoais.</t>
  </si>
  <si>
    <t>IKIGAI: Reflexões Finais e Troca de Aprendizados</t>
  </si>
  <si>
    <t>• Diagrama IKIGAI.
• Reflexão coletiva sobre as descobertas feitas durante a atividade.</t>
  </si>
  <si>
    <t>• Finalizar a elaboração do diagrama IKIGAI, refletindo sobre os aspectos mais importantes da atividade.
• Promover um momento de socialização no qual os alunos compartilham o que aprenderam com a atividade e como ela pode impactar suas escolhas futuras.</t>
  </si>
  <si>
    <t>Autogestão e futuro acadêmico</t>
  </si>
  <si>
    <t>Desenvolvimento pessoal, habilidades e talentos.</t>
  </si>
  <si>
    <t>Meu Raio-X pessoal</t>
  </si>
  <si>
    <t>• Habilidades e talentos.
• Autoconhecimento e potencial de crescimento.</t>
  </si>
  <si>
    <t>• Reconhecer habilidades, talentos e potencialidades, valorizando suas características pessoais.
• Compreender a importância do aprendizado contínuo e da adaptação para o desenvolvimento de novas habilidades.</t>
  </si>
  <si>
    <t>Foco e responsabilidade.</t>
  </si>
  <si>
    <t>Tomada de decisões.</t>
  </si>
  <si>
    <t>A Arte de Tomar Decisões Responsáveis</t>
  </si>
  <si>
    <t>• Estratégias para tomada de decisões conscientes e responsáveis.
• Análise de cenários cotidianos para tomada de decisões.</t>
  </si>
  <si>
    <t>• Desenvolver habilidades de tomada de decisão, com foco em escolhas conscientes, avaliando opções e consequências.
• Estimular a reflexão crítica sobre as decisões do cotidiano.</t>
  </si>
  <si>
    <t>Determinação e foco.</t>
  </si>
  <si>
    <t>Itinerário formativo de Matemática e Ciências da Natureza do estado de SP.</t>
  </si>
  <si>
    <t>Entendo os Itinerários formativos de Matemática e Ciências da Natureza</t>
  </si>
  <si>
    <t>Potencial do Itinerário de Matemática e Ciências da Natureza.</t>
  </si>
  <si>
    <t>• Apresentar o itinerário de Matemática e Ciências da Natureza.
• Relacionar as habilidades dos alunos com o escopo e possibilidades de carreira dentro do itinerário.</t>
  </si>
  <si>
    <t>Itinerário formativo de Linguagens, Ciências humanas e Sociais do estado de SP.</t>
  </si>
  <si>
    <t>Entendo os Itinerários formativos de Linguagens, Ciências Humanas e Sociais</t>
  </si>
  <si>
    <t>Potencial do Itinerário de Linguagens, Ciências Humanas e Sociais.</t>
  </si>
  <si>
    <t>• Apresentar o itinerário de Linguagens, Ciências Humanas e Sociais.
• Relacionar as habilidades dos alunos com o escopo e possibilidades de carreira dentro do itinerário.</t>
  </si>
  <si>
    <t>Itinerários técnicos do estado de SP.</t>
  </si>
  <si>
    <t>Entendendo os Itinerários técnicos</t>
  </si>
  <si>
    <t>Potencial dos Itinerários Técnicos.</t>
  </si>
  <si>
    <t>• Apresentar os Itinerários técnicos.
• Relacionar as habilidades dos alunos com o escopo e possibilidades de carreira dentro do itinerário.</t>
  </si>
  <si>
    <t>Organização e responsabilidade.</t>
  </si>
  <si>
    <t>Ferramentas para tomada de decisões.</t>
  </si>
  <si>
    <t>Decisões Assertivas: Ferramentas para Escolher Seu Itinerário - Aula complementar</t>
  </si>
  <si>
    <t>• Ferramentas de tomada de decisões no contexto dos itinerários formativos.
• Escolha do itinerário formativo a ser cursado.</t>
  </si>
  <si>
    <t>• Desenvolver habilidades de análise crítica e tomada de decisão ao utilizar ferramentas estruturadas para escolher o itinerário acadêmico.
• Estimular o aluno a envolver suas famílias ou redes de apoio nas decisões acadêmicas.</t>
  </si>
  <si>
    <t>Assertividade e entusiasmo.</t>
  </si>
  <si>
    <t>Análise e socialização das decisões tomadas.</t>
  </si>
  <si>
    <t>Reflexões Finais: Caminhos Escolhidos</t>
  </si>
  <si>
    <t>• Análise de como as habilidades pessoais, interesses e feedback familiar influenciam a escolha do itinerário.
• Reflexão sobre as decisões finais e como elas se alinham com seus objetivos de carreira.</t>
  </si>
  <si>
    <t>Desenvolver a capacidade de argumentar sobre as escolhas feitas, estimulando a autoanálise e a confiança nas decisões acadêmicas.</t>
  </si>
  <si>
    <t>Minha Jornada: Reflexões, Relações e Responsabilidades</t>
  </si>
  <si>
    <t>Revisão e análise dos sonhos, metas e objetivos.</t>
  </si>
  <si>
    <t>Retomada do Projeto de Vida</t>
  </si>
  <si>
    <t>• Retomada dos sonhos e revisão de objetivos e metas do Projeto de Vida.
• Reflexão sobre os objetivos criados no ano anterior e expansão, no novo ano, com novas reflexões.</t>
  </si>
  <si>
    <t>• Revisitar os sonhos, metas e objetivos estabelecidos no primeiro ano e analisar o progresso feito até o momento.
• Refletir sobre o aprendizado adquirido no ano anterior e expandir os objetivos para o novo ano letivo, incorporando novas experiências e descobertas.</t>
  </si>
  <si>
    <t>Autoconfiança e foco.</t>
  </si>
  <si>
    <t>Propósito e objetivos na vida.</t>
  </si>
  <si>
    <t>Uma vida com propósito</t>
  </si>
  <si>
    <t>• Definição de propósito como um sentido mais profundo para a vida, que vai além de objetivos concretos, incluindo questões como valores, paixões e contribuição para o mundo.
• Importância de alavancar interesses e paixões no desenvolvimento do propósito de vida.</t>
  </si>
  <si>
    <t>• Refletir sobre o conceito de propósito e como ele pode influenciar positivamente as decisões e o caminho dos alunos, tanto na vida pessoal quanto acadêmica.
• Conectar os objetivos pessoais e profissionais com seus propósitos de vida.</t>
  </si>
  <si>
    <t>• Assertividade.
• Empatia.</t>
  </si>
  <si>
    <t>Importância das relações interpessoais.</t>
  </si>
  <si>
    <t>Quem levo comigo?</t>
  </si>
  <si>
    <t>• A importância de entender o "eu" e o "outro".
• O impacto das amizades e dos relacionamentos.</t>
  </si>
  <si>
    <t>• Refletir sobre as pessoas e relações que os alunos têm ao seu redor, e como elas influenciam suas decisões, valores e o caminho do Projeto de Vida.
• Compreender a importância de entender o "eu" e o "outro", destacando como as amizades e os relacionamentos impactam na construção da identidade e nas escolhas pessoais.</t>
  </si>
  <si>
    <t>• Assertividade.
• Respeito.</t>
  </si>
  <si>
    <t>Amizades saudáveis e prejudiciais.</t>
  </si>
  <si>
    <t>Olhando para minhas amizades e círculos sociais</t>
  </si>
  <si>
    <t>• Amizades que influenciam positivamente.
• Amizades que podem prejudicar o bem-estar.
• Estratégias para fortalecer amizades saudáveis.</t>
  </si>
  <si>
    <t>• Entender a importância da qualidade das amizades.
• Aprender estratégias práticas para gerenciar e fortalecer amizades saudáveis, estabelecendo limites e cuidando das relações de forma equilibrada.</t>
  </si>
  <si>
    <t xml:space="preserve"> Foco e responsabilidade.</t>
  </si>
  <si>
    <t>Pressões sociais e efeitos do abuso de substâncias.</t>
  </si>
  <si>
    <t>Obstáculos no caminho: abuso de Substâncias na Adolescência</t>
  </si>
  <si>
    <t>• Contexto e dados sobre alcoolismo e abuso de substâncias entre jovens.
• Pressões sociais e a busca por pertencimento.
• Alternativas saudáveis para lidar com a pressão social e emocional, como esportes, hobbies, atividades culturais e amizades saudáveis.</t>
  </si>
  <si>
    <t>• Compreender os impactos do abuso de substâncias, especialmente o alcoolismo, na saúde física, mental e social dos adolescentes.
• Desenvolver a capacidade de tomar decisões conscientes e responsáveis, aprendendo a identificar pressões sociais que incentivam o uso de substâncias.</t>
  </si>
  <si>
    <t>Roda de conversa: abuso de substâncias</t>
  </si>
  <si>
    <t>• Refletir sobre a prevenção e as estratégias de resistência para evitar o abuso de substâncias, promovendo a importância de um estilo de vida saudável.
• Consolidar o conhecimento sobre os efeitos do abuso de substâncias e discutir formas de prevenção e tratamento, além de reforçar as estratégias de resistência aprendidas na aula anterior.</t>
  </si>
  <si>
    <t>Determinação e organização.</t>
  </si>
  <si>
    <t>Reflexão sobre os principais temas trabalhados.</t>
  </si>
  <si>
    <t>Diário de bordo do bimestre</t>
  </si>
  <si>
    <t>• Reflexão sobre autoconhecimento, propósitos e as metas.
• Saúde mental, amizades e decisões responsáveis.</t>
  </si>
  <si>
    <t>Revisar e consolidar o aprendizado ao longo do semestre, refletindo sobre os temas abordados (valores, paixões, propósito, amizades, impacto do abuso de substâncias, etc.) e como eles contribuem para a construção do Projeto de Vida dos alunos.</t>
  </si>
  <si>
    <t>Adolescência com Consciência: Emoções, Relacionamentos e Decisões</t>
  </si>
  <si>
    <t>Autoconfiança e empatia.</t>
  </si>
  <si>
    <t>Impacto das comparações sociais e autocobrança.</t>
  </si>
  <si>
    <t>Comparações e autocobranças</t>
  </si>
  <si>
    <t>• O impacto das comparações na adolescência, em especial, proveniente das redes sociais.
Autocobrança e suas consequências.</t>
  </si>
  <si>
    <t>• Refletir sobre os impactos das comparações sociais, especialmente nas redes sociais, e como elas afetam a autoestima e o bem-estar emocional dos adolescentes.
• Desenvolver a capacidade de lidar com a autocobrança excessiva e a pressão por ser “perfeito”, incentivando os alunos a focarem em seu próprio crescimento pessoal e autocompaixão.</t>
  </si>
  <si>
    <t>• Curiosidade para aprender.
• Tolerância à frustração.</t>
  </si>
  <si>
    <t>Expansão do vocabulário emocional.</t>
  </si>
  <si>
    <t>Sentimentos que não sabemos nomear</t>
  </si>
  <si>
    <t>• Exploração de sentimentos difíceis de nomear.
• Identificação de situações nas quais esses sentimentos se manifestam.</t>
  </si>
  <si>
    <t>• Expandir o vocabulário emocional.
• Reconhecer e processar emoções complexas.</t>
  </si>
  <si>
    <t>Amor romântico, amor próprio e amor das amizades na adolescência.</t>
  </si>
  <si>
    <t>Sentimento que sabemos nomear: amor – aula complementar</t>
  </si>
  <si>
    <t>• Contexto sobre o amor romântico na adolescência.
• Outras formas de amor: amor próprio e amor de amizades.</t>
  </si>
  <si>
    <t>• Explorar como os sentimentos amorosos se manifestam e evoluem na adolescência.
• Compreender as diferentes formas de amor, desde o amor romântico até o amor próprio, e como elas influenciam o comportamento, as relações interpessoais e o desenvolvimento pessoal.</t>
  </si>
  <si>
    <t>Curiosidade para aprender e responsabilidade.</t>
  </si>
  <si>
    <t>Relacionamentos modernos e "amores líquidos".</t>
  </si>
  <si>
    <t>Relacionamentos em tempos modernos</t>
  </si>
  <si>
    <t>• Relacionamentos em gerações passadas e atuais.
• O conceito de “amores líquidos”.</t>
  </si>
  <si>
    <t>• Compreender as mudanças nos relacionamentos ao longo do tempo.
• Refletir sobre como os relacionamentos românticos, familiares e de amizade mudaram com o tempo, influenciados por fatores como tecnologia, mídia social e expectativas culturais.</t>
  </si>
  <si>
    <t>• Autoestima e aceitação do corpo.
• Consentimento sexual e responsabilidade.
• Prevenção de ISTs e métodos contraceptivos.</t>
  </si>
  <si>
    <t>Sexualidade na adolescência</t>
  </si>
  <si>
    <t>• Autoestima.
• Consentimento Sexual.
• Prevenção de ISTs e Métodos Contraceptivos.</t>
  </si>
  <si>
    <t>• Promover uma compreensão saudável e responsável da sexualidade na adolescência, abordando a autoestima e aceitação do corpo, além da importância do consentimento nas relações sexuais.
• Desmistificar e esclarecer informações sobre prevenção de infecções sexualmente transmissíveis (ISTs) e o uso de métodos contraceptivos, reforçando a responsabilidade e o respeito nas escolhas sexuais.</t>
  </si>
  <si>
    <t>Roda de conversa: sexualidade</t>
  </si>
  <si>
    <t>Proporcionar um espaço seguro para esclarecer dúvidas sobre sexualidade, consentimento, saúde sexual e métodos contraceptivos, com a ajuda de um especialista da área (como ginecologista, psicólogo ou educador sexual).
Desmistificar conceitos e informações sobre sexualidade, promovendo uma visão mais informada e responsável sobre temas muitas vezes cercados de tabus ou mal-entendidos.</t>
  </si>
  <si>
    <t>Entusiasmo e imaginação criativa.</t>
  </si>
  <si>
    <t>Revisão do aprendizado e confraternização.</t>
  </si>
  <si>
    <t>De olho nas férias</t>
  </si>
  <si>
    <t>• Revisão dos principais tópicos do bimestre.
• Confraternização pré-férias.</t>
  </si>
  <si>
    <t>• Revisitar os principais aprendizados do bimestre, promovendo uma reflexão sobre o crescimento pessoal e aprendizados.
• Encerrar o bimestre de forma descontraída e positiva, oferecendo uma despedida antes das férias.</t>
  </si>
  <si>
    <t>Trajetórias de Futuro – Planejamento de Vida</t>
  </si>
  <si>
    <t>• Curiosidade para aprender.
• Tolerância ao estresse.</t>
  </si>
  <si>
    <t>Transição para o último ano do Ensino Médio: expectativas e inseguranças</t>
  </si>
  <si>
    <t>Construindo o Caminho da 3ª série</t>
  </si>
  <si>
    <t>• Introdução do componente.
• Identificação de sentimentos comuns no último ano escolar.
• Impacto desses sentimentos na saúde emocional e nas decisões pessoais.</t>
  </si>
  <si>
    <t>• Conhecer o componente Projeto de Vida.
• Compreender os sentimentos que surgem no último ano escolar (ansiedade, dúvida, medo e pressão) e sua influência no Projeto de Vida.
• Identificar formas de lidar com esses sentimentos de maneira saudável e construtiva.</t>
  </si>
  <si>
    <t>• Foco.
• Tolerância ao estresse.</t>
  </si>
  <si>
    <t>Estratégias de autorregulação emocional.</t>
  </si>
  <si>
    <t>Autorregulação Emocional e Estratégias de Enfrentamento</t>
  </si>
  <si>
    <t>• Estratégias de enfrentamento (respiração, visualização, controle de pensamentos).
• Aplicação prática das estratégias em situações desafiadoras.</t>
  </si>
  <si>
    <t>• Desenvolver habilidades práticas de autorregulação emocional para lidar com momentos de estresse e pressão.
• Aplicar estratégias de enfrentamento em situações de ansiedade e pressão.</t>
  </si>
  <si>
    <t>Responsabilidade e organização.</t>
  </si>
  <si>
    <t>Políticas de acesso, fomento ao emprego, oportunidades, mercado de trabalho.</t>
  </si>
  <si>
    <t>O que é possível agora? Programas de apoio aos jovens</t>
  </si>
  <si>
    <t>• Apresentação dos programas: Pé de Meia, Jovem Aprendiz, ID Jovem, Meu Trampo, Rede Daora.
• Identificação dos critérios para acesso e uso dos programas de oportunidades para jovens.</t>
  </si>
  <si>
    <t>• Conhecer programas governamentais e sociais de apoio à juventude, identificando seus benefícios e critérios de acesso.
• Analisar criticamente como essas iniciativas podem contribuir para o Projeto de Vida dos alunos, especialmente na transição escola-trabalho.</t>
  </si>
  <si>
    <t>• Responsabilidade e organização.
• Autoconfiança.</t>
  </si>
  <si>
    <t>Políticas de acesso à universidade, permanência na Ensino Superior e assistência estudantil.</t>
  </si>
  <si>
    <t>Acesso e Permanência na Universidade</t>
  </si>
  <si>
    <t>• Políticas de acesso à universidade e assistência estudantil.
• Informações sobre ENEM, SISU, vestibulares, Provão Paulista, ProUni, FIES e PNAEs.</t>
  </si>
  <si>
    <t>• Explorar as políticas públicas voltadas para o acesso e a permanência na universidade, como programas de bolsas, isenção de taxas e ações afirmativas.
• Compreender os critérios de acesso à educação superior e como essas políticas podem impactar o Projeto de Vida, facilitando o ingresso e a permanência na universidade.</t>
  </si>
  <si>
    <t>Áreas e carreiras na universidade.</t>
  </si>
  <si>
    <t>Desvendando: universidade e carreira</t>
  </si>
  <si>
    <t>• Dilemas nas escolhas profissionais: vocação versus exigências do mercado de trabalho, pressões externas e pessoais.
• Pluralidade de trajetórias profissionais: como as escolhas de carreira podem ser revistas e ajustadas ao longo do tempo.</t>
  </si>
  <si>
    <t>• Refletir sobre as dúvidas, inseguranças e dilemas enfrentados ao escolher um curso universitário e/ou uma carreira profissional.
• Explorar diversas trajetórias profissionais e como elas se adaptam ao longo do tempo, acolhendo histórias de pessoas que passaram pela experiência universitária e profissional.</t>
  </si>
  <si>
    <t>• Determinação.
• Autoconfiança.</t>
  </si>
  <si>
    <t>Planejamento pessoal, acadêmico e profissional.</t>
  </si>
  <si>
    <t>Desenhando o Projeto de Vida: transformando aprendizados em metas</t>
  </si>
  <si>
    <t>• Reflexão dos aprendizados do bimestre.
• Estabelecimento de metas de curto e médio prazo com foco em autoconhecimento, autorregulação e sucesso acadêmico.</t>
  </si>
  <si>
    <t>• Transformar as reflexões e aprendizados do bimestre em ações concretas.
• Definir metas pessoais e acadêmicas a curto e médio prazo, considerando os desafios do último ano escolar e as oportunidades futuras.</t>
  </si>
  <si>
    <t>Desenhando o Projeto de Vida: consolidando metas e elaborando estratégias</t>
  </si>
  <si>
    <t>• Ajuste e complementação das metas estabelecidas.
• Delimitação de possíveis obstáculos e estratégias para o cumprimento das metas ao longo do ano letivo.</t>
  </si>
  <si>
    <t>• Finalizar a escrita das metas estabelecidas anteriormente.
• Criar um plano de ação mais detalhado para alcançar as metas estabelecidas, considerando os desafios do último ano escolar e as oportunidades futuras.</t>
  </si>
  <si>
    <t>Planejamento de Carreira e Autoconhecimento Profissional</t>
  </si>
  <si>
    <t>• Curiosidade para aprender.
• Responsabilidade.</t>
  </si>
  <si>
    <t>Caminhos e metas acadêmicas e profissionais.</t>
  </si>
  <si>
    <t>Planejando meu futuro</t>
  </si>
  <si>
    <t>• Opções de caminhos profissionais.
• Definição de metas acadêmicas e profissionais.</t>
  </si>
  <si>
    <t>• Explorar os diferentes caminhos profissionais, como Ensino Superior, cursos técnicos, empreendedorismo e outras opções.
• Desenvolver a capacidade de definir metas profissionais.</t>
  </si>
  <si>
    <t>Identidade, mundo do trabalho, orientação profissional e perfil profissional.</t>
  </si>
  <si>
    <t>Identidade e carreira</t>
  </si>
  <si>
    <t>• Reflexão sobre identidade pessoal e a relação com o mundo do trabalho.
• Questionário e Relatório do Perfil Profissional (Plataforma FutureMe).</t>
  </si>
  <si>
    <t>• Analisar de que forma a identidade influencia as escolhas profissionais e acadêmicas.
• Explorar como a orientação profissional pode contribuir para decisões mais conscientes e alinhadas ao Projeto de Vida.
• Interpretar os resultados das atividades realizadas, refletindo sobre as próprias respostas e avaliando as descobertas em relação ao autoconhecimento e às possibilidades de carreira.</t>
  </si>
  <si>
    <t>• Autoconfiança.
• Foco.</t>
  </si>
  <si>
    <t>Autoconhecimento, identidade, competências, habilidades, perfil de personalidade e orientação profissional.</t>
  </si>
  <si>
    <t>Habilidades para o futuro</t>
  </si>
  <si>
    <t>• Mapeamento de competências e habilidades para o futuro, decisões pessoais e profissionais e o mercado de trabalho.
• Questionário e relatório de perfil de personalidade (Plataforma FutureMe)</t>
  </si>
  <si>
    <t>• Refletir sobre como as características pessoais identificadas podem influenciar escolhas acadêmicas e profissionais.
• Interpretar os dados do Relatório de Personalidade, compreendendo como os traços identificados se relacionam com o modo como a identidade e a visão de mundo.</t>
  </si>
  <si>
    <t>Determinação e assertividade.</t>
  </si>
  <si>
    <t>Tomada de decisões, autoconhecimento, profissões e carreiras.</t>
  </si>
  <si>
    <t>Explorando possíveis profissões</t>
  </si>
  <si>
    <t>• Tomada de decisões para a escolha profissional.
• Mapa de oportunidades e pódio dos cursos e das profissões (Plataforma FutureMe).</t>
  </si>
  <si>
    <t>• Analisar informações sobre diferentes áreas profissionais e trajetórias formativas, com o objetivo de tomar decisões fundamentadas sobre escolhas de carreira.
• Priorizar opções de carreira alinhadas aos próprios interesses, valores e habilidades, favorecendo uma escolha profissional mais consciente e assertiva.</t>
  </si>
  <si>
    <t>• Curiosidade para aprender.
• Entusiasmo.</t>
  </si>
  <si>
    <t>Histórias e experiências profissionais.</t>
  </si>
  <si>
    <t>Roda das profissões: primeiro dia</t>
  </si>
  <si>
    <t>• Apresentação de como os profissionais chegaram a suas carreiras, desafios e conquistas, com ênfase nas histórias pessoais que podem inspirar os alunos.
• Exploração de diversas áreas de atuação (saúde, educação, tecnologia, negócios, artes, etc.) e como cada uma delas contribui para a sociedade e o mercado de trabalho.
• Análise dos desafios enfrentados pelos profissionais em suas áreas e as oportunidades de carreira e crescimento profissional.</t>
  </si>
  <si>
    <t>• Apresentar aos alunos uma visão geral sobre diferentes carreiras, destacando histórias e trajetórias profissionais para inspirar escolhas de futuro.
• Proporcionar uma experiência prática sobre o cotidiano profissional, com ênfase nas habilidades e competências exigidas nas diferentes profissões.</t>
  </si>
  <si>
    <t>Roda das profissões: segundo dia – Aula complementar</t>
  </si>
  <si>
    <t>Determinação e responsabilidade.</t>
  </si>
  <si>
    <t>Reflexão sobre as profissões e carreiras exploradas.</t>
  </si>
  <si>
    <t>Roda das profissões: consolidando minhas perspectivas</t>
  </si>
  <si>
    <t>Reflexão sobre as áreas e profissões que mais chamaram a atenção dos alunos e como elas se alinham com seus interesses e objetivos.</t>
  </si>
  <si>
    <t>• Refletir sobre as profissões exploradas, conectando as informações adquiridas com suas próprias aspirações profissionais.
• Ajudar os alunos a planejarem seus próximos passos em relação ao mercado de trabalho ou ao ensino superior, com base nas escolhas feitas durante a feira.</t>
  </si>
  <si>
    <t>Práticas e respeito e bem-estar</t>
  </si>
  <si>
    <t>Tolerância ao estresse e tolerância às frustrações.</t>
  </si>
  <si>
    <t>Estresse e ansiedade.</t>
  </si>
  <si>
    <t>Estresse e ansiedade: como identificar e enfrentar com confiança</t>
  </si>
  <si>
    <t>• Causas comuns de estresse e ansiedade para os adolescentes (provas, pressões sociais, expectativas).
• Estratégias de enfrentamento: técnicas de relaxamento, respiração, organização do tempo e o papel do autocuidado.</t>
  </si>
  <si>
    <t>• Ajudar os alunos a reconhecerem os sinais de estresse e ansiedade no seu dia a dia, e refletirem sobre formas de gerenciar esses sentimentos de maneira saudável.
• Desenvolver estratégias para superar momentos de estresse e ansiedade.</t>
  </si>
  <si>
    <t>Organização e tolerância ao estresse.</t>
  </si>
  <si>
    <t>Importância do autocuidado.</t>
  </si>
  <si>
    <t>Gerenciando Emoções para uma Convivência Respeitosa</t>
  </si>
  <si>
    <t>• Gerenciamento emocional e seus impactos na convivência escolar.
• Resolução de conflitos através do autocontrole e empatia.</t>
  </si>
  <si>
    <t>• Refletir sobre como o gerenciamento emocional pode melhorar os relacionamentos interpessoais.
• Aplicar estratégias de resolução de conflitos e autoconhecimento emocional.</t>
  </si>
  <si>
    <t>Convivência respeitosa no ambiente escolar.</t>
  </si>
  <si>
    <t>Manifesto da Convivência: Juntos, Construindo uma Escola Melhor</t>
  </si>
  <si>
    <t>Direitos e deveres dos alunos.</t>
  </si>
  <si>
    <t>• Refletir sobre os direitos e deveres dos alunos no contexto escolar para a construção de um ambiente de convivência respeitosa e saudável.
• Iniciar a elaboração de um manifesto de boa convivência da turma.</t>
  </si>
  <si>
    <t>O combate ao bullying começa comigo</t>
  </si>
  <si>
    <t>• Definição e impacto do bullying na saúde mental dos envolvidos.
• Tipos de bullying: físico, verbal e cyberbullying.</t>
  </si>
  <si>
    <t>• Conscientizar os alunos sobre o impacto do bullying na saúde mental.
• Continuar com o manifesto de boa convivência da turma.</t>
  </si>
  <si>
    <t>Criando um ambiente escolar saudável</t>
  </si>
  <si>
    <t>• Manifesto de boa convivência.
• Protagonismo estudantil no ambiente escolar.</t>
  </si>
  <si>
    <t>• Engajar os alunos na criação de um ambiente escolar mais acolhedor e seguro.
• Continuar a criação do manifesto de boa convivência.</t>
  </si>
  <si>
    <t>Assinando o Manifesto da Boa Convivência</t>
  </si>
  <si>
    <t>Divulgação do manifesto de boa convivência.</t>
  </si>
  <si>
    <t>• Apresentar o Manifesto de Boas Práticas de Convivência elaborado pelos alunos.
• Reforçar o compromisso coletivo com um ambiente escolar mais respeitoso e inclusivo.</t>
  </si>
  <si>
    <t>Impacto do Passado nas Escolhas do Futuro</t>
  </si>
  <si>
    <t>• Respeito.
• Autoconfiança.</t>
  </si>
  <si>
    <t>Valorização das origens culturais e da identidade pessoal.</t>
  </si>
  <si>
    <t>Resgatando minhas origens</t>
  </si>
  <si>
    <t>• Identidade pessoal e cultural.
• A influência da família e da comunidade na formação da identidade.</t>
  </si>
  <si>
    <t>• Refletir sobre as origens pessoais, familiares e culturais e sobre como elas influenciam a identidade.
• Entender a importância de valorizar e reconhecer as origens para o fortalecimento da autoestima e do projeto de vida.</t>
  </si>
  <si>
    <t>• Persistência.
• Respeito.</t>
  </si>
  <si>
    <t>Impacto das experiências passadas.</t>
  </si>
  <si>
    <t>Entendendo o Passado para Construir o Futuro</t>
  </si>
  <si>
    <t>• O impacto das experiências passadas na formação do caráter e das escolhas.
• Início da escrita do Projeto de Vida.</t>
  </si>
  <si>
    <t>• Compreender como o passado molda o presente e influencia as escolhas futuras.
• Iniciar a escrita do Projeto de Vida, contemplando como suas raízes e história familiar impactam em quem você é hoje.</t>
  </si>
  <si>
    <t>• Responsabilidade.
• Assertividade.</t>
  </si>
  <si>
    <t>Contribuição para o bem comum.</t>
  </si>
  <si>
    <t>Meu Lugar no Mundo</t>
  </si>
  <si>
    <t>• O conceito de propósito e como ele se relaciona com o projeto de vida.
• Continuação da escrita do projeto de vida.</t>
  </si>
  <si>
    <t>• Refletir sobre o papel do aluno no mundo e como ele pode impactar positivamente a sociedade.
• Compreender a importância de contribuir para o bem comum.</t>
  </si>
  <si>
    <t>Visualização de futuros possíveis.</t>
  </si>
  <si>
    <t>Visualizando o meu Futuro Ideal</t>
  </si>
  <si>
    <t>• A importância da visualização como ferramenta para o alcance de metas.
• Continuação da escrita do projeto de vida.</t>
  </si>
  <si>
    <t>Desenvolver a capacidade de visualizar um futuro positivo e alinhado com os valores e objetivos de vida.</t>
  </si>
  <si>
    <t>Ações individuais e coletivas para a construção de um futuro positivo.</t>
  </si>
  <si>
    <t>Como Contribuir para o meu Futuro Ideal?</t>
  </si>
  <si>
    <t>• Relação entre as escolhas presentes e o futuro desejado.
• Finalização da escrita do projeto de vida.</t>
  </si>
  <si>
    <t>Refletir sobre como as ações individuais no presente podem contribuir para a construção do futuro desejado.</t>
  </si>
  <si>
    <t>Reflexão sobre o bimestre e avaliação do progresso.</t>
  </si>
  <si>
    <t>O Que Aprendi com o Projeto de Vida?</t>
  </si>
  <si>
    <t>Reflexão sobre o processo de construção do projeto de vida.</t>
  </si>
  <si>
    <t>• Avaliar o progresso realizado ao longo das aulas.
• Refletir sobre os aprendizados adquiridos.</t>
  </si>
  <si>
    <t>Juventude Ativa: Identidade, Cidadania e Protagonismo Social</t>
  </si>
  <si>
    <t>Iniciativa social e respeito.</t>
  </si>
  <si>
    <t>Transformações nas vivências da juventude.</t>
  </si>
  <si>
    <t>Identidade e diversidade de juventudes</t>
  </si>
  <si>
    <t>• Expressões juvenis ao longo do tempo.
• Transformações nas vivências da juventude.</t>
  </si>
  <si>
    <t xml:space="preserve">
• Comparar diferentes expressões juvenis, em diferentes décadas, por meio da observação de comportamentos, valores e contextos históricos.
• Investigar as transformações nas vivências da juventude ao longo do tempo, por meio de entrevistas com pessoas que foram jovens em décadas anteriores.</t>
  </si>
  <si>
    <t>Iniciativa social e imaginação criativa.</t>
  </si>
  <si>
    <t>Direitos e deveres no Estatuto da Juventude.</t>
  </si>
  <si>
    <t>Estatuto da Juventude: e o que isso tem a ver comigo?</t>
  </si>
  <si>
    <t>• Importância do jovem para a sociedade.
• Direitos e deveres dos jovens no Estatuto da Juventude.</t>
  </si>
  <si>
    <t xml:space="preserve">
• Investigar diferentes perspectivas juvenis por meio de discussões, pesquisas e vivências.
• Produzir uma manifestação criativa (artística, textual ou multimídia) que represente os desafios, as vozes e os impactos da juventude na sociedade.</t>
  </si>
  <si>
    <t>Cidadania e protagonismo juvenil.</t>
  </si>
  <si>
    <t>Cidadania e impacto social</t>
  </si>
  <si>
    <t>• Conceito de cidadania e exemplos de atitudes cidadãs.
• O papel dos jovens na promoção da cidadania.</t>
  </si>
  <si>
    <t>• Compreender o conceito de cidadania, explorando seus diferentes aspectos e a importância das atitudes cidadãs na construção de uma sociedade mais justa e democrática.
• Refletir sobre o papel dos jovens na promoção da cidadania, identificando como suas ações e escolhas podem impactar positivamente a sociedade em que vivem.</t>
  </si>
  <si>
    <t>Lideranças jovens e manifesto artístico.</t>
  </si>
  <si>
    <t>Jovens líderes que inspiram</t>
  </si>
  <si>
    <t>• Exemplos de líderes jovens.
• Apresentação das manifestações artísticas.</t>
  </si>
  <si>
    <t>• Conhecer exemplos de líderes jovens que influenciaram positivamente a sociedade, refletindo sobre o impacto que suas ações tiveram no mundo.
• Apresentar o manifesto artístico que representa os desafios, vozes e impactos da juventude.</t>
  </si>
  <si>
    <t>Acolhimento e respeito às diferenças.</t>
  </si>
  <si>
    <t>Unidos pela diferença</t>
  </si>
  <si>
    <t>• Acolhimento e respeito às diferenças.
• Diversidade de classe, gênero, sexualidade e etnia.</t>
  </si>
  <si>
    <t>• Refletir sobre a importância do acolhimento e respeito às diferenças, promovendo um ambiente de inclusão e empatia.
• Compreender como as diferenças de classe, gênero, sexualidade e etnia enriquecem a sociedade e devem ser valorizadas e respeitadas no cotidiano escolar e nas interações sociais.</t>
  </si>
  <si>
    <t>• Casos de discriminação e preconceito.
• Tomada de decisões em situações conflitivas.</t>
  </si>
  <si>
    <t>Comunicando e resolvendo conflitos nas diferenças</t>
  </si>
  <si>
    <t>• Casos de discriminação e preconceito.
• Tomada de decisão em situações conflitivas.</t>
  </si>
  <si>
    <t>• Praticar a resolução de conflitos e tomada de decisão em situações que envolvem preconceito, discriminação e exclusão, analisando casos reais ou fictícios e aplicando soluções de forma respeitosa e construtiva.
• Desenvolver a habilidade de lidar com situações difíceis com base em valores de empatia, respeito às diferenças e comunicação não-violenta.</t>
  </si>
  <si>
    <t>Protagonismo juvenil</t>
  </si>
  <si>
    <t>Protagonismo estudantil e cidadania.</t>
  </si>
  <si>
    <t>Os líderes do amanhã: transformando ideias em ações</t>
  </si>
  <si>
    <t>• Protagonismo e cidadania ativa.
• Introdução ao projeto "líderes do amanhã".
• Identificação de problemas ou oportunidades na comunidade escolar.</t>
  </si>
  <si>
    <t>• Introduzir o projeto 'Líderes do amanhã', que será desenvolvido ao longo de todo o bimestre.
• Identificar as necessidades da comunidade escolar e como cada aluno pode contribuir com soluções práticas para promover mudanças.</t>
  </si>
  <si>
    <t>Organização e iniciativa social.</t>
  </si>
  <si>
    <t>Estruturação e planejamento de um projeto.</t>
  </si>
  <si>
    <t>Os líderes do amanhã: planejamento</t>
  </si>
  <si>
    <t>• Planejamento de um projeto.
• Recursos necessários.
• Estruturação da equipe e atribuição de funções.</t>
  </si>
  <si>
    <t>• Desenvolver um plano de ação detalhado para o projeto escolhido, com objetivos claros e prazos.
• Dividir as responsabilidades e identificar os recursos necessários para a execução do projeto.</t>
  </si>
  <si>
    <t>Estratégias de implementação e resolução de problemas.</t>
  </si>
  <si>
    <t>Os líderes do amanhã: mobilização e implementação</t>
  </si>
  <si>
    <t>• Estratégias de implementação.
• Resolução de problemas.</t>
  </si>
  <si>
    <t>• Compreender a importância da mobilização da comunidade escolar para o sucesso do projeto.
• Implementar ações práticas, começando a executar as etapas definidas no planejamento.</t>
  </si>
  <si>
    <t>Organização e persistência.</t>
  </si>
  <si>
    <t>Elaboração da apresentação do projeto.</t>
  </si>
  <si>
    <t>Os líderes do amanhã: organizando a apresentação</t>
  </si>
  <si>
    <t>• Elementos de uma boa apresentação.
• Práticas de comunicação.</t>
  </si>
  <si>
    <t>• Preparar uma apresentação eficaz para compartilhar os resultados do projeto com a comunidade escolar.
• Desenvolver habilidades de comunicação e trabalho em equipe para transmitir as ideias de forma clara e impactante.</t>
  </si>
  <si>
    <t>Organização e determinação.</t>
  </si>
  <si>
    <t>Apresentação do projeto.</t>
  </si>
  <si>
    <t>Os líderes do amanhã: apresentações</t>
  </si>
  <si>
    <t>• Apresentação final do projeto.
• Reflexão sobre o processo e as lições aprendidas.</t>
  </si>
  <si>
    <t>• Apresentar os projetos desenvolvidos ao longo do bimestre para a turma e/ou para a comunidade escolar.
• Refletir sobre o aprendizado durante a implementação do projeto, destacando desafios e conquistas.</t>
  </si>
  <si>
    <t>Autoconfiança e entusiasmo.</t>
  </si>
  <si>
    <t>• Expectativas para o último ano do Ensino Médio.
• Celebração de conquistas.</t>
  </si>
  <si>
    <t>Rumo ao terceirão</t>
  </si>
  <si>
    <t>• Reflexão sobre o crescimento pessoal.
• Expectativas para o último ano do Ensino Médio.</t>
  </si>
  <si>
    <t>• Refletir sobre o percurso realizado até agora no Projeto de Vida.
• Discutir expectativas para a 3ª série do Ensino Médio.
• Celebrar as conquistas do ano.</t>
  </si>
  <si>
    <t>Preparação para o mundo do trabalho</t>
  </si>
  <si>
    <t>Mundo do trabalho: modalidades de empregos e documentação.</t>
  </si>
  <si>
    <t>Introdução ao mundo do trabalho</t>
  </si>
  <si>
    <t>• Tipos de trabalho (formal, informal e autônomo) e modalidades (CLT, PJ, etc.).
• Plataforma FutureMe (Modalidades do Trabalho).</t>
  </si>
  <si>
    <t>• Apresentar os diferentes tipos e modalidades de trabalho, reconhecendo suas principais características e implicações para o trabalhador.
• Completar a jornada "Modalidades do Trabalho" da FutureMe.</t>
  </si>
  <si>
    <t>• Curiosidade para aprender.
• Foco.</t>
  </si>
  <si>
    <t>Hard skills e soft skills.</t>
  </si>
  <si>
    <t>Hard skills vs soft skills</t>
  </si>
  <si>
    <t>• Diferenciação entre hard skills e soft skills.
• Exemplos de complementação entre as habilidades.</t>
  </si>
  <si>
    <t>• Compreender as diferenças entre hard skills e soft skills e como cada tipo de habilidade contribui para o desenvolvimento pessoal e profissional.
• Identificar as hard skills e soft skills que precisam ser desenvolvidas ao longo do tempo para alcançar os objetivos profissionais e acadêmicos.</t>
  </si>
  <si>
    <t>• Curiosidade para aprender.
• Determinação.</t>
  </si>
  <si>
    <t>Currículo e preparação para o mercado de trabalho.</t>
  </si>
  <si>
    <t>O que é um currículo?</t>
  </si>
  <si>
    <t>• Definição e estrutura de um currículo.
• Dicas para a elaboração de currículo, explicação sobre as seções, modelos e brainstorming do currículo.</t>
  </si>
  <si>
    <t>• Compreender a função do currículo no contexto do mundo do trabalho.
• Refletir sobre as principais qualidades pessoais para composição do currículo.</t>
  </si>
  <si>
    <t>• Curiosidade para aprender.
• Organização.</t>
  </si>
  <si>
    <t>Como preparar meu currículo?</t>
  </si>
  <si>
    <t>• Oficina para a construção do currículo.
• Construção do currículo (FutureMe).</t>
  </si>
  <si>
    <t>• Criar ou atualizar o currículo, inserindo informações relevantes sobre formação, experiências e habilidades, com o apoio da plataforma.
• Compartilhar aprendizados e estratégias de construção do currículo, colaborando com colegas a partir de experiências pessoais, especialmente de quem já ingressou no mundo do trabalho.</t>
  </si>
  <si>
    <t>• Assertividade.
• Autoconfiança.</t>
  </si>
  <si>
    <t>Entrevista e preparação para o mercado de trabalho.</t>
  </si>
  <si>
    <t>Entrevistas de emprego</t>
  </si>
  <si>
    <t>• Simulação de entrevistas de emprego com software assistido por IA.
• Feedback para uma melhor preparação para a entrevista de emprego (postura, comunicação verbal e não-verbal, interações etc.).</t>
  </si>
  <si>
    <t>• Demonstrar confiança, clareza e assertividade nas entrevistas de emprego.
• Aprimorar habilidades de comunicação, postura e autogestão, preparando-as para interações que demandam segurança emocional.</t>
  </si>
  <si>
    <t>• Organização.
• Persistência.</t>
  </si>
  <si>
    <t>Planejamento de carreira e orientação profissional.</t>
  </si>
  <si>
    <t>Meu Planner do Futuro</t>
  </si>
  <si>
    <t>• Elaboração de um plano de futuro com base em habilidades, interesses e metas.
• Exploração do Planner do futuro com PDI (Plano de Desenvolvimento Individual – Plataforma FutureMe).</t>
  </si>
  <si>
    <t>• Refletir sobre expectativas e objetivos para o futuro, considerando aspectos pessoais, acadêmicos e profissionais.
• Elaborar um plano de desenvolvimento individual com metas de curto, médio e longo prazo, organizando ações concretas para alcançar seus objetivos.</t>
  </si>
  <si>
    <t>.</t>
  </si>
  <si>
    <t>• Autoconfiança.
• Responsabilidade.</t>
  </si>
  <si>
    <t>Transição para a vida adulta.</t>
  </si>
  <si>
    <t>O Caminho para a Vida Adulta: Assumindo Responsabilidades</t>
  </si>
  <si>
    <t>• Significado de ser adulto.
• Discussão sobre a importância das decisões pessoais, como tomar responsabilidade por ações e consequências.</t>
  </si>
  <si>
    <t>• Refletir sobre a passagem para a vida adulta e as mudanças no papel social e pessoal que isso envolve.
• Compreender como a autonomia nas decisões pessoais e sociais molda a vida adulta.</t>
  </si>
  <si>
    <t>• Respeito.
• Iniciativa social.</t>
  </si>
  <si>
    <t>Respeito e valorização da diversidade.</t>
  </si>
  <si>
    <t>Valorizando a Diversidade: Construindo uma Sociedade Inclusiva</t>
  </si>
  <si>
    <t>• Reconhecimento da diversidade na sociedade – respeito às diferenças culturais, raciais, de gênero, de crença e de orientação sexual.
• Construção de um ambiente inclusivo a partir das diferenças.</t>
  </si>
  <si>
    <t>• Refletir sobre a importância da diversidade na formação de uma sociedade mais justa e igualitária.
• Promover a inclusão e o respeito às diferenças.</t>
  </si>
  <si>
    <t>• Empatia.
• Iniciativa social.</t>
  </si>
  <si>
    <t>Comportamento virtual e ética on-line.</t>
  </si>
  <si>
    <t>A Cidadania Digital – Responsabilidades no Mundo Virtual</t>
  </si>
  <si>
    <t>• A importância do comportamento ético nas redes sociais e no ambiente virtual, com foco em privacidade, segurança e respeito mútuo.
• Identificação do cyberbullying e o bullying online, além de promoção de práticas positivas e respeitosas nas interações digitais.</t>
  </si>
  <si>
    <t>• Refletir sobre as responsabilidades de ser cidadão no ambiente digital e como nossas ações online impactam os outros e a sociedade.
• Desenvolver atitudes responsáveis nas redes sociais, como o respeito à privacidade, a ética nas interações e a prevenção de práticas nocivas como o cyberbullying.</t>
  </si>
  <si>
    <t>• Entusiasmo.
• Imaginação criativa.</t>
  </si>
  <si>
    <t>Aprendizados do Ensino Médio.</t>
  </si>
  <si>
    <t>Fechamento de Ciclo: Olhando para o Passado e para o Futuro</t>
  </si>
  <si>
    <t>• Revisão das vivências, desafios e conquistas durante o Ensino Médio.
• Como as experiências vividas no Ensino Médio contribuem para a construção do futuro pessoal e profissional.</t>
  </si>
  <si>
    <t>• Promover uma reflexão profunda sobre as experiências do Ensino Médio e como elas moldam o futuro.
• Ajudar os alunos a identificar e compreender os legados que levarão consigo para a vida adulta, com foco nas aprendizagens mais importantes.</t>
  </si>
  <si>
    <t>• Foco.
• Persistência.</t>
  </si>
  <si>
    <t>O futuro pós-escola.</t>
  </si>
  <si>
    <t>Construindo o Futuro com Base nos Valores</t>
  </si>
  <si>
    <t>Como as escolhas feitas no presente moldam o futuro pessoal e profissional.</t>
  </si>
  <si>
    <t>• Ajudar os alunos a compreenderem como suas decisões, baseadas em seus valores pessoais, podem impactar seu futuro.
• Incentivar os alunos a refletirem sobre como tomar decisões conscientes que estejam alinhadas com seus objetivos e valores mais profundos, visando uma vida adulta mais equilibrada e satisfatória.</t>
  </si>
  <si>
    <t>• Entusiasmo.
• Confiança.</t>
  </si>
  <si>
    <t>Encerramento do ciclo e do curso.</t>
  </si>
  <si>
    <t>O Legado que Deixo</t>
  </si>
  <si>
    <t>• Discussão sobre o futuro, expectativas, entusiasmo, medos e anseios.
• Encerramento do ano letivo com atividade sobre experiências vividas e momentos coletivos.
• Planejamento do último dia de aula com a turma.</t>
  </si>
  <si>
    <t>Partilhar sobre os sentimentos e emoções relacionados ao futuro, compreendendo a naturalidade dessa fase de encerramento de etapa, lembrando-se das conquistas e aprendizados dessa fase.</t>
  </si>
  <si>
    <t>(EM13CNT101) – 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</si>
  <si>
    <t>Constituição da matéria (Modelo Atômico de Dalton, elementos, símbolos, massa atômica, número atômico).</t>
  </si>
  <si>
    <t>Do que são feitas as coisas?</t>
  </si>
  <si>
    <t xml:space="preserve">Principais características do átomo, número atômico, número de massa.
Elemento químico, íons e semelhanças atômicas.
</t>
  </si>
  <si>
    <t>Comparar as principais características do átomo, elemento químico e íon, bem como seu número atômico, número de massa.</t>
  </si>
  <si>
    <t>Modelo atômico de Böhr</t>
  </si>
  <si>
    <t>O modelo atômico de Böhr, subníveis de energia e distribuição eletrônica por subnível.</t>
  </si>
  <si>
    <t>Analisar o modelo atômico proposto por Böhr e utilizá-lo como base para identificar os subníveis de energia, realizando a distribuição eletrônica dos elementos de acordo com a configuração eletrônica por subnível.</t>
  </si>
  <si>
    <t>(EM13CNT209) Analisar a evolução estelar associando-a aos modelos de origem e distribuição dos elementos químicos no Universo, compreendendo suas relações com as condições necessárias ao surgimento de sistemas solares e planetários, suas estruturas e composições e as possibilidades de existência de vida, utilizando representações e simulações, com ou sem o uso de dispositivos e aplicativos digitais (como softwares de simulação e de realidade virtual, entre outros).</t>
  </si>
  <si>
    <t>Tabela Periódica (elementos e substâncias químicas: história, estrutura e composição)</t>
  </si>
  <si>
    <t xml:space="preserve">A tabela periódica.
</t>
  </si>
  <si>
    <t>Organização dos elementos, organização da tabela periódica, famílias ou grupos e localização na tabela periódica.</t>
  </si>
  <si>
    <t>Identificar a lógica de organização da Tabela Periódica com base nas propriedades dos elementos e suas distribuições eletrônicas, identificando os grupos, períodos e a posição dos elementos na tabela.</t>
  </si>
  <si>
    <t>Propriedades periódicas e  aperiódicas.</t>
  </si>
  <si>
    <t>Classificação dos elementos, propriedades periódicas e propriedades aperiódicas.</t>
  </si>
  <si>
    <t xml:space="preserve">Analisar os elementos químicos com base em suas características gerais (metais, ametais, gases nobres etc.) e compreender as variações das propriedades periódicas (como raio atômico, eletronegatividade e energia de ionização) e aperiódicas.
</t>
  </si>
  <si>
    <t>Constituição da matéria (Modelo Atômico de Dalton, elementos, símbolos, massa atômica, número atômico).
Tabela Periódica (elementos e substâncias químicas: história, estrutura e composição)</t>
  </si>
  <si>
    <t>Átomos e tabela periódica - Praticando em química.</t>
  </si>
  <si>
    <t>O modelo atômico de Böhr, subníveis de energia e distribuição eletrônica por subnível.
Organização dos elementos, organização da tabela periódica, famílias ou grupos e localização na tabela periódica.</t>
  </si>
  <si>
    <t>Consolidar os principais conteúdos estudados ao longo das aulas anteriores.
Aplicar os conceitos teóricos à resolução de questões do ENEM, Provão Paulista, entre outros.
Desenvolver estratégias de leitura e análise de enunciados contextualizados.</t>
  </si>
  <si>
    <t>(EM13CNT202) Analisar as diversas formas de manifestação da vida em seus diferentes níveis de organização, bem como as condições ambientais favoráveis e os fatores limitantes a elas, com ou sem o uso de dispositivos e aplicativos digitais (como softwares de simulação e de realidade virtual, entre outros).</t>
  </si>
  <si>
    <t>Ligações químicas.</t>
  </si>
  <si>
    <t>Como os átomos formam as substâncias?</t>
  </si>
  <si>
    <t xml:space="preserve">Ligação iônica e determinação das fórmulas dos compostos iônicos.
A ligação covalente e as propriedades de seus compostos.
</t>
  </si>
  <si>
    <t>Identificar a lógica de formação de compostos iônicos e covalentes, identificando os tipos de ligações envolvidas e determinando suas fórmulas químicas.
Avaliar as propriedades dos compostos com base nas características das ligações químicas que os constituem.</t>
  </si>
  <si>
    <t>Geometria molecular e polaridade.</t>
  </si>
  <si>
    <t>Determinar o tipo de polaridade de ligações e compostos.
Determinar o tipo de geometria molecular de um composto.</t>
  </si>
  <si>
    <t>Forças de interação interpartículas.</t>
  </si>
  <si>
    <t>Forças intermoleculares e  interpartículas.</t>
  </si>
  <si>
    <t>Analisar as forças intermoleculares e interpartículas, avaliando como influenciam as características e propriedades físicas e químicas de compostos.</t>
  </si>
  <si>
    <t xml:space="preserve">Ligações e interações - Praticando em química. </t>
  </si>
  <si>
    <t>Ligações, interações geometria e forças intermoleculares e interpartículas.</t>
  </si>
  <si>
    <t>Transformações químicas (fenômenos naturais e processos produtivos).</t>
  </si>
  <si>
    <t>Transformações químicas</t>
  </si>
  <si>
    <t>Reações químicas, classificação das reações e condições para a ocorrência de reações químicas.</t>
  </si>
  <si>
    <t>Representar e classificar reações químicas.
Avaliar as condições para ocorrência de reações químicas.</t>
  </si>
  <si>
    <t>Conservação de Massa (quantidade de matéria - relações entre massas, mol e número de partículas, equações químicas, proporções entre reagentes e produtos).</t>
  </si>
  <si>
    <t>Quantidade de matéria</t>
  </si>
  <si>
    <t xml:space="preserve">Unidade de massa atômica, constante de Avogadro ou número de Avogadro
Mol: quantidade de substâncias, massa molar, determinação da quantidade de material e leis ponderais.
</t>
  </si>
  <si>
    <t>Representar a quantidade de materia, relações de massa, mol, número de partículas equações químicas e suas proporções.</t>
  </si>
  <si>
    <t>Quantidade de matéria e reações - Praticando em química.</t>
  </si>
  <si>
    <t>Reações química.
Unidade de massa atômica, constante de Avogadro ou número de Avogadro
Mol: quantidade de substâncias, massa molar, determinação da quantidade de material e leis ponderais.</t>
  </si>
  <si>
    <t>(EM13CNT105) Analisar os ciclos biogeoquímicos e interpretar os efeitos de fenômenos naturais e da interferência humana sobre esses ciclos, para promover ações individuais e/ ou coletivas que minimizem consequências nocivas à vida.</t>
  </si>
  <si>
    <t>Soluções e concentrações;</t>
  </si>
  <si>
    <t>Misturas e concentrações.</t>
  </si>
  <si>
    <t>Concentração comum, título, densidade da solução e concentração mol/L</t>
  </si>
  <si>
    <t>Analisar a concentração em misturas e soluções do cotidiano.</t>
  </si>
  <si>
    <t xml:space="preserve">Misturas e concentrações - Praticando em química.  </t>
  </si>
  <si>
    <t>Solubilidade e curvas de solubilidade</t>
  </si>
  <si>
    <t>Identificar os processos de solubilidade e curva de solubilidade de soluções no cotidiano.</t>
  </si>
  <si>
    <t>Aspectos quantitativo das soluções</t>
  </si>
  <si>
    <t>Aspectos quantitativos das soluções e concentrações das soluções.</t>
  </si>
  <si>
    <t>Analisar os aspectos quantitativos de soluções, determinando suas respectivas concentrações.</t>
  </si>
  <si>
    <t>Cálculos de concentrações</t>
  </si>
  <si>
    <t xml:space="preserve">Relações entre concentração comum, título, densidade da solução e 
concentração mol/L
</t>
  </si>
  <si>
    <t>Comparar concentrações de soluções envolvendo concentração comum, título, densidade da solução e concentração mol/L</t>
  </si>
  <si>
    <t>Soluções e concentrações.</t>
  </si>
  <si>
    <t>Soluções e concentrações - química em prática</t>
  </si>
  <si>
    <t>Aspectos quantitativos das soluções e concentrações das soluções.
Relações entre concentração comum, título, densidade da solução e
concentração mol/L</t>
  </si>
  <si>
    <t>(EM13CNT309) Analisar questões socioambientais, políticas e econômicas relativas à dependência do mundo atual em relação aos recursos não renováveis e discutir a necessidade de introdução de alternativas e novas tecnologias energéticas e de materiais, comparando diferentes tipos de motores e processos de produção de novos materiais.
(EM13CNT106) Avaliar, com ou sem o uso de dispositivos e aplicativos digitais, tecnologias e possíveis soluções para as demandas que envolvem a geração, o transporte, a distribuição e o consumo de energia elétrica, considerando a disponibilidade de recursos, a eficiência energética, a relação custo/benefício, as características geográficas e ambientais, a produção de resíduos e os impactos socioambientais e culturais.</t>
  </si>
  <si>
    <t>Termoquímica (eficiência energética de diferentes combustíveis).</t>
  </si>
  <si>
    <t xml:space="preserve">Processos exotérmicos e endotérmico </t>
  </si>
  <si>
    <t>Processos exotérmicos e endotérmicos,
Entalpia.
∆H em reações exotérmicas.
∆H em reações endotérmicas.
Entalpia de formação</t>
  </si>
  <si>
    <t>Avaliar processos exotérmicos e endotérmicos, determinando sua variação de entalpia.
Avaliar a entalpia de formação de transformações químicas.</t>
  </si>
  <si>
    <t>Energia das ligações</t>
  </si>
  <si>
    <t>Entalpia de formação
Energia de ligação</t>
  </si>
  <si>
    <t>Avaliar a variação de entalpia em transformações químicas, considerando a entalpia de formação e energia de ligação.</t>
  </si>
  <si>
    <t>Lei de Hess</t>
  </si>
  <si>
    <t>Avaliar a variação de entalpia em transformações químicas, considerando a mediante a soma das entalpias de etapas individuais.</t>
  </si>
  <si>
    <t>Energia de ligação e lei de Hess - química em prática</t>
  </si>
  <si>
    <t xml:space="preserve">
Energia de ligação e Lei de Hess</t>
  </si>
  <si>
    <t>(EM13CNT107) Realizar previsões qualitativas e quantitativas sobre o funcionamento de geradores, motores elétricos e seus componentes, bobinas, transformadores, pilhas, baterias e dispositivos eletrônicos, com base na análise dos processos de transformação e condução de energia envolvidos – com ou sem o uso de dispositivos e aplicativos digitais –, para propor ações que visem a sustentabilidade.
(EM13CNT308) Investigar e analisar o funcionamento de equipamentos elétricos e/ou eletrônicos e sistemas de automação para compreender as tecnologias contemporâneas e avaliar seus impactos sociais, culturais e ambientais.</t>
  </si>
  <si>
    <t>Transformações químicas que envolvem corrente elétrica: processos da
eletrólise (galvanoplastia), pilhas e baterias (formação de resíduos, utilização, descarte).
Lixo eletrônico (descarte consciente).</t>
  </si>
  <si>
    <t>Número de oxidação (Nox)</t>
  </si>
  <si>
    <t>Número de oxidação (Nox)
Regras para a determinação do Nox
Variação do Nox nas reações de óxido-redução</t>
  </si>
  <si>
    <t>Investigar e analisar o número de oxidação e a variação do NOx em reações de óxido-redução, prevendo os produtos formados e a quantidade de elétrons envolvidos no processo.</t>
  </si>
  <si>
    <t>Transformações químicas que envolvem corrente elétrica: processos da
eletrólise (galvanoplastia), pilhas e baterias (formação de resíduos,
utilização, descarte).
Lixo eletrônico (descarte consciente).</t>
  </si>
  <si>
    <t>Número de oxidação - química em prática</t>
  </si>
  <si>
    <t>Pilhas e sua diferença de potencial</t>
  </si>
  <si>
    <t>Pilhas
Potencial das pilhas</t>
  </si>
  <si>
    <t>Investigar e prever de forma qualitativa e quantitativa o funcionamento de pilhas e baterias, bem como a sua diferença de potencial.</t>
  </si>
  <si>
    <t>Aula Complementar - Corrosão do ferro e proteção catódica.</t>
  </si>
  <si>
    <t>Corrosão do ferro
Proteção com eletrodo ou com metal de
sacrifício</t>
  </si>
  <si>
    <t>Identificar e Investigar o processo de corrosão do ferro e analisar métodos de proteção por eletrodos utilizados para preservar certos metais.</t>
  </si>
  <si>
    <t>Eletrólise ígnea
Eletrólise em meio aquoso</t>
  </si>
  <si>
    <t>Identificar e investigar o processo de eletrólise ígnea e em meio aquoso, analisando suas aplicações e relevância na sociedade contemporânea.</t>
  </si>
  <si>
    <t>Aula Complementar - Pilhas e eletrólise - química em prática</t>
  </si>
  <si>
    <t>Pilhas, potencial das pilhas
Eletrólise ígnea e eletrólise em meio aquoso</t>
  </si>
  <si>
    <t>(EM13CNT205) Interpretar resultados e realizar previsões sobre atividades experimentais, fenômenos naturais e processos tecnológicos, com base nas noções de probabilidade e incerteza, reconhecendo os limites explicativos das ciências.</t>
  </si>
  <si>
    <t>Condições para ocorrência de reações químicas</t>
  </si>
  <si>
    <t>Rapidez média de uma reação, condições para ocorrência de reações e teoria da colisão.</t>
  </si>
  <si>
    <t>Interpretar as condições necessárias para a ocorrência de reações químicas, utilizando exemplos do cotidiano para compreender como essas transformações acontecem.</t>
  </si>
  <si>
    <t>Fatores que influenciam a rapidez de uma reação</t>
  </si>
  <si>
    <t>Fatores que influenciam a rapidez de uma reação e lei da rapidez.</t>
  </si>
  <si>
    <t>Interpretar os fatores que influenciam a rapidez das reações químicas e prever seu impacto na velocidade média das reações, com base em situações práticas do dia a dia.</t>
  </si>
  <si>
    <t>Equilíbrio químico.</t>
  </si>
  <si>
    <t>Equilíbrio Químico: Interpretando o Kc</t>
  </si>
  <si>
    <t>Constante de equilíbrio em termos de
concentração.
Interpretação do valor de Kc e extensão da reação.</t>
  </si>
  <si>
    <t>Interpretar a constante de equilíbrio em termos de concentração.</t>
  </si>
  <si>
    <t>Quociente de equilíbrio.</t>
  </si>
  <si>
    <t>Analisar se uma reação química atingiu seu equilíbrio dinâmico por meio do quociente de equilíbrio.</t>
  </si>
  <si>
    <t>Princípio de Le Chatelier</t>
  </si>
  <si>
    <t>Deslocamento de equilíbrio
Princípio de Le Chatelier</t>
  </si>
  <si>
    <t>Identificar as forças envolvidas no deslocamento de equilíbrio e o princípio de Le Chatelier.</t>
  </si>
  <si>
    <t>Deslocamento de equilíbrio - química em prática</t>
  </si>
  <si>
    <t>Quociente de equilíbrio (QC),
Deslocamento de equilíbrio
Princípio de Le Chatelier</t>
  </si>
  <si>
    <t>Constante de ionização</t>
  </si>
  <si>
    <t>Constante de ionização
Lei da Diluição de Ostwald</t>
  </si>
  <si>
    <t>Analisar o equilíbrio químico em soluções ácidas ou básicas.
Relacionar a constante de ionização com a força de ácidos e bases.</t>
  </si>
  <si>
    <t>Produto iônico da água e pH.</t>
  </si>
  <si>
    <t>Produto iônico da água e pH.
Equilíbrio iônico da água.</t>
  </si>
  <si>
    <t>Analisar e relacionar o produto iônico da água com a escala de pH.</t>
  </si>
  <si>
    <t>Potencial hidrogeniônico - química em prática</t>
  </si>
  <si>
    <t>Constante de ionização
Lei da Diluição de Ostwald
Produto iônico da água e pH.
Equilíbrio iônico da água.</t>
  </si>
  <si>
    <t>Escala de pH e indicadores.</t>
  </si>
  <si>
    <t>Produto iônico da água (KW).
Escala de pH.
Indicadores e pH.</t>
  </si>
  <si>
    <t>Analisar a escala de pH e os indicadores de pH.</t>
  </si>
  <si>
    <t>Determinação do pH e pOH nas soluções</t>
  </si>
  <si>
    <t>Determinação da [H+] e da [OH–] nas soluções</t>
  </si>
  <si>
    <t>Investigar as concentrações e pH de soluções ácidas ou básicas.</t>
  </si>
  <si>
    <t>pH e pOH em soluções - química em prática</t>
  </si>
  <si>
    <t>Produto iônico da água (KW).
Escala de pH.
Determinação da [H+] e da [OH–] nas soluções</t>
  </si>
  <si>
    <t>(EM13CNT207) Identificar, analisar e discutir vulnerabilidades vinculadas às vivências e aos desafios contemporâneos aos quais as juventudes estão expostas, considerando os aspectos físico, psicoemocional e social, a fim de desenvolver e divulgar ações de prevenção e de promoção da saúde e do bem-estar.</t>
  </si>
  <si>
    <t>Compostos orgânicos (funções orgânicas: estrutura, propriedades e características para a saúde humana).</t>
  </si>
  <si>
    <t>Propriedades físicas e químicas de compostos orgânicos</t>
  </si>
  <si>
    <t>Composição, características gerais, temperatura de fusão e temperatura de ebulição, solubilidade e combustibilidade de composto orgânicos.</t>
  </si>
  <si>
    <t>Analisar a composição, características gerais, temperatura de fusão e temperatura de ebulição, solubilidade e combustibilidade de composto orgânicos.</t>
  </si>
  <si>
    <t>Carbono em Foco:  Cadeias e ligações e classificações</t>
  </si>
  <si>
    <t>Classificação do carbono, classificação das cadeias carbônicas, disposição dos átomos de carbono e tipo de ligação entre os átomos de carbono.
Natureza dos átomos que compõem a cadeia.</t>
  </si>
  <si>
    <t>Identificar a classificação do carbono, classificação das cadeias carbônicas, disposição dos átomos de carbono e tipo de ligação entre os átomos de carbono.
Identificar a natureza dos átomos que compõem a cadeia.</t>
  </si>
  <si>
    <t>Hidrocarbonetos</t>
  </si>
  <si>
    <t>Características e nomenclatura de hidrocarbonetos
Nomenclatura de hidrocarbonetos ramificados.</t>
  </si>
  <si>
    <t>Identificar a características e nomenclatura de hidrocarbonetos e de hidrocarbonetos ramificados.</t>
  </si>
  <si>
    <t>Funções oxigenadas</t>
  </si>
  <si>
    <t>Identificar as principais funções orgânicas oxigenadas.
Analisar a composição e a estrutura de compostos orgânicos oxigenados encontrados em substâncias, como entorpecentes, e refletir sobre seus efeitos adversos no organismo humano e nas dinâmicas sociais.</t>
  </si>
  <si>
    <t>Funções oxigenadas - química em prática</t>
  </si>
  <si>
    <t>Funções nitrogenadas</t>
  </si>
  <si>
    <t>Identificar as principais funções orgânicas nitrogenadas.
Analisar a composição e a estrutura de compostos orgânicos nitrogenados encontrados em substâncias  como entorpecentes, e refletir sobre seus efeitos adversos no organismo humano e nas dinâmicas sociais.</t>
  </si>
  <si>
    <t>Funções nitrogenadas - química em prática</t>
  </si>
  <si>
    <t>(EM13CNT310) Investigar e analisar os efeitos de programas de infraestrutura e demais serviços básicos (saneamento, energia elétrica, transporte, telecomunicações, cobertura vacinal, atendimento primário à saúde e produção de alimentos, entre outros) e identificar necessidades locais e/ou regionais em relação a esses serviços, a fim de avaliar e/ou promover ações que contribuam para a melhoria na qualidade de vida e nas condições de saúde da população</t>
  </si>
  <si>
    <t>Agrotóxicos e alimentos.
Plásticos (polímeros).</t>
  </si>
  <si>
    <t>Isomeria plana
e espacial</t>
  </si>
  <si>
    <t>Isomeria plana
Isomeria espacial</t>
  </si>
  <si>
    <t>Investigar isomeria plana e espacial em alimentos ou  polímeros</t>
  </si>
  <si>
    <t>Isomeria geométrica e  óptica</t>
  </si>
  <si>
    <t>Isomeria geométrica
Isomeria óptica</t>
  </si>
  <si>
    <t>Investigar isomeria geométrica e óptica em alimentos ou  polímeros</t>
  </si>
  <si>
    <t>Isomeria - química em prática</t>
  </si>
  <si>
    <t>Isomeria plana, Isomeria espacial
Isomeria geométrica e Isomeria óptica</t>
  </si>
  <si>
    <t>Investigar a composição, estrutura, ligações químicas e sínteses de polímeros.</t>
  </si>
  <si>
    <t>Polímeros - química em prática</t>
  </si>
  <si>
    <t>Ano/Série</t>
  </si>
  <si>
    <t>Bimestre</t>
  </si>
  <si>
    <t>Semana</t>
  </si>
  <si>
    <t>Título GPS Semanal</t>
  </si>
  <si>
    <t>Aula</t>
  </si>
  <si>
    <t xml:space="preserve">Prática de linguagem </t>
  </si>
  <si>
    <t>Proposta</t>
  </si>
  <si>
    <t>Gênero textual</t>
  </si>
  <si>
    <t>Eixo Temático</t>
  </si>
  <si>
    <t>Sugestão 1</t>
  </si>
  <si>
    <t>Sugestão 2</t>
  </si>
  <si>
    <t>Sugestão 3</t>
  </si>
  <si>
    <t>Práticas pedagógicas</t>
  </si>
  <si>
    <t>Plataforma</t>
  </si>
  <si>
    <t>Objetivos de aprendizagem</t>
  </si>
  <si>
    <t>Habilidade - Código</t>
  </si>
  <si>
    <t>Habilidade - Texto</t>
  </si>
  <si>
    <t>Práticas de Leitura e Escrita do Bimestre | Elaboração do Projeto de Texto 1</t>
  </si>
  <si>
    <t>P1</t>
  </si>
  <si>
    <t>Carta pessoal</t>
  </si>
  <si>
    <t>Autonomia e Protagonismo</t>
  </si>
  <si>
    <t>Cartas ao meu vizinho palestino</t>
  </si>
  <si>
    <t>Diário de Anne Frank</t>
  </si>
  <si>
    <t>Valentes</t>
  </si>
  <si>
    <t>Predição guiada (Pelo título/capa, eu acho que... Porque...); Leitura compartilhada; Leitura individual com marcação de trechos que chamaram atenção.</t>
  </si>
  <si>
    <t>Leia SP</t>
  </si>
  <si>
    <t>- Desenvolver habilidades de predição literária a partir de elementos paratextuais (título/capa), articulando hipóteses com experiências prévias de leitura.
- Estabelecer relações entre a obra literária contemporânea e suas manifestações na cultura digital, reconhecendo diferentes formas de circulação e recepção.</t>
  </si>
  <si>
    <t>- EM13LP01
- EM13LP45
- EM13LP48</t>
  </si>
  <si>
    <t>- Relacionar o texto, tanto na produção como na recepção, com suas condições de produção e seu contexto sócio-histórico de circulação (leitor previsto, objetivos, pontos de vista e perspectivas, papel social do autor, época, gênero do discurso etc.).
- Compartilhar sentidos construídos na leitura/escuta de textos literários, percebendo diferenças e eventuais tensões entre as formas pessoais e as coletivas de apreensão desses textos, para exercitar o diálogo cultural e aguçar a perspectiva crítica.
- Perceber as peculiaridades estruturais e estilísticas de diferentes gêneros literários (a apreensão pessoal do cotidiano nas crônicas, a manifestação livre e subjetiva do eu lírico diante do mundo nos poemas, a múltipla perspectiva da vida humana e social dos romances, a dimensão política e social de textos da literatura marginal e da periferia etc.) para experimentar os diferentes ângulos de apreensão do indivíduo e do mundo pela literatura.</t>
  </si>
  <si>
    <t>Produção de textos</t>
  </si>
  <si>
    <t>- Brainstorm de ideias em grupo
- Planejamento do texto com scaffold (moldura preenchível)</t>
  </si>
  <si>
    <t>N/A</t>
  </si>
  <si>
    <t>- Realizar brainstorm de ideias em grupo.
- Planejar carta com base em moldura preenchível.</t>
  </si>
  <si>
    <t>- EM13LGG101
- EM13LP13</t>
  </si>
  <si>
    <t>- Compreender e analisar processos de produção e circulação de discursos, nas diferentes linguagens, para fazer escolhas fundamentadas em função de interesses pessoais e coletivos.
- 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</si>
  <si>
    <t>Práticas de Leitura | Elaboração do rascunho</t>
  </si>
  <si>
    <t>Leitura compartilhada; Levantar previsões; Elaborar possíveis conexões com a contemporaneidade e com a realidade do estudante</t>
  </si>
  <si>
    <t>- Identificar características formais do gênero epistolar.
- Elaborar hipóteses interpretativas.</t>
  </si>
  <si>
    <t xml:space="preserve">Rascunho do texto. </t>
  </si>
  <si>
    <t xml:space="preserve">Redigir o rascunha da redação com base na moldura preenchível.
</t>
  </si>
  <si>
    <t>- EM13LP02A
- EM13LP13</t>
  </si>
  <si>
    <t>- Estabelecer relações entre as partes do texto, tanto na produção como na leitura/escuta, considerando a construção composicional e o estilo do gênero.
- 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</si>
  <si>
    <t>Práticas de Leitura | Versão final do Texto 1</t>
  </si>
  <si>
    <t>Análise de marcas de interlocução (vocativos); Leitura expressiva para identificar o tom</t>
  </si>
  <si>
    <t>- Reconhecer a estrutura do gênero epistolar (data, saudação, corpo).
- Utilizar marcas de subjetividade e interlocução.</t>
  </si>
  <si>
    <t xml:space="preserve">Elaboração da redação de forma manuscrita e submissão na plataforma. </t>
  </si>
  <si>
    <t>Redação Paulista</t>
  </si>
  <si>
    <t>- Produzir versão final da carta.
- Organizar ideias de forma coerente.</t>
  </si>
  <si>
    <t>Práticas de Leitura | Devolutiva do Texto 1</t>
  </si>
  <si>
    <t>Leituras individuais e compartilhadas</t>
  </si>
  <si>
    <t xml:space="preserve">
- Promover o debate sobre interpretações diversas.</t>
  </si>
  <si>
    <t xml:space="preserve">Releitura do texto a partir da devolutiva, com compreensão de pontos fortes e detecção de oportunidades de melhorias. </t>
  </si>
  <si>
    <t xml:space="preserve">Identificar possibilidades de melhorias no texto produzido a partir das devolutivas da correção.
</t>
  </si>
  <si>
    <t>EM13LP13</t>
  </si>
  <si>
    <t>- 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</si>
  <si>
    <t>Práticas de Leitura | Elaboração do Projeto de Texto 2</t>
  </si>
  <si>
    <t>P2</t>
  </si>
  <si>
    <t>Conto</t>
  </si>
  <si>
    <t>- Quadro de termos-alvo (3-5 no máximo): exibir na lousa e pedir previsões ("o que você já sabe/imagina?")
- Leitura compartilhada
- Leitura individual</t>
  </si>
  <si>
    <t>- Inferir o sentido de palavras-chave (termos-alvo) antes e durante a leitura, utilizando o contexto como estratégia de compreensão.
- Participar de discussões coletivas sobre os sentidos do texto construídos durante a leitura compartilhada.</t>
  </si>
  <si>
    <t>- Ficha de planejamento: Personagem (nome, idade, um traço forte)
- Objetivo e motivação
- Conflito (o que atrapalha?)
- Cenários, Objetos-chave, Ponto de virada
- Decisão
- Desfecho</t>
  </si>
  <si>
    <t>- Planejar a estrutura de um conto, delimitando personagens, conflito e desfecho de forma articulada.
- Caracterizar personagens a partir de traços psicológicos e motivações para sustentar a progressão narrativa.
- Estabelecer o ponto de virada (clímax) e o desfecho como elementos de resolução do conflito central.</t>
  </si>
  <si>
    <t>- Paradas estratégicas (recapitular, inferir, visualizar)
- Leitura compartilhada
- Leitura individual</t>
  </si>
  <si>
    <t>- Selecionar trechos significativos do texto.
- Compartilhar interpretações com a turma.</t>
  </si>
  <si>
    <t>- Esqueleto do enredo em 5 passos (situação inicial/gancho, complicação, percurso, clímax, desfecho)</t>
  </si>
  <si>
    <t>- Organizar a estrutura do conto em etapas lógicas, garantindo a progressão da situação inicial ao desfecho.
- Delinear o conflito (complicação) e o ponto de máxima tensão (clímax) como eixos centrais da unidade de efeito do conto.
- Estabelecer relações de causalidade entre o percurso da ação e a resolução da narrativa.</t>
  </si>
  <si>
    <t>Práticas de Leitura | Versão final do Texto 2</t>
  </si>
  <si>
    <t>- Leitura compartilhada
- Leitura individual
- Nomear personagens e espaços (cenários) vistos até agora</t>
  </si>
  <si>
    <t>- Sintetizar ideias centrais do texto.
- Selecionar citações que evidenciem a interpretação.</t>
  </si>
  <si>
    <t>- Revisão da versão final do texto
- Submissão da redação na plataforma</t>
  </si>
  <si>
    <t>- Revisar o texto produzido, considerando os critérios de clareza, coesão e adequação ao gênero reportagem.
- Editar a versão final com base nas características do gênero e nas condições de produção.
- Finalizar e publicar o texto na plataforma, respeitando os aspectos formais e editoriais da proposta.</t>
  </si>
  <si>
    <t>Práticas de Leitura | Devolutiva do Texto 2</t>
  </si>
  <si>
    <t>- Engajar-se em leitura compartilhada extensiva, demonstrando persistência e interesse na conclusão da obra.
- Expressar opiniões fundamentadas sobre a leitura concluída, articulando reflexões pessoais com elementos textuais.</t>
  </si>
  <si>
    <t>- Análise da devolutiva da correção
- Construção de quadro "O que está bom; O que preciso melhorar; O que vou fazer para melhorar."</t>
  </si>
  <si>
    <t>- Compreender os critérios utilizados na correção da produção textual. 
- Refletir sobre os aspectos positivos e os pontos de melhoria do texto produzido.
- Elaborar estratégias para aprimorar a escrita em futuras produções.</t>
  </si>
  <si>
    <t>Práticas de Leitura e Escrita do Bimestre | Elaboração do Projeto de Texto 3</t>
  </si>
  <si>
    <t>P3</t>
  </si>
  <si>
    <t>Artigo de Opinião</t>
  </si>
  <si>
    <t>Expectativas e Realidades</t>
  </si>
  <si>
    <t>Suave aroma dos campos de lavanda</t>
  </si>
  <si>
    <t>A menina que roubava livros</t>
  </si>
  <si>
    <t>Ninguém pode parar uma mulher ventania</t>
  </si>
  <si>
    <t>Ativação de conhecimentos prévios (schema activation, perguntas de aquecimento, como "o que você já sabe sobre...); Marcação de quem, onde e quando no texto.</t>
  </si>
  <si>
    <t>- Identificar quem, onde e quando no texto.
- Ativar conhecimentos prévios sobre o tema e o gênero.</t>
  </si>
  <si>
    <t>Ficha de planejamento textual: Tema/Questão, possíveis argumentos; formalidade x informalidade</t>
  </si>
  <si>
    <t>- Planejar um texto de opinião, considerando a estrutura do gênero e as fontes de informação pertinentes ao tema.
- Elaborar projeto de texto que contemple a problemática mapeada e os dados coletados, organizando as informações de forma clara e objetiva.</t>
  </si>
  <si>
    <t>Leitura individual usando a técnica do Stop and Jot (a cada 5 min, anote 2 ideias + 1 pergunta. Ao final, troca com o colega)</t>
  </si>
  <si>
    <t>Desenvolver a autonomia leitora por meio de estratégias de anotação e formulação de perguntas durante a leitura.</t>
  </si>
  <si>
    <t>- Brainstorm e esqueleto do texto
- Listagem de ideias e ordenamento delas no texto (importante ser feito de forma manuscrita)</t>
  </si>
  <si>
    <t>Produzir o rascunho do texto de opinião, organizando as informações coletadas em uma estrutura clara e objetiva.</t>
  </si>
  <si>
    <t>Práticas de Leitura | Versão final do Texto 3</t>
  </si>
  <si>
    <t>Leitura compartilhada em voz alta; Leitura individual. Discussão sobre tópicos que chamaram atenção na leitura e conexão com fatos da realidade e do contexto dos estudantes.</t>
  </si>
  <si>
    <t>- Estabelecer relações entre a obra literária e o contexto dos estudantes.
- Promover a articulação entre o texto literário e a realidade dos estudantes.</t>
  </si>
  <si>
    <t>- Revisão da versão final do texto entre pares
- Submissão da redação na plataforma</t>
  </si>
  <si>
    <t>- Revisar o texto produzido, considerando os critérios de clareza, coesão e adequação ao gênero texto de opinião.
- Editar a versão final com base nas características do gênero e nas condições de produção.
- Finalizar e publicar o texto na plataforma, respeitando os aspectos formais e editoriais da proposta.</t>
  </si>
  <si>
    <t>Práticas de Leitura | Devolutiva do Texto 3</t>
  </si>
  <si>
    <t>Leitura compartilhada; CER (Claim-Evidence-Reasoning): em grupos, os alunos criam min-argumentos com evidências. Ex: Claim/Afirmação "Fulano é corajoso", Evidence/Evidência com uma citação ou trecho do livro, Reasoning/Raciocínio com o porquê de a citação ou o trecho provar a afirmação.</t>
  </si>
  <si>
    <t>Desenvolver a capacidade de construir argumentos sustentados em evidências textuais, utilizando a estrutura CER (Claim-Evidence-Reasoning).</t>
  </si>
  <si>
    <t>Práticas de Leitura e Escrita do Mês | Elaboração do Projeto de Texto 4</t>
  </si>
  <si>
    <t>P4</t>
  </si>
  <si>
    <t>Crônica</t>
  </si>
  <si>
    <t>Paradas estratégicas (recapitular, inferir, visualizar); Leitura compartilhada; Leitura individual.</t>
  </si>
  <si>
    <t>Identificar temas centrais da obra e relacioná-los a questões da realidade e do contexto dos estudantes.</t>
  </si>
  <si>
    <t>- Ficha de planejamento textual: principais ideias, organização no texto, primeira versão.</t>
  </si>
  <si>
    <t>- Planejar a estrutura narrativa da crônica, definindo o ponto de vista e o tom (lírico ou reflexivo) que guiará a escrita.
- Esboçar o projeto de texto, organizando a sequência de ações e as reflexões subjetivas que sustentam a temática proposta.</t>
  </si>
  <si>
    <t>- KWL (Know-Want-Learned): liste o que sei / o que quero saber da história / o que aprendi
- Leitura compartilhada
- Leitura individual</t>
  </si>
  <si>
    <t>- Recuperar informações previamente lidas.
- Debater interpretações, consolidando a compreensão do texto.</t>
  </si>
  <si>
    <t>Elaboração do rascunho da redação a partir da ficha de planejamento textual</t>
  </si>
  <si>
    <t>- Traduzir o planejamento da ficha textual em um rascunho de crônica, mantendo a fidelidade ao projeto de texto inicial.
- Desenvolver a progressão narrativa do rascunho, articulando o fato cotidiano escolhido com as reflexões sensíveis planejadas.
- Empregar recursos de coesão sequencial para garantir a fluidez entre a introdução do fato e o desfecho reflexivo.</t>
  </si>
  <si>
    <t>Práticas de Leitura | Versão final do Texto 4</t>
  </si>
  <si>
    <t>- Leitura compartilhada</t>
  </si>
  <si>
    <t>Selecionar e justificar a escolha de trechos significativos, promovendo a troca de interpretações entre os pares.</t>
  </si>
  <si>
    <t>- Revisar o texto produzido, considerando os critérios de clareza, coesão e adequação ao gênero crônica.
- Editar a versão final com base nas características do gênero e nas condições de produção.
- Finalizar e publicar o texto na plataforma, respeitando os aspectos formais e editoriais da proposta.</t>
  </si>
  <si>
    <t>Práticas de Leitura | Devolutiva do Texto 4</t>
  </si>
  <si>
    <t>- Discussão em sala sobre o que foi lido até agora
- Predict and verify (previsão de ideia/conteúdo)
- Leitura compartilhadal
- Verificação da predição</t>
  </si>
  <si>
    <t>Analisar a evolução do personagem e extrair lições e reflexões a partir de sua trajetória na obra.</t>
  </si>
  <si>
    <t>Práticas de Leitura e Escrita do Bimestre | Elaboração do Projeto de Texto 5</t>
  </si>
  <si>
    <t>P5</t>
  </si>
  <si>
    <t>Dissertação Argumentativa ENEM</t>
  </si>
  <si>
    <t>Ancestralidade e Sustentabilidade</t>
  </si>
  <si>
    <t>O amanhã não está à venda</t>
  </si>
  <si>
    <t>A vida não é útil</t>
  </si>
  <si>
    <t>O Guarani</t>
  </si>
  <si>
    <t>Discussão em sala de predição e questionamento: com base no título, na capa e no autor, o que se pode prever do livro?; Leitura compartilhada; Leitura individual.</t>
  </si>
  <si>
    <t>Formular hipóteses de leitura com base no título, capa e autor, validando-as durante a leitura compartilhada.</t>
  </si>
  <si>
    <t>- Discussão em sala para entendimento do tema
- Definição de recorte argumentativo e formulação de tese
- Projeto de texto</t>
  </si>
  <si>
    <t>- Debater questões relevantes da vida escolar, juvenil, social, política, econômica ou científica que servirão de base para a produção textual.
 - Produzir um projeto de texto conforme a situação comunicativa delimitada pela proposta de produção do mês.</t>
  </si>
  <si>
    <t>- EM13LP09
- EM13LP10
- EM13LP13</t>
  </si>
  <si>
    <t>- Fazer curadoria de informações, tendo em vista diferentes propósitos e projetos discursivos.
- Selecionar informações, dados e argumentos em fontes confiáveis, impressas e digitais, e utilizá-los de forma referenciada, para que o texto a ser produzido tenha um nível de aprofundamento adequado (para além do senso comum) e contemple a sustentação das posições defendidas.
- 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</si>
  <si>
    <t>Retrieval (prática de recuperação) em espaçamento: recaptular o que foi lido por último sem recorrer ao texto ou a anotações; Leitura em voz alta; Leitura individual.</t>
  </si>
  <si>
    <t>- Recuperar informações da leitura anterior.  
- Avançar na compreensão do texto por meio da leitura individual.</t>
  </si>
  <si>
    <t>- Definição de repertório sociocultural (lembrar na lousa os critérios ENEM para validação de repertório)
- Discussão e pesquisa de repertório
- Escrita da introdução</t>
  </si>
  <si>
    <t>- Elaborar a introdução da dissertação, apresentando tese clara e repertório sociocultural pertinente ao tema central da proposta.
- Assegurar a contextualização do tema e a antecipação dos argumentos que serão desenvolvidos nos parágrafos subsequentes.</t>
  </si>
  <si>
    <t>Práticas de Leitura | Versão final do Texto 5</t>
  </si>
  <si>
    <t>Leitura compartilhada; Leitura individual com estratégia Stop and Jot 10-2-1 (10min de leitura, 2 ideias e uma pergunta). Troca com colega.</t>
  </si>
  <si>
    <t>Desenvolver a compreensão leitora por meio de anotações e troca de interpretações com os colegas.</t>
  </si>
  <si>
    <t>- Escrita dos parágrafos de desenvolvimento
- Escrita da conclusão (foco na proposta de intervenção)</t>
  </si>
  <si>
    <t>- Desenvolver os parágrafos de argumentação com base em repertório válido e articulação lógica entre ideias, defendendo a tese apresentada na introdução.
- Elaborar a conclusão com proposta de intervenção viável, detalhada e relacionada à discussão desenvolvida ao longo do texto.</t>
  </si>
  <si>
    <t>Práticas de Leitura | Devolutiva do Texto 5</t>
  </si>
  <si>
    <t>Leitura compartilhada; Leitura com Timer 7-2-1: 7min lendo, 2 min anotando "o que aprendi" e 1min escolhendo uma citação ou trecho qiue chamou atenção.</t>
  </si>
  <si>
    <t>- Revisão da versão final do texto 
- Submissão na plataforma</t>
  </si>
  <si>
    <t>- Revisar e editar a dissertação, verificando a adequação à norma culta, a clareza argumentativa e a estrutura do texto dissertativo-argumentativo.
- Submeter a versão final na plataforma, assegurando o atendimento aos critérios de correção do ENEM.</t>
  </si>
  <si>
    <t>- EM13LP02
- EM13LP13</t>
  </si>
  <si>
    <t>- Estabelecer relações entre as partes do texto, tanto na produção como na recepção, considerando a construção composicional e o estilo do gênero, usando/reconhecendo adequadamente elementos e recursos coesivos diversos que contribuam para a coerência, a continuidade do texto e sua progressão temática, e organizando informações, tendo em vista as condições de produção e as relações lógico-discursivas envolvidas (causa/efeito ou consequência; tese/argumentos; problema/solução; definição/exemplos etc.). 
- Planejar, produzir, revisar, editar, reescrever e avaliar textos escritos e multissemióticos, considerando sua adequação às condições de produção do texto, no que diz respeito ao lugar social a ser assumido e à imagem que se pretende passar a respeito de si mesmo, ao leitor pretendido, ao veículo e mídia em que o texto ou produção cultural vai circular, ao contexto imediato e sócio-histórico mais geral, ao gênero textual em questão e suas regularidades, à variedade linguística apropriada a esse contexto e ao uso do conhecimento dos aspectos notacionais (ortografia padrão, pontuação adequada, mecanismos de concordância nominal e verbal, regência verbal etc.), sempre que o contexto o exigir.</t>
  </si>
  <si>
    <t>Práticas de Leitura e Escrita do Mês | Elaboração do Projeto de Texto 6</t>
  </si>
  <si>
    <t>P6</t>
  </si>
  <si>
    <t>Dissertação Argumentativa Provão Paulista</t>
  </si>
  <si>
    <t>Práticas de Leitura | Versão final do Texto 6</t>
  </si>
  <si>
    <t>Práticas de Leitura | Devolutiva do Texto 6</t>
  </si>
  <si>
    <t>Leitura compartilhada até o final do livro (ou o mais próximo disso possível); Reflexões e discussão em sala sobre a leitura.</t>
  </si>
  <si>
    <t>- Consolidar a compreensão da obra por meio da leitura completa.
- Promover a troca de interpretações, valorizando a diversidade de perspectivas.</t>
  </si>
  <si>
    <t>Práticas de Leitura e Escrita do Bimestre | Elaboração do Projeto de Texto 7</t>
  </si>
  <si>
    <t>P7</t>
  </si>
  <si>
    <t>Dignidade e Justiça Social</t>
  </si>
  <si>
    <t>Vidas Secas</t>
  </si>
  <si>
    <t>A Cabeça do Santo</t>
  </si>
  <si>
    <t>Os Sertões</t>
  </si>
  <si>
    <t>- Definição de repertório sociocultural (lembrar na lousa os critérios Vunesp para validação de repertório)
- Discussão e pesquisa de repertório
- Escrita da introdução</t>
  </si>
  <si>
    <t>Práticas de Leitura | Versão final do Texto 7</t>
  </si>
  <si>
    <t>Práticas de Leitura | Devolutiva do Texto 7</t>
  </si>
  <si>
    <t>- Revisar e editar a dissertação, verificando a adequação à norma culta, a clareza argumentativa e a estrutura do texto dissertativo-argumentativo.
- Submeter a versão final na plataforma, assegurando o atendimento aos critérios de correção da Vunesp.</t>
  </si>
  <si>
    <t>Práticas de Leitura e Escrita do Mês | Elaboração do Projeto de Texto 8</t>
  </si>
  <si>
    <t>P8</t>
  </si>
  <si>
    <t>Práticas de Leitura | Versão final do Texto 8</t>
  </si>
  <si>
    <t>Práticas de Leitura | Devolutiva do Texto 8</t>
  </si>
  <si>
    <t>Discussão em sala sobre o componente durante o ano: livro mais querido, o que mais marcou, o que menos marcou, como os estudantes percebem a evolução textual deles</t>
  </si>
  <si>
    <t>- Refletir sobre o percurso de leitura e escrita ao longo do ano.
- Reconhecer avanços individuais na produção textual.
- Compartilhar percepções sobre as obras lidas, os gêneros trabalhados e os textos produzidos.</t>
  </si>
  <si>
    <t>Identidade, poder e responsabilidade</t>
  </si>
  <si>
    <t>Frankenstein</t>
  </si>
  <si>
    <t>O médico e o monstro</t>
  </si>
  <si>
    <t>Ativação de conhecimentos prévios pelo método KWL (Know-Want-Learned): discussão sobre o que se sabe sobre o autor e sua obra; Leitura compartilhada.</t>
  </si>
  <si>
    <t>- Ativar conhecimentos prévios sobre autor e obra por meio de metodologias estruturadas de organização do pensamento.
- Estabelecer relações entre a obra literária em estudo e temas relevantes da atualidade, preparando o repertório para a produção textual.</t>
  </si>
  <si>
    <t>- Organizar ideias para versão final do texto</t>
  </si>
  <si>
    <t>- Consolidar a compreensão geral da obra por meio da leitura integral ou extensiva.
- Expressar opiniões fundamentadas sobre a obra, articulando impressões pessoais com elementos textuais.
- Debater interpretações e temas da leitura, respeitando e relacionando diferentes perspectivas.</t>
  </si>
  <si>
    <t>Artigo de divulgação científica</t>
  </si>
  <si>
    <t>Mapa do gênero (lembrete visual); Mostrar um artigo de divulgação científica e trabalhar com os estudantes, Leitura em voz alta, Leitura individual.</t>
  </si>
  <si>
    <t>- Reconhecer as características estruturais e linguísticas do artigo de divulgação científica por meio do mapa do gênero.
- Desenvolver autonomia leitora na compreensão de textos de divulgação científica por meio da leitura individual.</t>
  </si>
  <si>
    <t>- Planejamento do artigo
- Discussão em sala: "Como checamos?" (passo a passo para verificar vídeo/imagem/texto/rumor)
- Fato x opinião</t>
  </si>
  <si>
    <t>- Planejar artigo de divulgação científica, considerando a estrutura do gênero e as fontes de informação pertinentes ao tema da proposta de produção textual.
- Elaborar projeto de texto que contemple a problemática mapeada e os dados coletados, organizando as informações de forma clara e objetiva.</t>
  </si>
  <si>
    <t>Predict and verify (antecipar o que virá e checar com evidências do texto. Exemplos: "eu acho que... Porque...); Leitura em voz alta; Leitura individual</t>
  </si>
  <si>
    <t>Formular hipóteses de leitura com base no título, capa e autor, validando-as durante a leitura.</t>
  </si>
  <si>
    <t>- Esqueleto da estrutura
- Elaboração do rascunho</t>
  </si>
  <si>
    <t>Produzir o rascunho da reportagem, organizando as informações coletadas em uma estrutura clara e objetiva.</t>
  </si>
  <si>
    <t>- Revisar o texto produzido, considerando os critérios de clareza, coesão e adequação ao gênero aetigo de divulgação científica.
- Editar a versão final com base nas características do gênero e nas condições de produção.
- Finalizar e publicar o texto na plataforma, respeitando os aspectos formais e editoriais da proposta.</t>
  </si>
  <si>
    <t>Raízes</t>
  </si>
  <si>
    <t>Auto da Compadecida</t>
  </si>
  <si>
    <t>As melhores histórias das mil e uma noites</t>
  </si>
  <si>
    <t>Predição guiada (Pelo título/capa, eu acho que... Porque...); Leitura individual; Leitura em voz alta; Marcação de quem, onde e quando no texto.</t>
  </si>
  <si>
    <t>Ficha de planejamento: Personagem (nome, idade, um traço forte); Objetivo e motivação; Conflito (o que atrapalha?); Cenários, Objetos-chave, Ponto de virada; Decisão; Desfecho</t>
  </si>
  <si>
    <t>- Planejar um conto, considerando a construção do protagonista, seu conflito ético e as consequências de suas escolhas.
- Elaborar um projeto de texto que contemple a situação inicial, o conflito, o ponto de virada e o desfecho.</t>
  </si>
  <si>
    <t>- Aplicar estratégias de leitura profunda por meio de paradas estratégicas para recapitulação, inferência e visualização de cenários.
- Consolidar a compreensão leitora por meio da prática diversificada (compartilhada e individual), adaptando estratégias ao ritmo pessoal.</t>
  </si>
  <si>
    <t>- Esqueleto do enredo em 5 passos (situação inicial/gancho, complicação, percurso, clímax, desfecho)
- Elaboração do rascunho da redação de forma manuscrita</t>
  </si>
  <si>
    <t>- Produzir um rascunho do conto, desenvolvendo a estrutura narrativa em 5 passos.
- Articular de forma coerente os elementos narrativos, mantendo a verossimilhança.</t>
  </si>
  <si>
    <t>Leitura compartilhada; Leitura individual; Nomear personagens e espaços (cenários) vistos até agora.</t>
  </si>
  <si>
    <t xml:space="preserve">- Identificar e caracterizar os personagens presentes no trecho lido.
- Reconhecer e descrever os espaços e cenários que compõem a narrativa.
- Estabelecer relações iniciais entre personagens, ambientes e a trama em desenvolvimento.
</t>
  </si>
  <si>
    <t>- Versão final do texto
- Submissão na plataforma</t>
  </si>
  <si>
    <t>- Revisar e editar o conto, aprimorando a caracterização do personagem, a progressão do conflito e o impacto do desfecho.
- Finalizar o texto assegurando a coerência narrativa e a adequação às características do gênero conto.</t>
  </si>
  <si>
    <t>- Aplicar estratégias de leitura profunda por meio de paradas estratégicas para recapitulação, inferência e visualização de cenários.
- Consolidar a compreensão leitora por meio da prática diversificada (compartilhada e individual), adaptando estratégias ao ritmo pessoal.</t>
  </si>
  <si>
    <t>- Análise da devolutiva da correção
- Construção de quadro "O que está bom; O que preciso melhorar; O que vou fazer para melhorar"</t>
  </si>
  <si>
    <t>Resumo e discussão da leitura até agora; Leitura individual; Leitura em voz alta.</t>
  </si>
  <si>
    <t>- Sintetizar os eventos e ideias principais dos trechos já lidos da obra.
- Estabelecer conexões entre diferentes partes do texto durante a leitura individual.
- Participar ativamente da discussão coletiva, articulando compreensões e dúvidas sobre a leitura.</t>
  </si>
  <si>
    <t>Discussão em sala sobre o que foi lido até agora; Predict and verify (previsão de ideia/conteúdo); Leitura compartilhada; Leitura individual; Verificação da predição.</t>
  </si>
  <si>
    <t>Desafios Sociais</t>
  </si>
  <si>
    <t>Hibisco Roxo</t>
  </si>
  <si>
    <t>O Fio das Missangas</t>
  </si>
  <si>
    <t>Pequeno manual antirracista</t>
  </si>
  <si>
    <t>Ativação de conhecimentos prévios (schema activation, perguntas de aquecimento, como "o que você já sabe sobre...); Leitura compartilhada; Leitura individual.</t>
  </si>
  <si>
    <t>- Recuperar, de memória, informações e eventos centrais da leitura anterior.
- Consolidar a compreensão do enredo e dos elementos narrativos por meio da recuperação espaçada.
- Avançar na leitura de forma autônoma, relacionando informações novas ao conteúdo já recuperado.</t>
  </si>
  <si>
    <t>Relações em Transformação</t>
  </si>
  <si>
    <t>Dom Casmurro</t>
  </si>
  <si>
    <t>O Primo Basílio</t>
  </si>
  <si>
    <t>Romeu e Julieta</t>
  </si>
  <si>
    <t>Discussão em sala de predição e questionamento: com base no título, na capa e no autor, o que se pode prever do livro? O que já se sabe sobre o livro; Leitura compartilhada; Leitura individual.</t>
  </si>
  <si>
    <t>Relações em transformação</t>
  </si>
  <si>
    <t>Leitura compartilhada; 10min de leitura com Timer 7-2-1: 7min lendo, 2 min anotando "o que aprendi" e 1min escolhendo uma citação ou trecho qiue chamou atenção.</t>
  </si>
  <si>
    <t>Dissertação Argumentativa - ENEM</t>
  </si>
  <si>
    <t>Valor da Vida</t>
  </si>
  <si>
    <t>Práticas de Leitura | Repertório sociocultural e elaboração da introdução do Texto 1</t>
  </si>
  <si>
    <t>- Recuperar, de memória, informações e eventos centrais da leitura anterior.
- Consolidar a compreensão do enredo e dos elementos narrativos por meio da recuperação espaçada.
- Avançar na leitura de forma autônoma, relacionando informações novas ao conteúdo já recuperado.</t>
  </si>
  <si>
    <t>Práticas de Leitura | Desenvolvimento e Conclusão</t>
  </si>
  <si>
    <t>Leitura compartilhada; Discussão do que foi lido até agora (pontos de destaque, argumentos utilizados pelo autor)</t>
  </si>
  <si>
    <t>- Identificar os principais argumentos e pontos de destaque do texto a partir da leitura compartilhada.
- Relacionar diferentes partes da obra, construindo uma compreensão global do texto.
- Expressar e fundamentar interpretações sobre a leitura, ouvindo e respeitando as perspectivas dos colegas.</t>
  </si>
  <si>
    <t>Leitura compartilhada; Fechamento da leitura com reflexões: formular em frases completas as principais ideias do livro.</t>
  </si>
  <si>
    <t>- Sintetizar as ideias centrais e a mensagem principal da obra em frases completas e coerentes.
- Relacionar elementos da narrativa para construir uma visão global e crítica do texto.
- Formular reflexões pessoais fundamentadas sobre o significado e impacto da obra lida.</t>
  </si>
  <si>
    <t>Revisão da correção e elaboração de mapa de melhorias</t>
  </si>
  <si>
    <t>Práticas de Leitura e Escrita do Mês | Elaboração do Projeto de Texto 2</t>
  </si>
  <si>
    <t>Identidade e Futuro</t>
  </si>
  <si>
    <t>Morangos Mofados</t>
  </si>
  <si>
    <t xml:space="preserve">- Formular hipóteses de leitura baseadas em elementos paratextuais (título, capa, autor).
- Verificar e ajustar as predições iniciais durante a leitura do texto.
- Desenvolver autonomia na construção de significado a partir da leitura individual.
</t>
  </si>
  <si>
    <t>Práticas de Leitura | Elaboração da Introdução</t>
  </si>
  <si>
    <t>- Identificar os principais argumentos e pontos de destaque do texto a partir da leitura compartilhada.
- Relacionar diferentes partes da obra, construindo uma compreensão global do texto.
- Expressar e fundamentar interpretações sobre a leitura, ouvindo e respeitando as perspectivas dos colegas.</t>
  </si>
  <si>
    <t>- Sintetizar as ideias centrais e a mensagem principal da obra em frases completas e coerentes.
- Relacionar elementos da narrativa para construir uma visão global e crítica do texto.
- Formular reflexões pessoais fundamentadas sobre o significado e impacto da obra lida.</t>
  </si>
  <si>
    <t>Práticas de Leitura | Versão Final do Texto 2</t>
  </si>
  <si>
    <t>Dissertação Argumentativa - Provão Paulista</t>
  </si>
  <si>
    <t>Rompendo o Silêncio</t>
  </si>
  <si>
    <t>Balada de Amor ao Vento</t>
  </si>
  <si>
    <t>Propósito explícito de leitura (dizer o "para quê", ex: ler para mapear tese e evidências, de modo a aumentar foco e retenção com metas claras); Leitura compartilhada;Leitura individual.</t>
  </si>
  <si>
    <t>- Identificar a tese central e as evidências que a sustentam durante a leitura.
- Manter o foco na leitura utilizando um propósito explícito como guia.
- Demonstrar compreensão da relação entre tese e argumentos por meio da leitura individual.</t>
  </si>
  <si>
    <t>Leitura compartilhada; Inferência com evidência (concluir o que não está explícito usando pistas + conhecimento prévio)</t>
  </si>
  <si>
    <t>- Identificar pistas textuais para elaborar inferências sobre o conteúdo implícito.
- Articular conhecimentos prévios com informações do texto para construir significados.
- Justificar conclusões inferidas com base em evidências textuais específicas.</t>
  </si>
  <si>
    <t>Leitura compartilhada; Discussão do que foi lido até agora (pontos de destaque, argumentos utilizados pelo autor); Gerar citações.</t>
  </si>
  <si>
    <t>- Identificar e analisar os principais argumentos e pontos de destaque do texto.
- Selecionar citações relevantes que representem ideias centrais ou argumentos-chave do autor.
- Justificar a escolha das citações com base em sua relevância para a compreensão do texto.</t>
  </si>
  <si>
    <t>História e Reparação</t>
  </si>
  <si>
    <t>A Visão das Plantas</t>
  </si>
  <si>
    <t>Propósito explícito de leitura (dizer o "para quê", ex: ler para mapear tese e evidências, de modo a aumentar foco e retenção com metas claras); 15min de leitura compartilhada;10min de leitura individual.</t>
  </si>
  <si>
    <t>Narrativas Negras</t>
  </si>
  <si>
    <t>Olhos D'Água</t>
  </si>
  <si>
    <t>Práticas de Leitura | Versão Final do Texto 1</t>
  </si>
  <si>
    <t>Desafios Estruturais</t>
  </si>
  <si>
    <t>Canção Para Ninar Menino Grande</t>
  </si>
  <si>
    <t>Do Passado ao Presente</t>
  </si>
  <si>
    <t>Memórias póstumas de Brás Cubas</t>
  </si>
  <si>
    <t>AULAS</t>
  </si>
  <si>
    <t>HABILIDADES - BNCC COMPUTAÇÃO (CÓDIGO)</t>
  </si>
  <si>
    <t>HABILIDADES - BNCC COMPUTAÇÃO (TEXTO)</t>
  </si>
  <si>
    <t>DESCRITIVO</t>
  </si>
  <si>
    <t>1 e 2</t>
  </si>
  <si>
    <t>EF15CO06
EF15CO07</t>
  </si>
  <si>
    <t>• Conhecer os componentes básicos de dispositivos computacionais, entendendo os princípios de seu funcionamento.
• Conhecer o conceito de Sistema Operacional e sua importância na integração entre software e hardware.</t>
  </si>
  <si>
    <t>Sala de aula invertida – Micro:bit componentes.</t>
  </si>
  <si>
    <t>Pequenos dispositivos, Grandes ideias – Invertendo a aula com o micro:bit</t>
  </si>
  <si>
    <t>• Computadores, aparelhos e micro:bit.
• Pitch.
• Sala de aula invertida.</t>
  </si>
  <si>
    <t>• Comparar computadores com videogames, celulares e microcontroladores;
• Identificar quais são os recursos embarcados no micro:bit por meio da utilização de pitches e da sala de aula invertida.</t>
  </si>
  <si>
    <t>3 e 4</t>
  </si>
  <si>
    <t>EF03CO06</t>
  </si>
  <si>
    <t>• Reconhecer que, para um computador realizar tarefas, ele se comunica com o mundo exterior com o uso de interfaces físicas (dispositivos de entrada e saída).</t>
  </si>
  <si>
    <t>Apresentando o micro:bit com as nossas palavras</t>
  </si>
  <si>
    <t>• Sala de aula invertida.
• Pitch – Recursos da placa micro:bit.</t>
  </si>
  <si>
    <t>Compreender o papel dos microcontroladores, reconhecendo os recursos embarcados na placa micro:bit, sua origem e suas aplicações em computação física e robótica educacional, por meio de atividades investigativas e colaborativas com uso de metodologias ativas.</t>
  </si>
  <si>
    <t>5 e 6</t>
  </si>
  <si>
    <t>EF03CO06
EI03CO09</t>
  </si>
  <si>
    <t>• Reconhecer que, para um computador realizar tarefas, ele se comunica com o mundo exterior com o uso de interfaces físicas (dispositivos de entrada e saída).
• Identificar dispositivos computacionais e as diferentes formas de interação.</t>
  </si>
  <si>
    <t>Interface, eficiência e acessibilidade.</t>
  </si>
  <si>
    <t>Onde se criam os programas</t>
  </si>
  <si>
    <t>• IDE e sua relação com a programação e a robótica.
• Resolução de problemas e aplicações na vida real.
• Recursos da programação em blocos.</t>
  </si>
  <si>
    <t>Compreender o papel e a funcionalidade das IDEs (Ambientes de Desenvolvimento Integrado) no processo de programação, reconhecendo a versatilidade do MakeCode como ferramenta educacional para desenvolvimento de projetos com o micro:bit.</t>
  </si>
  <si>
    <t>7 e 8</t>
  </si>
  <si>
    <t>EI03CO03</t>
  </si>
  <si>
    <t>Experienciar a execução de algoritmos brincando com objetos (des)plugados.</t>
  </si>
  <si>
    <t>Atividades Plugadas e Desplugadas.</t>
  </si>
  <si>
    <t>Atividade desplugada – Um outro jeito de aprender</t>
  </si>
  <si>
    <t>• Tecnologia e saúde.
• Atividades plugadas e desplugadas.
• Brincadeiras, matemática e interação.
• Input/output.</t>
  </si>
  <si>
    <t>• Compreender que tudo em excesso faz mal.
• Experimentar e vivenciar aprendizagem com atividades desplugadas.
• Identificar a matemática presente nas brincadeiras tradicionais.</t>
  </si>
  <si>
    <t>Output/Input e Sensores.</t>
  </si>
  <si>
    <t>Olhos digitais: sentidos à la micro:bit</t>
  </si>
  <si>
    <t>• Sensores – Input/Output (analogia com o corpo humano).
• Sensores analógicos de digitais.
• Sensor PIR (Passive Infrared Sensor).</t>
  </si>
  <si>
    <t>• Estabelecer analogias entre os 5 sentidos e os sensores
• Compreender a diferença entre sensores analógicos e digitais e como isso interfere na sua programação.
• Entender como criar sistemas de vigilância com o sensor PIR.</t>
  </si>
  <si>
    <t>11 e 12</t>
  </si>
  <si>
    <t>EM13CO18
EF03CO06</t>
  </si>
  <si>
    <t>• Planejar e gerenciar projetos integrados às áreas de conhecimento de forma colaborativa, solucionando problemas, usando diversos artefatos computacionais.
• Reconhecer que, para um computador realizar tarefas, ele se comunica com o mundo exterior com o uso de interfaces físicas (dispositivos de entrada e saída).</t>
  </si>
  <si>
    <t>Aplicação prática de Sensores.</t>
  </si>
  <si>
    <t>Olhos digitais: sentidos à la micro:bit – Limitações</t>
  </si>
  <si>
    <t>• Limitações técnicas.
• Adaptações/Redesign.</t>
  </si>
  <si>
    <t>• Investigar os comportamentos inesperados do sensor PIR e suas causas.
• Julgar a adequação do sensor PIR ao contexto da brincadeira.
• Criar uma proposta de redesign do jogo ou do sistema com base nas limitações encontradas.</t>
  </si>
  <si>
    <t>13 e 14</t>
  </si>
  <si>
    <t>Aplicação prática de Sensores – acelerômetro.</t>
  </si>
  <si>
    <t>Quando um sensor não basta, o pensamento computacional prevalece</t>
  </si>
  <si>
    <t>• Eixos X, Y e Z (movimento lateral, frontal e vertical).
• Representação visual simplificada na matriz de LEDs.
• Pensamento computacional aplicado à interpretação de sensores – mapeamento.</t>
  </si>
  <si>
    <t>• Identificar os três eixos do acelerômetro (X, Y, Z).
• Explicar a diferença entre “evento de chacoalhar” e leitura direta dos eixos.
• Usar os valores de X e Y para controlar a posição de um LED na matriz.
• Comparar como dados brutos de aceleração podem ser transformados em algo visual (nível digital).</t>
  </si>
  <si>
    <t>EF09CO03</t>
  </si>
  <si>
    <t>• Usar autômatos para descrever comportamentos de forma abstrata automatizando-os através de uma linguagem de programação baseada em eventos.</t>
  </si>
  <si>
    <t>História e evolução da tecnologia dos autômatos.</t>
  </si>
  <si>
    <t>Do vapor ao chip: autômatos</t>
  </si>
  <si>
    <t>• Robôs, androides e autômatos.
• Os grandes relógios medievais e o surgimento da automação mecânica.
• As guildas de relojoeiros e a evolução da precisão mecânica.
• Dos Cames aos cartões perfurados.
• Mecanização das indústrias.
• Reflexos da automação na computação moderna.</t>
  </si>
  <si>
    <t>• Diferenciar robôs, androides e autômatos.
• Identificar e explicar o papel dos grandes relógios medievais como precursores da automação mecânica.
• Analisar como a evolução dos mecanismos relojoeiros levou ao desenvolvimento dos autômatos e à miniaturização tecnológica.
• Explicar como os princípios dos autômatos foram incorporados às indústrias na Primeira Revolução Industrial.
• Relacionar as tecnologias da Primeira Revolução Industrial à base dos sistemas automatizados modernos.</t>
  </si>
  <si>
    <t>Como controlar o movimento usando a mecânica.</t>
  </si>
  <si>
    <t>[Competição de Robótica] Autômato Maker: Ideias em Movimento – Parte 1</t>
  </si>
  <si>
    <t>• Conceitos básicos que regem o funcionamento de um autômato.
• Partes que compõem um autômato.
• Alavancas, conceito e tipificação.
• Formato do came e controle de movimento.
• Competição de robótica
• OBR artística</t>
  </si>
  <si>
    <t>• Distinguir as diferenças entre um autômato e um robô moderno.
• Relacionar o controle de movimento com os mecanismos que utilizam alavancas.
• Descrever as partes que compõem um autômato e como elas interagem entre si.
• Conhecer a proposta de competição, baseada na OBR Artística, e os critérios de avaliação</t>
  </si>
  <si>
    <t>[Competição de Robótica] Autômato Maker: Ideias em Movimento – Parte 2</t>
  </si>
  <si>
    <t>• Desafios do processo criativo.
• Remix de ideias.
• Cames e controle de movimento.
• Montar a caixa de exposição, com eixos e cames.</t>
  </si>
  <si>
    <t>• Refletir criticamente sobre os desafios envolvidos no processo de criação.
• Analisar como o remix de ideias contribui para a criação de projetos originais.
• Investigar como a pesquisa e a observação de referências influenciam o processo criativo.
• Aplicar os princípios da cultura maker para planejar e construir uma caixa expositora que integre um autômato simples.</t>
  </si>
  <si>
    <t>[Competição de Robótica] Autômato Maker: Ideias em Movimento – Parte 3</t>
  </si>
  <si>
    <t>• O came o programa do autômato.
• Alavancas e sua relação com esforço físico e mecânico.
• Engates para eixos de motores com materiais simples.
• Finalizar a montagem do protótipo.</t>
  </si>
  <si>
    <t>• Entender como funcionam as relações entre alavancas e cames para controlar movimentos.
• Aplicar os princípios da cultura maker para construir o autômato que irá interagir com os movimentos promovidos pelo came e pelos eixos que integram o projeto de autômato simples.
• Aplicar um motor DC controlado pelo micro:bit conectado à shield para automatizar o funcionamento do autômato.</t>
  </si>
  <si>
    <t>Tecnologia dos autômatos no Brasil.</t>
  </si>
  <si>
    <t>[Competição de Robótica] Autômato Maker: Desafio – Parte 1</t>
  </si>
  <si>
    <t>• Escolas de samba e Festival Folclórico de Parintins.
• LED endereçável RGB.
• Com LEDs RGB usando a extensão da shield.</t>
  </si>
  <si>
    <t>• Entender como os princípios e mecanismos que regem o funcionamento dos autômatos foi utilizado no Carnaval aqui no Brasil.
• Identificar as diferenças entre um LED comum e um LED endereçável.
• Entender como controlar os LEDs da shield usando a extensão Robotbit – seção Neopixel.</t>
  </si>
  <si>
    <t>Transferência de aprendizagem.</t>
  </si>
  <si>
    <t>[Competição de Robótica] Autômato Maker: Desafio – Parte 2</t>
  </si>
  <si>
    <t>• Diferentes cames, diferentes movimentos.
• Transferência de aprendizagem – modificar o autômato.</t>
  </si>
  <si>
    <t>• Prototipar e construir um segundo came para adicionar movimento a outra peças do autômato.
• Prototipar e construir um segundo braço móvel para o autômato, remixando o projeto do braço anterior.
• Aplicar os novos componentes no projeto anteriormente desenvolvido.
• Personalizar o projeto para a competição</t>
  </si>
  <si>
    <t>[Competição de Robótica] Autômato Maker: Desafio – Hora da competição</t>
  </si>
  <si>
    <t>• Diferentes cames, diferentes movimentos.
• Transferência de aprendizagem – modificar o autômato.
• Apresentação da competição</t>
  </si>
  <si>
    <t>• Finalizar os protótipos, considerando os acabamentos e personalizações
• Apresentar os protótipos da competição
• Avaliar os protótipos de acordo com critérios preestabelecidos.</t>
  </si>
  <si>
    <t>2ª/3ª</t>
  </si>
  <si>
    <t>EF09CO07
EM13CO07</t>
  </si>
  <si>
    <t>• Avaliar aplicações e implicações políticas, socioambientais e culturais das tecnologias digitais para propor alternativas aos desafios do mundo contemporâneo, incluindo aqueles relativos ao mundo do trabalho.
• Compreender as diferentes tecnologias, bem como equipamentos, protocolos e serviços envolvidos no funcionamento de redes de computadores, identificando suas possibilidades de escala e confiabilidade.</t>
  </si>
  <si>
    <t>Automação, comunicação e controle.</t>
  </si>
  <si>
    <t>[Competição de Robótica] Robótica sustentável: Materializando ideias</t>
  </si>
  <si>
    <t>• Robótica sustentável.
 • Objetivos de Desenvolvimento Sustentável (ODS) da ONU.
 • Economia circular.
 • Conexão com o cotidiano e com o projeto do carrinho.
• Competição de robótica</t>
  </si>
  <si>
    <t>• Compreender o papel da robótica sustentável na formação cidadã.
 • Relacionar o ciclo de produção das revoluções industriais com ODS e economia circular.
 • Estimular o protagonismo juvenil em ações de caráter ambiental.
•  Conhecer as etapas e critérios da competição de robótica.</t>
  </si>
  <si>
    <t>EF06CO02
EM13CO15</t>
  </si>
  <si>
    <t>• Elaborar algoritmos que envolvam instruções sequenciais, de repetição e de seleção usando uma linguagem de programação.
• Analisar a interação entre usuários e artefatos computacionais, abordando aspectos da experiência do usuário e promovendo reflexão sobre a qualidade do uso dos artefatos nas esferas do trabalho, do lazer e do estudo.</t>
  </si>
  <si>
    <t>Prática de soluções com tecnologia.</t>
  </si>
  <si>
    <t>[Competição de Robótica] Robótica sustentável: Direção diferencial</t>
  </si>
  <si>
    <t>• Ambiente de testes.
 • Direção diferencial.
 • Programação e teste de funcionamento.</t>
  </si>
  <si>
    <t>• Compreender a importância da ambientes de testes na execução de projetos.
 • Analisar o uso da direção diferencial em situações do mundo real e como este conceito vai ser aplicado ao projeto.
 • Aplicar a direção diferencial na lógica de funcionamento dos motores.</t>
  </si>
  <si>
    <t>Novos blocos.</t>
  </si>
  <si>
    <t>[Competição de Robótica] Robótica sustentável: Indo a fundo no controle por rádio – Parte 1</t>
  </si>
  <si>
    <t>• Reaproveitamento de programas.
 • Princípios de mapeamento lógico (emissor/receptor).</t>
  </si>
  <si>
    <t>• Aplicar a lógica de controle pensado na última aula às funções para controle. 
 • Entender como funciona o projeto de um sistema de rádio controle (emissor/ receptor) com micro:bits.</t>
  </si>
  <si>
    <t>EF06CO02
EM13CO15
EM13CO16</t>
  </si>
  <si>
    <t>• Elaborar algoritmos que envolvam instruções sequenciais, de repetição e de seleção usando uma linguagem de programação.
• Analisar a interação entre usuários e artefatos computacionais, abordando aspectos da experiência do usuário e promovendo reflexão sobre a qualidade do uso dos artefatos nas esferas do trabalho, do lazer e do estudo.
• Desenvolver projetos com robótica, utilizando artefatos físicos ou simuladores.</t>
  </si>
  <si>
    <t>Design e prototipagem.</t>
  </si>
  <si>
    <t>[Competição de Robótica] Robótica sustentável: Indo a fundo no controle por rádio – Parte 2</t>
  </si>
  <si>
    <t>• Reaproveitamento de programas.
 • Código do receptor.</t>
  </si>
  <si>
    <t>• Entender como reaproveitar a estrutura do primeiro projeto no sistema de rádio controle (emissor/ receptor) com micro:bits.
 • Testar os programas usando os componentes e fazer ajustes.</t>
  </si>
  <si>
    <t>Design, ferramentas e prototipagem.</t>
  </si>
  <si>
    <t>[Competição de Robótica] Robótica sustentável: Do Design ao Protótipo – Parte 1</t>
  </si>
  <si>
    <t>• Carro conceito.
 • Projetos feitos a mão e alternativas.</t>
  </si>
  <si>
    <t>• Compreender o que é um carro conceito.
 • Criar um chassi no estilo Tadpole.
 • Projetar encaixes para componentes, com destaque para a importância da simetria.
 • Testar encaixes e a funcionalidade do protótipo.</t>
  </si>
  <si>
    <t>[Competição de Robótica] Robótica sustentável: Do Design ao Protótipo – Parte 2</t>
  </si>
  <si>
    <t>• Recorte das peças.
 • Montagem e fixação da shield, motores e eixos.
 • Testar equilíbrio estrutural e funcionalidade.
 • Testes finais e ajustes de código.</t>
  </si>
  <si>
    <t>• Entender como estão estruturadas as principais competições estudantis de robótica no Brasil.
 • Ajustar o código para melhorar precisão e resposta.
 • Apresentar um protótipo funcional em situação real de uso.</t>
  </si>
  <si>
    <t>Teste e Validação.</t>
  </si>
  <si>
    <t>[Competição de Robótica] Robótica sustentável: Corrida final: obstáculos e precisão!</t>
  </si>
  <si>
    <t>• Olimpíada Brasileira de Robótica (OBR) – Lego League &amp; circuito de testes.
 • Corrida de obstáculos com avaliação de desempenho.</t>
  </si>
  <si>
    <t xml:space="preserve"> •  Testar a funcionalidade do protótipo em uma situação real de competição.
 •  Participar de uma competição de robótica.</t>
  </si>
  <si>
    <t>EM13CO15
EM13CO16</t>
  </si>
  <si>
    <t>• Analisar a interação entre usuários e artefatos computacionais, abordando aspectos da experiência do usuário e promovendo reflexão sobre a qualidade do uso dos artefatos nas esferas do trabalho, do lazer e do estudo.
• Desenvolver projetos com robótica, utilizando artefatos físicos ou simuladores.</t>
  </si>
  <si>
    <t>Robótica Artística.</t>
  </si>
  <si>
    <t>[Competição de Robótica] Jurassic Maker: O que é Robótica Artística?</t>
  </si>
  <si>
    <t>• Robótica Artística e Sustentável – Criando com propósito
 • Ideação e o processo criativo em projetos de robótica</t>
  </si>
  <si>
    <t>• Compreender o conceito e o propósito da Robótica Artística.
 • Explorar o conceito de ideação e suas etapas dentro do processo criativo.
 • Aplicar princípios de Robótica Sustentável na concepção do protótipo.</t>
  </si>
  <si>
    <t>Apresentação do projeto e da modalidade de Robótica Criativa. Introdução à ideia de Robótica Sustentável, exploração do protótipo do T-Rex e da competição baseada na Olimpíada de Robótica Artística (OBR). Mapeamento de posição de servos com potenciômetro.</t>
  </si>
  <si>
    <t>Criando Funções Extras no Makecode.</t>
  </si>
  <si>
    <t>[Competição de Robótica] Jurassic Maker – Como dar vida ao boneco (Parte 1)</t>
  </si>
  <si>
    <t>• Estrutura de repetição FOR
 • Movimento gradual do servo
 • Criar novas funções no MakeCode</t>
  </si>
  <si>
    <t>• Compreender o funcionamento e porque usar o loop FOR.
 • Aplicar loops para suavizar movimentos com servos.
 • Analisar as limitações do FOR padrão do MakeCode ecomo adaptar uma nova função de loop.</t>
  </si>
  <si>
    <t>Exploração da ideia de que o boneco “ganha vida” por meio da programação. Introdução ao loop FOR, ao movimento gradual e à diferença entre controle físico e digital.</t>
  </si>
  <si>
    <t>[Competição de Robótica] Jurassic Maker – Como dar vida ao boneco (Parte 2)</t>
  </si>
  <si>
    <t>• Funções no MakeCode
 • Organização de código
 • Lógica de movimento dos servos</t>
  </si>
  <si>
    <t>• Compreender o papel das funções na programação.
 • Aplicar funções para modularizar movimentos.
 • Construir o código completo do protótipo.</t>
  </si>
  <si>
    <t>Criação de funções para organizar e simplificar o código. Estruturação da lógica de movimento e elaboração do programa completo do T-Rex.</t>
  </si>
  <si>
    <t>Pan Tilt as juntas de um robô.</t>
  </si>
  <si>
    <t>[Competição de Robótica] Jurassic Maker: Improvisar, Criar e Resolver</t>
  </si>
  <si>
    <t>• Conceito de improvisação técnica 
 • Encaixes sem cola: durabilidade e reutilização.- Mecanismos pan-tilt
 • Recorte e preparação das peças</t>
  </si>
  <si>
    <t>• Compreender o funcionamento do pan-tilt.
 • Montar suportes articulados com materiais alternativos.
 • Avaliar a estabilidade dos mecanismos de articulação criados.</t>
  </si>
  <si>
    <t>Apresentação do mecanismo pan-tilt e discussão sobre improviso e criatividade. Construção das articulações com papelão e palitos. Distribuição dos moldes do T-Rex para acelerar o recorte das peças.</t>
  </si>
  <si>
    <t>Modelagem e prototipagem.</t>
  </si>
  <si>
    <t>[Competição de Robótica] Jurassic Maker – Modelando o T-Rex</t>
  </si>
  <si>
    <t>• Montagem e fixação
 • Ajustes mecânicos
 • Relação forma-função</t>
  </si>
  <si>
    <t>• Aplicar habilidades de montagem com precisão.
 • Analisar ajustes necessários para melhor movimentação.
 • Avaliar aspectos visuais e funcionais do modelo.</t>
  </si>
  <si>
    <t>Montagem do corpo do T-Rex, colagem e integração dos pan-tilts improvisados. Discussão sobre ajustes mecânicos e estética do protótipo.</t>
  </si>
  <si>
    <t>[Competição de Robótica] Jurassic Maker – "Ele está vivo!!!"</t>
  </si>
  <si>
    <t>• Testes, depuração e ajustes
 • Customização estética Desafio</t>
  </si>
  <si>
    <t>• Aplicar o programa no protótipo físico.
 • Analisar e corrigir erros de programação e montagem.
 • Criar customizações visuais e narrativas para a OBR.</t>
  </si>
  <si>
    <t>Testes de funcionamento, carregamento do programa na micro:bit e ajustes na primeira metade da aula. 
 Segunda metade dedicada à adaptação artística do protótipo para exibição no espírito de Robótica artística na próxima aula</t>
  </si>
  <si>
    <t>[Competição de Robótica] Jurassic Maker – Prototipagem criativa e avaliação final</t>
  </si>
  <si>
    <t>• Avalição formativa dos protótipos modificados.
 • Apresentação dos projetos</t>
  </si>
  <si>
    <t>• Comunicar ideias e resultados.
 • Avaliar o próprio processo e o do grupo.
 • Propor melhorias e novas possibilidades de projeto.</t>
  </si>
  <si>
    <t>Apresentação dos projetos, ajustes finais e reflexão coletiva. Avaliação da trajetória, do processo criativo e técnico.</t>
  </si>
  <si>
    <t>EM13CO07</t>
  </si>
  <si>
    <t>Compreender as diferentes tecnologias, bem como equipamentos, protocolos e serviços envolvidos no funcionamento de redes de computadores, identificando suas possibilidades de escala e confiabilidade.</t>
  </si>
  <si>
    <t>Revolulções Industrias o berço da tecnologia</t>
  </si>
  <si>
    <t>Do vapor ao chip: as revoluções industriais até a era digital</t>
  </si>
  <si>
    <t>-Primeira Revolução Industrial;
-Segunda Revolução Industrial;
-Terceira Revolução Industrial;
-Quarta Revolução Industrial;
-Computação Física na Indústria 4.0</t>
  </si>
  <si>
    <t>● Relembrar o conceito de Revolução Industrial e identificar suas diferentes fases
● Relacionar a evolução das máquinas à automação dos processos produtivos
● Compreender como a computação física se insere no contexto da Indústria 4.0</t>
  </si>
  <si>
    <t>Impactos da tecnologia das máquinas a vapor</t>
  </si>
  <si>
    <t>Do vapor ao chip:
da panela de pressão à automação – Parte1</t>
  </si>
  <si>
    <t>● Transição da Primeira para a Segunda Revolução Industrial
● Linha de montagem
● Mecânica básica de motores associada a mecanismos
● Cultura maker e learning by doing</t>
  </si>
  <si>
    <t>● Relacionar o conceito de linha de montagem à ideia de produção automatizada
● Compreender a esteira como parte de um sistema produtivo
● Planejar a construção de uma esteira automatizada em miniatura utilizando princípios da cultura maker</t>
  </si>
  <si>
    <t>Linha de montagem e Prototipagem aplicada</t>
  </si>
  <si>
    <t>Do vapor ao chip:
da panela de pressão à automação – Parte2</t>
  </si>
  <si>
    <t>● Variáveis
● Pensamento computacional aplicado
● Controle de tempo, velocidade ou posição do motor</t>
  </si>
  <si>
    <t>● Retomar o que é pensamento computacional e como este se aplica à automação do protótipo
● Utilizar variáveis para controlar o funcionamento da esteira
● Ajustar o comportamento da esteira de acordo com uma regra definida</t>
  </si>
  <si>
    <t>Prototipagem aplicada</t>
  </si>
  <si>
    <t>Do vapor ao chip: Montando uma esteira Maker– Parte 1</t>
  </si>
  <si>
    <t>● Experimento de Computação Física;
● montagem do protótipo com motor DC e servo motor
● Integração mecânica e programação - Controle de motores com o micro:bit
● Tecnologia e resolução de problemas do cotidiano</t>
  </si>
  <si>
    <t>● Integrar conhecimentos históricos, mecânicos e computacionais
● Relacionar comandos digitais a ações físicas no protótipo - controle de movimento;
● Resolver um desafio prático por meio da automação
● Desenvolver autonomia criativa, trabalho em equipe e capacidade de análise</t>
  </si>
  <si>
    <t>Prototipagem e mecânica aplicada</t>
  </si>
  <si>
    <t>Do vapor ao chip: Montando uma esteira Maker– Parte 2</t>
  </si>
  <si>
    <t>● Término da montagem do protótipo
● Teste do experimento de Computação Física;
● Teste da Integração mecânica e programação</t>
  </si>
  <si>
    <t>● Integrar conhecimentos históricos, mecânicos e computacionais
● Resolver um desafio prático por meio da automação
● Desenvolver autonomia criativa, trabalho em equipe e capacidade de análise</t>
  </si>
  <si>
    <t>Competição de Robótica</t>
  </si>
  <si>
    <t>Do vapor ao Chip: Competição-parte 1</t>
  </si>
  <si>
    <t>● Cada equipe deve modificar e aprimorar a esteira já construída, implementando uma melhoria funcional obrigatória, usando outros componentes do kit de robótica.</t>
  </si>
  <si>
    <t>Aplicar os princípios da cultura maker na criação de uma esteira que simule uma necessidade real</t>
  </si>
  <si>
    <t>Do vapor ao Chip: Competição-parte 2</t>
  </si>
  <si>
    <t>● Cada equipe tem a segunda metade desta aula para apresentar a esteira com a melhoria funcional obrigatória.</t>
  </si>
  <si>
    <t>Evolução histórica da tecnologia da radiofrequência</t>
  </si>
  <si>
    <t>Pequenos dispositivos, grandes ideias: micro:bit nas ondas do rádio Parte1</t>
  </si>
  <si>
    <t>● Emissor, receptor e mensagem
● Curiosidades históricas da comunicação
● Limitações das formas de comunicação do passado</t>
  </si>
  <si>
    <t>● Comparar as formas de comunicação do passado com as atuais, reconhecendo suas limitações e avanços
● Compreender o modelo básico de comunicação (emissor, mensagem e receptor) como estrutura fundamental dos sistemas comunicacionais, usando o micro:bit</t>
  </si>
  <si>
    <t>Particularidades das ondas de rádio</t>
  </si>
  <si>
    <t>Pequenos dispositivos, grandes ideias: micro:bit nas ondas do rádio Parte2</t>
  </si>
  <si>
    <t>● Captação e interferência nas ondas de rádio
● Aplicações das ondas de rádio no cotidiano
● Ondas eletromagnéticas (abordagem conceitual)
● Conceito de frequência como canal de comunicação</t>
  </si>
  <si>
    <t>● Explicar os conceitos fundamentais envolvidos no funcionamento da radiofrequência
● Relacionar frequência à ideia de canal de comunicação
● Identificar diferentes aplicações das ondas de rádio, como telefonia celular, Bluetooth e Wi-Fi</t>
  </si>
  <si>
    <t>Listas e Banco de Dados - similaridades</t>
  </si>
  <si>
    <t>Pequenos dispositivos, grandes ideias: micro:bit nas ondas do rádio Parte3</t>
  </si>
  <si>
    <t>● Dispositivos de comunicação embutidos no micro:bit (rádio e Bluetooth)
● Potencial do micro:bit como transmissor e receptor (Transceptor)</t>
  </si>
  <si>
    <t>● Identificar o potencial do micro:bit enquanto ferramenta de comunicação
● Reconhecer o micro:bit como dispositivo capaz de enviar e receber dados sem fio</t>
  </si>
  <si>
    <t>Conhecimentos prévios de programação e criatividade</t>
  </si>
  <si>
    <t>Nas ondas do rádio: Simulando o salto de frequência - Parte 1</t>
  </si>
  <si>
    <t>● Comunicação em frequência fixa
● Interferência de sinal
● Destaque para mulheres na ciência: Hedy Lamarr
● Salto de frequência - História</t>
  </si>
  <si>
    <t xml:space="preserve">
● Compreender o conceito de salto de frequência e sua importância para a comunicação sem fio
● Reconhecer a contribuição de mulheres cientistas para o avanço das tecnologias de comunicação</t>
  </si>
  <si>
    <t>Nas ondas do rádio: Simulando o salto de frequência - Parte 2</t>
  </si>
  <si>
    <t>● Listas no micro:bit (menu Matriz)
● Estrutura básica de bancos de dados (índices e ponteiros – abordagem conceitual)
● Listas no micro:bit (menu Matriz - registro e consulta de dados)</t>
  </si>
  <si>
    <t>● Explorar possibilidades de registro e consulta de dados utilizando listas no micro:bit
● Construir e manipular listas no MakeCode utilizando índices</t>
  </si>
  <si>
    <t>Engenharia reversa</t>
  </si>
  <si>
    <t>Nas ondas do rádio: Simulando o salto de frequência - Parte 3</t>
  </si>
  <si>
    <t>● Aplicação de listas, variáveis e índices
● Comunicação sem fio integrada a listas
● Incremento de variáveis</t>
  </si>
  <si>
    <t>● Aplicar listas, variáveis e índices para programar um sistema de alternância de frequências
● Simular o funcionamento do salto de frequência utilizando micro:bits</t>
  </si>
  <si>
    <t>Tecnologia como ferramenta criativa</t>
  </si>
  <si>
    <t>O Micro:bit no Mundo Real: Ideias que Conectam!</t>
  </si>
  <si>
    <t>● Simulação do salto de frequência entre micro:bits
● Engenharia reversa
● Debug
● Tecnologia e resolução de problemas do cotidiano</t>
  </si>
  <si>
    <t>● Relacionar o conceito de salto de frequência a aplicações tecnológicas do cotidiano
● Avaliar o papel da programação na construção de sistemas de comunicação mais seguros</t>
  </si>
  <si>
    <t>EM13CO02
EM13CO07</t>
  </si>
  <si>
    <t>Explorar e construir a solução de problemas por meio de refinamentos, utilizando diversos níveis de abstração desde a especificação até a implementação.
Compreender as diferentes tecnologias, bem como equipamentos, protocolos e serviços envolvidos no funcionamento de redes de computadores, identificando suas possibilidades de escala e confiabilidade.</t>
  </si>
  <si>
    <t>IA, Machine Learning e IOT</t>
  </si>
  <si>
    <t>IA e Machine Learning- O que isso tem a ver comigo</t>
  </si>
  <si>
    <t>• Inteligência Artificial.
• Machine Learning
• IA simbólica e IA baseada em dados.
• Exemplos no cotidiano.
• IA, Machine Learning, IoT e microcontroladores.</t>
  </si>
  <si>
    <t>• Compreender o conceito de IA, machine learning e suas aplicações.
• Relacionar o uso destas tecnologias com dispositivos computacionais do cotidiano.
• Analisar como a elas estão presente em serviços, produtos e algoritmos.</t>
  </si>
  <si>
    <t>Projetos conectados</t>
  </si>
  <si>
    <t>IA e Machine Learning -Internet das Coisas (IoT): quando tudo está conectado</t>
  </si>
  <si>
    <t>• Conceito e funcionamento de IoT.
• Exemplos no cotidiano (casas inteligentes, cidades conectadas).
• Diferença entre sensores e atuadores.</t>
  </si>
  <si>
    <t>Programação tradicional e aprendizagem de máquina</t>
  </si>
  <si>
    <t>IA e Machine Learning - ensinar máquinas é possível?</t>
  </si>
  <si>
    <t>• Diferença entre programação tradicional e aprendizagem de máquina.
• Algoritmos supervisionados e não supervisionados.
• Plataforma Teachable Machine
• Conceito de treinamento, entrada (input), saída (output) e rótulo.</t>
  </si>
  <si>
    <t>• Compreender o funcionamento básico de um sistema de aprendizado de máquina.
• Identificar como o micro:bit pode ser usado em projetos de IA.
• Explicar o que significa treinar um modelo e como ele toma decisões.
.</t>
  </si>
  <si>
    <t>Projetos maker educacionais como estratégias para explorar possibilidades criativas e tecnológicas.</t>
  </si>
  <si>
    <t>IA e Machine Learning- Criando soluções com STEAM</t>
  </si>
  <si>
    <t>Cultura maker e uso criativo de materiais
Prototipagem com materiais recicláveis
Adaptando componentes com a shield Robotbit</t>
  </si>
  <si>
    <t>Criar estruturas físicas para protótipos com base em problemas reais.
Aplicar a cultura maker na improvisação de peças.
Planejar a montagem de protótipos com sensores e atuadores.</t>
  </si>
  <si>
    <t>Autonomia criativa e soluções de baixo custo.</t>
  </si>
  <si>
    <t>IA e Machine Learning -Cultura Maker e STEAM: criar com o que se tem</t>
  </si>
  <si>
    <t>• Fundamentos da cultura maker.
• Abordagem STEAM (integração entre ciência, tecnologia, engenharia, artes e matemática).
• Desenvolvimento de projeto autoral com IA e micro:bit
• Improvisação de componentes.</t>
  </si>
  <si>
    <t>• Criar um protótipo autoral com base em todos os conteúdos vistos
• Compreender os princípios da cultura maker e da abordagem STEAM.
• Experimentar soluções criativas com materiais diversos.
• Projetar peças ou mecanismos funcionais com material reciclado.</t>
  </si>
  <si>
    <t>Modelagem e prototipagem</t>
  </si>
  <si>
    <t>– IA e Machine Learning -Dados, treinamento e protótipos inteligentes</t>
  </si>
  <si>
    <t>• Coleta e rotulagem de dados.
• Treinamento de modelos usando a Create AI micro:bit.
• Teste de comportamento em protótipos físicos.</t>
  </si>
  <si>
    <t>• Aplicar conceitos de coleta e rotulagem de dados.
• Treinar um modelo básico de IA com micro:bit.
• Testar a integração entre modelo treinado e ação física (output).</t>
  </si>
  <si>
    <t>Teste e Validação</t>
  </si>
  <si>
    <t>IA e Machine Learning -Meu projeto inteligente: autoria e invenção</t>
  </si>
  <si>
    <t>• Teste e apresentação.
• Registro e documentação do processo.</t>
  </si>
  <si>
    <t>• Testar o funcionamento e aprimorar com base em feedback.
• Comunicar ideias, funcionamento e objetivos do projeto.</t>
  </si>
  <si>
    <t xml:space="preserve">Analisar a interação entre usuários e artefatos computacionais, abordando
aspectos da experiência do usuário e promovendo reflexão sobre a qualidade do uso dos
artefatos nas esferas do trabalho, do lazer e do estudo.
Desenvolver projetos com robótica, utilizando artefatos físicos ou simuladores.
</t>
  </si>
  <si>
    <t>Desafio Final - o que um braço robótico deve fazer?</t>
  </si>
  <si>
    <t>• Tipos de braços robóticos (industriais, educacionais, biomiméticos)
• Estrutura básica de um braço robótico: juntas, graus de liberdade, atuação
• Etapas de um projeto tecnológico</t>
  </si>
  <si>
    <t>• Compreender os componentes e movimentos envolvidos em braços robóticos
• Planejar etapas de projeto baseadas em desafios reais</t>
  </si>
  <si>
    <t>Como controlar o movimento usando a mecânica</t>
  </si>
  <si>
    <t>Desafio Final - Engenharia da improvisação: estrutura e materiais</t>
  </si>
  <si>
    <t>• Princípios mecânicos: alavancas, torque, articulações
• Critérios para escolha de materiais: resistência, peso, adaptabilidade
• Cultura maker e reaproveitamento</t>
  </si>
  <si>
    <t>• Analisar como propriedades dos materiais influenciam o funcionamento do braço
• Selecionar materiais adequados ao projeto de forma criativa</t>
  </si>
  <si>
    <t>Revisando conexões, encaixes e Design</t>
  </si>
  <si>
    <t>Desafio Final - Movimento e controle</t>
  </si>
  <si>
    <t>• Diferença entre motor DC, servo e motor de passo
• Suporte - shield Robotbit
• Controle de movimentação com micro:bit</t>
  </si>
  <si>
    <t>• Identificar o funcionamento dos atuadores (servos/motores)
• Programar ações básicas com servos usando micro:bit e Robotbit</t>
  </si>
  <si>
    <t>Criando Funções extras no Makecode</t>
  </si>
  <si>
    <t>Desafio Final - Aplicando Pensamento computacional</t>
  </si>
  <si>
    <t>• Sequência lógica e funções no MakeCode
• Uso de variáveis para controle de posição
• Laços (For) e comandos condicionais (if/else)</t>
  </si>
  <si>
    <t>• Aplicar estruturas lógicas no controle de movimentos
• Construir funções reutilizáveis para programar movimentos</t>
  </si>
  <si>
    <t>Aplicar controles de movimentos com AI</t>
  </si>
  <si>
    <t>Desafio Final - Testando IA no braço robótico</t>
  </si>
  <si>
    <t>• Aplicação de IA com micro:bit via Create AI
• Treinamento de modelos com som ou movimento
• Integração da IA como input para o braço robótico</t>
  </si>
  <si>
    <t>• Treinar modelos simples com entrada sensorial
• Integrar a IA ao funcionamento do braço</t>
  </si>
  <si>
    <t>Desafio Final - depuração do projeto</t>
  </si>
  <si>
    <t>• Processo iterativo: testar, observar, corrigir
• Registro de falhas e ajustes técnicos
• Avaliação colaborativa</t>
  </si>
  <si>
    <t>• Analisar falhas no funcionamento e propor soluções
• Refinar código e estrutura física com base em testes</t>
  </si>
  <si>
    <t>Desafio Final-Apresentação</t>
  </si>
  <si>
    <t>• Comunicação de projetos
• Avaliação formativa por rúbricas
• Síntese do processo de aprendizagem</t>
  </si>
  <si>
    <t>• Apresentar com clareza os resultados do projeto
• Refletir sobre as aprendizagens, dificuldades e superações</t>
  </si>
  <si>
    <t>Quantidade</t>
  </si>
  <si>
    <t>Transformações geométricas: simetrias de translação, reflexão e rotação</t>
  </si>
  <si>
    <t>Triângulos: construção, condição de existência e soma das medidas dos ângulos internos</t>
  </si>
  <si>
    <t>Triângulos: construção, condição de existência e soma das medidas dos ângulos internos.</t>
  </si>
  <si>
    <t>Polígonos regulares. (construção por algoritmos e fluxogramas)</t>
  </si>
  <si>
    <t>Relações entre arcos e ângulos na circunferência de um círculo.</t>
  </si>
  <si>
    <t>Vistas ortogonais de figuras espaciais.</t>
  </si>
  <si>
    <t>Retas paralelas cortadas por transversais: teoremas de proporcionalidade e verificações experimentais.</t>
  </si>
  <si>
    <t>Demonstrações de relações entre os ângulos formados por retas paralelas intersectadas por uma transversal.</t>
  </si>
  <si>
    <t>Distância entre pontos no plano cartesiano.</t>
  </si>
  <si>
    <t>Volume de prismas e cilindros.</t>
  </si>
  <si>
    <t>Relações métricas no triângulo retângulo.  Teorema de Pitágoras: verificações experimentais e demonstração.</t>
  </si>
  <si>
    <t>Semelhança de triângulos.</t>
  </si>
  <si>
    <t>Questões de avaliações estaduais, nacionais e internacionais</t>
  </si>
  <si>
    <t>Valor numérico de expressões algébricas.</t>
  </si>
  <si>
    <t>Razão entre grandezas de espécies diferentes.</t>
  </si>
  <si>
    <t>Equações polinomiais do 1º grau</t>
  </si>
  <si>
    <t>Variação de grandezas: diretamente proporcionais, inversamente proporcionais ou não proporcionais.</t>
  </si>
  <si>
    <t>Grandezas diretamente proporcionais e grandezas inversamente proporcionais.</t>
  </si>
  <si>
    <t>Funções: representações numérica, algébrica e gráfica.</t>
  </si>
  <si>
    <t>Problemas envolvendo grandezas diretamente proporcionais e grandezas inversamente proporcionais.</t>
  </si>
  <si>
    <t>Expressões algébricas: fatoração e produtos notáveis. Resolução de equações polinomiais do 2º grau por meio de fatorações.</t>
  </si>
  <si>
    <t>Experimentos aleatórios: espaço amostral e estimativa de probabilidade por meio de frequência de ocorrências.</t>
  </si>
  <si>
    <t>Princípio multiplicativo da contagem. Soma das probabilidades de todos os elementos de um espaço amostral.</t>
  </si>
  <si>
    <t>Estatística: média e amplitude de um conjunto de dados</t>
  </si>
  <si>
    <t>Análise de probabilidades de eventos aleatórios: eventos dependentes e independentes.</t>
  </si>
  <si>
    <t>Medidas de tendência central e de dispersão.</t>
  </si>
  <si>
    <t>Análise de gráficos divulgados pela mídia: elementos que podem induzir a erros de leitura ou de interpretação.</t>
  </si>
  <si>
    <t>Planejamento e execução de pesquisa amostral e apresentação de relatório.</t>
  </si>
  <si>
    <t>Leitura, interpretação e representação de dados de pesquisas expressos em tabelas de dupla entrada, gráficos de colunas, simples e agrupadas, gráficos de barras e de setores e gráficos pictóricos.</t>
  </si>
  <si>
    <t>NÚMEROS</t>
  </si>
  <si>
    <t>Necessidade dos números reais para medir qualquer segmento de reta.</t>
  </si>
  <si>
    <t>Potenciação e radiciação</t>
  </si>
  <si>
    <t>Potências com expoentes negativos e fracionários</t>
  </si>
  <si>
    <t>Frações: significados, equivalência, operações, fração de quantidades.</t>
  </si>
  <si>
    <t>Números irracionais: reconhecimento e localização de alguns na reta numérica.</t>
  </si>
  <si>
    <t>Notação científica</t>
  </si>
  <si>
    <t>Números reais: notação científica e problemas</t>
  </si>
  <si>
    <t>Porcentagens</t>
  </si>
  <si>
    <t>Números racionais – forma fracionária e forma decimal: usos, ordenação, operações, representação na reta numérica.</t>
  </si>
  <si>
    <t>Porcentagens: problemas que envolvem cálculo de percentuais sucessivos.</t>
  </si>
  <si>
    <t>GRANDEZAS/MEDIDAS</t>
  </si>
  <si>
    <t>Unidades de medida para medir distâncias muito grandes e muito pequenas.
 Unidades de medida utilizadas na informática.</t>
  </si>
  <si>
    <t xml:space="preserve">6° ano </t>
  </si>
  <si>
    <t>CAMPO DE ATUAÇÃO</t>
  </si>
  <si>
    <t>PRÁTICAS DE LINGUAGEM</t>
  </si>
  <si>
    <t>NÍVEL PISA</t>
  </si>
  <si>
    <t>TÓPICO GRAMATICAL</t>
  </si>
  <si>
    <t>Habilidade relacionada à gramática</t>
  </si>
  <si>
    <t>IMPORTANTE</t>
  </si>
  <si>
    <t>RETOMADAS</t>
  </si>
  <si>
    <t>REFERÊNCIAS</t>
  </si>
  <si>
    <t>MATERIAL DIGITAL/FÍSICO</t>
  </si>
  <si>
    <t>7º ano</t>
  </si>
  <si>
    <t>8º ano</t>
  </si>
  <si>
    <t xml:space="preserve">9° ano </t>
  </si>
  <si>
    <t>Artístico/Literário</t>
  </si>
  <si>
    <t>(EF69LP46) Participar de práticas compartilhadas de leitura/recepção de obras literárias/manifestações artísticas, tecendo, quando possível, comentários de ordem estética e afetiva.</t>
  </si>
  <si>
    <t>Reconstrução das condições de produção, circulação e recepção
 Apreciação e réplica</t>
  </si>
  <si>
    <t>1b</t>
  </si>
  <si>
    <t>Leitura de memórias</t>
  </si>
  <si>
    <t>Verbos</t>
  </si>
  <si>
    <t>Revisão: (EF08LP06) Identificar, em textos lidos ou de produção própria, os termos constitutivos da oração (sujeito e seus modificadores, verbo e seus complementos e modificadores).</t>
  </si>
  <si>
    <t>1a</t>
  </si>
  <si>
    <t>1b + 1a</t>
  </si>
  <si>
    <t>Leitura de biografia</t>
  </si>
  <si>
    <t>Tempos verbais - presente do ind.</t>
  </si>
  <si>
    <t>(EF69LP47)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</si>
  <si>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Leitura de autobiografia</t>
  </si>
  <si>
    <t>Tempos verbais - futuro do presente do ind.</t>
  </si>
  <si>
    <t>Todos os campos de atuação</t>
  </si>
  <si>
    <t>(EF09LP04) Escrever textos corretamente, de acordo com a norma-padrão, com estruturas sintáticas complexas no nível da oração e do período.</t>
  </si>
  <si>
    <t>Produção de Textos</t>
  </si>
  <si>
    <t>Fono-ortografia</t>
  </si>
  <si>
    <t>Produção de minibiografia</t>
  </si>
  <si>
    <t>Jornalístico-Midiático</t>
  </si>
  <si>
    <t>(EF69LP03) Identificar, em notícias, o fato central, suas principais circunstâncias e eventuais decorrências; em reportagens e fotorreportagens o fato ou a temática retratada e a perspectiva de abordagem, em entrevistas os principais temas/subtemas abordados, explicações dadas ou teses defendidas em relação a esses subtemas; em tirinhas, memes, charge, a crítica, ironia ou humor presente.</t>
  </si>
  <si>
    <t>Estratégia de leitura: apreender os sentidos globais do texto</t>
  </si>
  <si>
    <t>Notícia - fato central</t>
  </si>
  <si>
    <t>Pretérito perfeito do indicativo</t>
  </si>
  <si>
    <t>Notícia - elementos</t>
  </si>
  <si>
    <t>Trecho de reportagem - fato central</t>
  </si>
  <si>
    <t>Pretérito imperfeito do indicativo</t>
  </si>
  <si>
    <t>Reportagem - elementos</t>
  </si>
  <si>
    <t>Tempos verbais - Futuro do Pretérito do ind</t>
  </si>
  <si>
    <t>Reportagem - relação entre parágrafos</t>
  </si>
  <si>
    <t>Entrevista - ideia central</t>
  </si>
  <si>
    <t>Pontuação - ponto final</t>
  </si>
  <si>
    <t>Entrevista - subtemas</t>
  </si>
  <si>
    <t>Produção de notícia</t>
  </si>
  <si>
    <t>Vida pública</t>
  </si>
  <si>
    <t>(EF89LP17) 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</si>
  <si>
    <t>Reconstrução do contexto de produção, circulação e recepção de textos legais e normativos</t>
  </si>
  <si>
    <t>Leitura de cartaz instrucional (primeiros socorros)</t>
  </si>
  <si>
    <t>Oração; sujeito e predicado.</t>
  </si>
  <si>
    <t>(EF09LP05) Identificar, em textos lidos e em produções próprias, orações com a estrutura sujeito-verbo de ligação-predicativo.</t>
  </si>
  <si>
    <t>EF69LP02) Analisar e comparar peças publicitárias variadas (cartazes, folhetos, outdoor, anúncios e propagandas em diferentes mídias, spots, jingle, vídeos etc.), de forma a perceber a articulação entre elas em campanhas, as especificidades das várias semioses e mídias, a adequação dessas peças ao público-alvo, aos objetivos do anunciante e/ou da campanha e à construção composicional e estilo dos gêneros em questão, como forma de ampliar suas possibilidades de compreensão (e produção) de textos pertencentes a esses gêneros.</t>
  </si>
  <si>
    <t>Apreciação e réplica
 Relação entre gêneros e mídias</t>
  </si>
  <si>
    <t>Leitura de cartaz de campanha de saúde</t>
  </si>
  <si>
    <t>Concordância verbal</t>
  </si>
  <si>
    <t>Cartaz sobre direitos do estudante</t>
  </si>
  <si>
    <t>Código de ética de uma profissão</t>
  </si>
  <si>
    <t>Código de ética dos estudantes</t>
  </si>
  <si>
    <t>Práticas de estudo e pesquisa</t>
  </si>
  <si>
    <t>(EF69LP29)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</si>
  <si>
    <t>Reconstrução das condições de produção e recepção dos textos e adequação do texto à construção composicional e ao estilo de gênero</t>
  </si>
  <si>
    <t>Ficha catalográfica</t>
  </si>
  <si>
    <t>Ortografia - hifenização</t>
  </si>
  <si>
    <t>Relatório</t>
  </si>
  <si>
    <t>Transitividade verbal</t>
  </si>
  <si>
    <t>(EF69LP33)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</si>
  <si>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Estratégias e procedimentos de leitura Relação do verbal com outras semioses
 Procedimentos e gêneros de apoio à compreensão</t>
  </si>
  <si>
    <t>Esquema</t>
  </si>
  <si>
    <t>Ortografia - acentuação</t>
  </si>
  <si>
    <t>(EF69LP34)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t>
  </si>
  <si>
    <t>Estratégias e procedimentos de leitura 
Relação do verbal com outras semioses
 Procedimentos e gêneros de apoio à compreensão</t>
  </si>
  <si>
    <t>Resumo</t>
  </si>
  <si>
    <t>Modos indicativo e subjuntivo</t>
  </si>
  <si>
    <t>Campo das práticas de estudo e pesquisa</t>
  </si>
  <si>
    <t>(EF69LP35)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</si>
  <si>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Consideração das condições de produção de textos de divulgação científica;
Estratégias de escrita</t>
  </si>
  <si>
    <t>Resumo de divulgação científica</t>
  </si>
  <si>
    <t>(EF69LP17)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</si>
  <si>
    <t>Análise linguística/semiótica</t>
  </si>
  <si>
    <t>Coluna</t>
  </si>
  <si>
    <t>Concordâncias nominal</t>
  </si>
  <si>
    <t>Crônica jornalística</t>
  </si>
  <si>
    <t>Nota</t>
  </si>
  <si>
    <t>(EF89LP33)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t>
  </si>
  <si>
    <t>Estratégias de leitura;
Apreciação e réplica</t>
  </si>
  <si>
    <t>Identificação de informações explícitas em contos.</t>
  </si>
  <si>
    <t>Pessoas do discurso</t>
  </si>
  <si>
    <t>(EF69LP48) Interpretar, em poemas, efeitos produzidos pelo uso de recursos expressivos sonoros (estrofação, rimas, aliterações etc), semânticos (figuras de linguagem, por exemplo), gráfico-espacial (distribuição da mancha gráfica no papel), imagens e sua relação com o texto verbal.</t>
  </si>
  <si>
    <t>Reconstrução da textualidade e compreensão dos efeitos
de sentidos provocados pelos usos de recursos linguísticos e multissemióticos</t>
  </si>
  <si>
    <t>Interpretação de recursos expressivos em poemas narrativos ou dramáticos.</t>
  </si>
  <si>
    <t>Pronomes</t>
  </si>
  <si>
    <t>(EF89LP29) Utilizar e perceber mecanismos de progressão temática, tais como retomadas anafóricas (“que, cujo, onde”, pronomes do caso reto e oblíquos, pronomes demonstrativos, nomes correferentes etc.), catáforas (remetendo para adiante ao invés de retomar o já dito), uso de organizadores textuais, de coesivos etc., e analisar os mecanismos de reformulação e paráfrase utilizados nos textos de divulgação do conhecimento.</t>
  </si>
  <si>
    <t>Identificação de informações essenciais em narrativas jornalísticas.</t>
  </si>
  <si>
    <t>Verbos de ligação</t>
  </si>
  <si>
    <t>(EF09LP06) Diferenciar, em textos lidos e em produções próprias, o efeito de sentido do uso dos verbos de ligação “ser”, “estar”, “ficar”, “parecer” e “permanecer”.</t>
  </si>
  <si>
    <t>(EF09LP01)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t>
  </si>
  <si>
    <t>Reconstrução do contexto de produção, circulação e recepção de textos;
Caracterização do campo jornalístico e relação entre os gêneros em circulação, mídias e práticas da cultura digital</t>
  </si>
  <si>
    <t>Análise de indícios de manipulação em notícias.</t>
  </si>
  <si>
    <t>(EF89LP35) 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</si>
  <si>
    <t>Construção da textualidade</t>
  </si>
  <si>
    <t>Planejamento, produção e revisão de um conto.</t>
  </si>
  <si>
    <t>Campo artístico-literário</t>
  </si>
  <si>
    <t>(EF69LP44)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t>
  </si>
  <si>
    <t>Reconstrução das condições de produção, circulação e recepção;
Apreciação e réplica</t>
  </si>
  <si>
    <t>Reconhecimento de características essenciais do gênero diário.</t>
  </si>
  <si>
    <t>Regência verbal</t>
  </si>
  <si>
    <t>(EF09LP07) Comparar o uso de regência verbal e regência nominal na norma-padrão com seu uso no português brasileiro coloquial oral.</t>
  </si>
  <si>
    <t>Inferência de múltiplas realidades refletidas em diários.</t>
  </si>
  <si>
    <t>Reconhecimento de características essenciais do gênero relato de viagem.</t>
  </si>
  <si>
    <t>Regência nominal</t>
  </si>
  <si>
    <t>Inferência da presença de valores sociais, culturais e humanos em relatos de viagem.</t>
  </si>
  <si>
    <t>(EF69LP33)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</si>
  <si>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Relação do verbal com outras semioses</t>
  </si>
  <si>
    <t>Articulação de recursos verbais e recursos visuais em mapas geográficos.</t>
  </si>
  <si>
    <t>Ortografia</t>
  </si>
  <si>
    <t>(EF69LP51) Engajar-se ativamente nos processos de planejamento, textualização, revisão/edição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</si>
  <si>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Consideração das condições de produção;
Estratégias de produção: planejamento, textualização e revisão/edição</t>
  </si>
  <si>
    <t>Planejamento, produção e revisão de sequência descritiva de relato de viagem.</t>
  </si>
  <si>
    <t>EF69LP51) Engajar-se ativamente nos processos de planejamento, textualização, revisão/edição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</si>
  <si>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Reconhecimento de características essenciais do gênero verbete de dicionário.</t>
  </si>
  <si>
    <t>Ordem alfabética - usos e funções sociais</t>
  </si>
  <si>
    <t>Reconhecimento de características essenciais do gênero verbete de enciclopédia.</t>
  </si>
  <si>
    <t>Maiúsculas e minúsculas - critérios</t>
  </si>
  <si>
    <t>Avaliação da relevância de artigo de divulgação científica.</t>
  </si>
  <si>
    <t>Conjunções</t>
  </si>
  <si>
    <t>(EF09LP08) Identificar, em textos lidos e em produções próprias, a relação que conjunções (e locuções conjuntivas) coordenativas e subordinativas estabelecem entre as orações que conectam.</t>
  </si>
  <si>
    <t>(EF69LP31) Utilizar pistas linguísticas – tais como “em primeiro/segundo/terceiro lugar”, “por outro lado”, “dito de outro modo”, isto é”, “por exemplo” – para compreender a hierarquização das proposições, sintetizando o conteúdo dos textos.</t>
  </si>
  <si>
    <t>Apreciação e réplica</t>
  </si>
  <si>
    <t>Compreensão da hierarquização de informações em artigos de divulgação científica.</t>
  </si>
  <si>
    <t>(EF69LP32) 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</si>
  <si>
    <t>Estratégias e procedimentos de leitura;
Relação do verbal com outras semioses;
Procedimentos e gêneros de apoio à compreensão</t>
  </si>
  <si>
    <t>Reconhecimento de características essenciais do gênero infográfico.</t>
  </si>
  <si>
    <t>Articulação de recursos verbais e recursos visuais em infográficos.</t>
  </si>
  <si>
    <t>Planejamento, produção e revisão de infográfico.</t>
  </si>
  <si>
    <t>(EF69LP36)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 composicionais e estilos.</t>
  </si>
  <si>
    <t>Estratégias de escrita: textualização, revisão e
Edição</t>
  </si>
  <si>
    <t>Campo jornalístico/midiático</t>
  </si>
  <si>
    <t>Apreciação e réplica;
Relação entre gêneros e mídias</t>
  </si>
  <si>
    <t>Análise de elementos básicos em textos publicitários.</t>
  </si>
  <si>
    <t>(EF69LP04)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t>
  </si>
  <si>
    <t>Efeitos de sentido</t>
  </si>
  <si>
    <t>Análise de recursos persuasivos em textos publicitários.</t>
  </si>
  <si>
    <t>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</si>
  <si>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Relação entre contexto de produção e características composicionais e estilísticas dos gêneros;
Apreciação e réplica</t>
  </si>
  <si>
    <t>Analisar a organização de cartas de reclamação.</t>
  </si>
  <si>
    <t>Colocação pronominal</t>
  </si>
  <si>
    <t>(EF09LP10) Comparar as regras de colocação pronominal na norma-padrão com o seu uso no português brasileiro coloquial.</t>
  </si>
  <si>
    <t>(EF89LP23) Analisar, em textos argumentativos, reivindicatórios e propositivos, os movimentos argumentativos utilizados (sustentação, refutação e negociação), avaliando a força dos argumentos utilizados.</t>
  </si>
  <si>
    <t>Movimentos argumentativos e força dos argumentos</t>
  </si>
  <si>
    <t>Análise de movimentos argumentativos em cartas de reclamação.</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</si>
  <si>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t>
  </si>
  <si>
    <t>Estratégia de leitura: apreender os sentidos globais do texto;
Apreciação e réplica</t>
  </si>
  <si>
    <t>Avaliação de elementos básicos em artigos de opinião.</t>
  </si>
  <si>
    <t>(EF89LP10) Planejar artigos de opinião, tendo em vista as condições de produção do texto – objetivo, leitores/espectadores,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</si>
  <si>
    <t>Estratégia de produção: planejamento de textos
argumentativos e apreciativos</t>
  </si>
  <si>
    <t>Planejamento, produção e revisão de um artigo de opinião.</t>
  </si>
  <si>
    <t>(EF09LP03) 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</si>
  <si>
    <t>Textualização de textos argumentativos e apreciativos</t>
  </si>
  <si>
    <t>(EF69LP34)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 um posicionamento frente aos textos, se esse for o caso.</t>
  </si>
  <si>
    <t>Reconhecimento da aplicação do gênero receita culinária no cotidiano.</t>
  </si>
  <si>
    <t>Modo imperativo</t>
  </si>
  <si>
    <t>Caracterização do gênero receita culinária.</t>
  </si>
  <si>
    <t>(EF89LP02) Analisar diferentes práticas (curtir, compartilhar, comentar, curar etc.) e textos pertencentes a diferentes gêneros da cultura digital (meme, gif, comentário, charge digital etc.) envolvidos no trato com a informação e opinião, de forma a possibilitar uma presença mais crítica e ética nas redes.</t>
  </si>
  <si>
    <t>Post jornalístico em redes sociais</t>
  </si>
  <si>
    <t>Orações adjetivas restritivas e explicativas em um período composto</t>
  </si>
  <si>
    <t>(EF09LP09) Identificar efeitos de sentido do uso de orações adjetivas restritivas e explicativas em um período composto</t>
  </si>
  <si>
    <t>Caracterização do gênero digital detonado.</t>
  </si>
  <si>
    <t>(EF69LP06) Produzir e publicar notícias, fotodenúncias, fotorreportagens, reportagens, reportagens multimidiáticas, infográficos, podcasts noticiosos, entrevistas, cartas de leitor, comentários, artigos de opinião de interesse local ou global, textos de apresentação e apreciação de produção cultural – resenhas e outros próprios das formas de expressão das culturas juvenis, tais como vlogs e podcasts culturais, gameplay, detonado etc.– e cartazes, anúncios, propagandas, spots, jingles de campanhas sociais, dentre outros em várias mídias, vivenciando de forma significativa o papel de repórter, de comentador, de analista, de crítico, de editor ou articulista, de booktuber, de vlogger (vlogueiro) etc., como forma de compreender as condições de produção que envolvem a circulação desses textos e poder participar e vislumbrar possibilidades de participação nas práticas de linguagem do campo jornalístico e do campo midiático de forma ética e responsável, levando-se em consideração o contexto da Web 2.0, que amplia a possibilidade de  circulação desses textos e “funde” os papéis de leitor e autor, de consumidor e produtor.</t>
  </si>
  <si>
    <t>Relação do texto com o contexto de produção e experimentação de papéis sociais</t>
  </si>
  <si>
    <t>Planejamento, produção e revisão de um detonado escrito.</t>
  </si>
  <si>
    <t>Caracterização dos gêneros transacionais digitais.</t>
  </si>
  <si>
    <t>Estrangeirismos - grafia</t>
  </si>
  <si>
    <r>
      <rPr>
        <sz val="10"/>
        <color theme="1"/>
        <rFont val="Saira"/>
      </rPr>
      <t xml:space="preserve">(EF09LP12) </t>
    </r>
    <r>
      <rPr>
        <u/>
        <sz val="10"/>
        <color theme="1"/>
        <rFont val="Saira"/>
      </rPr>
      <t>Identificar estrangeirismos, caracterizando-os segundo a conservação, ou não, de sua forma gráfica de origem</t>
    </r>
    <r>
      <rPr>
        <sz val="10"/>
        <color theme="1"/>
        <rFont val="Saira"/>
      </rPr>
      <t>, avaliando a pertinência, ou não, de seu uso.</t>
    </r>
  </si>
  <si>
    <t>Estrangeirismos - adequação</t>
  </si>
  <si>
    <r>
      <rPr>
        <sz val="10"/>
        <color theme="1"/>
        <rFont val="Saira"/>
      </rPr>
      <t xml:space="preserve">(EF09LP12) Identificar estrangeirismos, caracterizando-os segundo a conservação, ou não, de sua forma gráfica de origem, </t>
    </r>
    <r>
      <rPr>
        <u/>
        <sz val="10"/>
        <color theme="1"/>
        <rFont val="Saira"/>
      </rPr>
      <t>avaliando a pertinência, ou não, de seu uso</t>
    </r>
    <r>
      <rPr>
        <sz val="10"/>
        <color theme="1"/>
        <rFont val="Saira"/>
      </rPr>
      <t>.</t>
    </r>
  </si>
  <si>
    <t xml:space="preserve">(EF89LP33)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
</t>
  </si>
  <si>
    <t>Estratégias de leitura 
Apreciação e réplica</t>
  </si>
  <si>
    <t>Leitura de letra de canção</t>
  </si>
  <si>
    <t>Ortografia: palavras homófonas</t>
  </si>
  <si>
    <t>EF09LP04, EF69LP05, EF69LP56</t>
  </si>
  <si>
    <t>(EF89LP32) Analisar os efeitos de sentido decorrentes do uso de mecanismos de intertextualidade (referências, alusões, retomadas) entre os textos literários, entre esses textos literários e outras manifestações artísticas (cinema, teatro, artes visuais e midiáticas, música), quanto aos temas, personagens, estilos, autores etc., e entre o texto original e paródias, paráfrases, pastiches, trailer honesto, vídeos-minuto, vidding, dentre outros.</t>
  </si>
  <si>
    <t>Relação entre textos</t>
  </si>
  <si>
    <t>Leitura de poema (intertextualidade)</t>
  </si>
  <si>
    <t>Verbos impessoais (HAVER e FAZER)</t>
  </si>
  <si>
    <t>EF09LP04, EF69LP07</t>
  </si>
  <si>
    <t>(EF89LP37) Analisar os efeitos de sentido do uso de figuras de linguagem como ironia, eufemismo, antítese, aliteração, assonância, dentre outras.</t>
  </si>
  <si>
    <t>Figuras de linguagem (antítese)</t>
  </si>
  <si>
    <t>Leitura de miniconto</t>
  </si>
  <si>
    <t>Uso da vírgula</t>
  </si>
  <si>
    <t xml:space="preserve">(EF09LP04) Escrever textos corretamente, de acordo com a norma-padrão, com estruturas sintáticas complexas no nível da oração e do período. </t>
  </si>
  <si>
    <t>Produção de miniconto</t>
  </si>
  <si>
    <t>Estratégias de leitura
Apreciação e réplica</t>
  </si>
  <si>
    <t>Leitura de novela</t>
  </si>
  <si>
    <t>(EF09LP11) Inferir efeitos de sentido decorrentes do uso de recursos de coesão sequencial (conjunções e articuladores textuais).</t>
  </si>
  <si>
    <t>(EF69LP53) 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ou sem efeitos especiais e ler e/ou declamar poemas diversos, tanto de forma livre quanto de forma fixa (como quadras, sonetos, liras, haicais etc.), empregando os recursos linguísticos, paralinguísticos e cinésicos necessários aos efeitos de sentido pretendidos, como o ritmo e a entonação, o emprego de pausas e prolongamentos, o tom e o timbre vocais, bem como eventuais recursos de gestualidade e pantomima que convenham ao gênero poético e à situação de compartilhamento em questão.</t>
  </si>
  <si>
    <t>Oralidade</t>
  </si>
  <si>
    <t>Produção de textos orais 
Oralização</t>
  </si>
  <si>
    <t>Leitura em voz alta (trecho de novela)</t>
  </si>
  <si>
    <t>Figuras de linguagem (assonância e aliteração)</t>
  </si>
  <si>
    <t>Leitura de haicai</t>
  </si>
  <si>
    <t>Recursos expressivos</t>
  </si>
  <si>
    <t>(EF69LP48) Interpretar, em poemas, efeitos produzidos pelo uso de recursos expressivos sonoros (estrofação, rimas, aliterações etc), semânticos (figuras de linguagem, por exemplo), gráfico- espacial (distribuição da mancha gráfica no papel), imagens e sua relação com o texto verbal.</t>
  </si>
  <si>
    <t>Produção de haicai</t>
  </si>
  <si>
    <t>(EF69LP05) Inferir e justificar, em textos multissemióticos – tirinhas, charges, memes, gifs etc. –, o efeito de humor, ironia e/ou crítica pelo uso ambíguo de palavras, expressões ou imagens ambíguas, de clichês, de recursos iconográficos, de pontuação etc.</t>
  </si>
  <si>
    <t>Leitura de tirinha</t>
  </si>
  <si>
    <t>Pontuação - exclamação</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</si>
  <si>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
(EF69LP16A) Analisar as formas de composição dos gêneros textuais do campo jornalístico.
(EF69LP16B) Utilizar as formas de composição dos gêneros textuais do campo jornalístico.</t>
  </si>
  <si>
    <t>Leitura de artigo de opinião</t>
  </si>
  <si>
    <t>Uso dos pronomes “que”, “cujo” e “onde”</t>
  </si>
  <si>
    <t>Leitura de charge</t>
  </si>
  <si>
    <t>Figuras de linguagem (ironia)</t>
  </si>
  <si>
    <t>Produção de charge</t>
  </si>
  <si>
    <t>Estratégia de leitura: apreender os sentidos globais do texto
Apreciação e réplica</t>
  </si>
  <si>
    <t>Leitura de carta do leitor</t>
  </si>
  <si>
    <t>Pronomes demonstrativos: esse, este, isso, isto</t>
  </si>
  <si>
    <t xml:space="preserve">(EF89LP04)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
</t>
  </si>
  <si>
    <t>Leitura de post de blog</t>
  </si>
  <si>
    <t>Ortografia: C ou SC, X ou CH</t>
  </si>
  <si>
    <t>Reconstrução do contexto de produção, circulação e recepção de textos</t>
  </si>
  <si>
    <t>Leitura de editorial</t>
  </si>
  <si>
    <t xml:space="preserve">Todos os campos de atuação
</t>
  </si>
  <si>
    <t>Produção de editorial</t>
  </si>
  <si>
    <t xml:space="preserve">(EF69LP33)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
</t>
  </si>
  <si>
    <t>Estratégias e procedimentos de leitura 
Relação do verbal com outras semioses
Procedimentos e gêneros de apoio à compreensão</t>
  </si>
  <si>
    <t>Leitura de gráfico</t>
  </si>
  <si>
    <t>Ortografia: siglas</t>
  </si>
  <si>
    <t>Leitura de tabela</t>
  </si>
  <si>
    <t>Ortografia: abreviaturas</t>
  </si>
  <si>
    <t>Leitura de mapa conceitual</t>
  </si>
  <si>
    <t>Consideração das condições de produção de textos de divulgação científica 
Estratégias de escrita</t>
  </si>
  <si>
    <t>Produção de mapa conceitual</t>
  </si>
  <si>
    <t xml:space="preserve">Estratégias de leitura 
Apreciação e réplica	</t>
  </si>
  <si>
    <t>Leitura de poema de formas fixas</t>
  </si>
  <si>
    <t>Divisão silábica</t>
  </si>
  <si>
    <t>Leitura de poema concreto</t>
  </si>
  <si>
    <t>Leitura de paródia</t>
  </si>
  <si>
    <t>Produção de paródia</t>
  </si>
  <si>
    <t>(EF89LP33)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
(EF69LP47)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</si>
  <si>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Leitura de romance juvenil</t>
  </si>
  <si>
    <t>Ortografia: uso dos porquês</t>
  </si>
  <si>
    <t>Leitura de romance</t>
  </si>
  <si>
    <t>Emprego da crase</t>
  </si>
  <si>
    <t>Leitura de narrativa de ficção científica</t>
  </si>
  <si>
    <t>Produção de narrativa de ficção científica</t>
  </si>
  <si>
    <t xml:space="preserve">(EF89LP05) Analisar o efeito de sentido produzido pelo uso, em textos, de recurso a formas de apropriação textual (paráfrases, citações, discurso direto, indireto ou indireto livre).
(EF09LP01)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 </t>
  </si>
  <si>
    <t>Leitura de notícia (foco em citações)</t>
  </si>
  <si>
    <t>Discurso direto e indireto</t>
  </si>
  <si>
    <t>Leitura de entrevista</t>
  </si>
  <si>
    <t>Acentuação - oxítonas</t>
  </si>
  <si>
    <t>(EF89LP13) 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</si>
  <si>
    <t>Entrevista oral</t>
  </si>
  <si>
    <t>(EF89LP03)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</si>
  <si>
    <t>Leitura de resenha</t>
  </si>
  <si>
    <t>Acentuação - paroxítonas e proparoxítonas</t>
  </si>
  <si>
    <t>(EF09LP04) Escrever textos corretamente, de acordo com a norma-padrão, com estruturas sintáticas complexas no nível da oração e do período. 
(EF89LP26) Produzir resenhas, a partir das notas e/ou esquemas feitos, com o manejo adequado das vozes envolvidas (do resenhador, do autor da obra e, se for o caso, também dos autores citados na obra resenhada), por meio do uso de paráfrases, marcas do discurso reportado e citações.</t>
  </si>
  <si>
    <t>Produção de textos	
Estratégias de escrita: textualização, revisão e edição</t>
  </si>
  <si>
    <t>Produção de resenha</t>
  </si>
  <si>
    <t>Leitura do ECA</t>
  </si>
  <si>
    <t>Pontuação - vírgula</t>
  </si>
  <si>
    <t>Leitura da Declaração dos Direitos Humanos</t>
  </si>
  <si>
    <t>Pontuação - ponto e vírgula</t>
  </si>
  <si>
    <t>Leitura do regimento escolar</t>
  </si>
  <si>
    <t>(EF09LP04) Escrever textos corretamente, de acordo com a norma-padrão, com estruturas sintáticas complexas no nível da oração e do período. 
(EF69LP22)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</si>
  <si>
    <t>Estratégia de produção: planejamento de textos reivindicatórios ou propositivos</t>
  </si>
  <si>
    <t>Produção de regimento escolar</t>
  </si>
  <si>
    <t>(EF89LP18) Explorar e analisar instâncias e canais de participação disponíveis na escola (conselho de escola, outros colegiados, grêmio livre), na comunidade (associações, coletivos, movimentos, etc.), no munícipio ou no país, incluindo formas de participação digital, como canais e plataformas de participação (como portal e-cidadania), serviços, portais e ferramentas de acompanhamentos do trabalho de políticos e de tramitação de leis, canais de educação política, bem como de propostas e proposições que circulam nesses canais, de forma a participar do debate de ideias e propostas na esfera social e a engajar-se com a busca de soluções para problemas ou questões que envolvam a vida da escola e da comunidade.</t>
  </si>
  <si>
    <t>Contexto de produção, circulação e recepção de textos e práticas relacionadas à defesa de direitos e à participação social</t>
  </si>
  <si>
    <t>Leitura de fórum virtual</t>
  </si>
  <si>
    <t>Pontuação - aspas</t>
  </si>
  <si>
    <t>(EF89LP27) Tecer considerações e formular problematizações pertinentes, em momentos oportunos, em situações de aulas, apresentação oral, seminário etc.</t>
  </si>
  <si>
    <t>Conversação espontânea</t>
  </si>
  <si>
    <t>Oralidade - formular problematizações</t>
  </si>
  <si>
    <t>(EF89LP19)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</si>
  <si>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Relação entre contexto de produção e características composicionais e estilísticas dos gêneros
Apreciação e réplica</t>
  </si>
  <si>
    <t>Leitura de petição on-line</t>
  </si>
  <si>
    <t>Pontuação - dois pontos</t>
  </si>
  <si>
    <t>Produção de petição</t>
  </si>
  <si>
    <t>(EF89LP01) Analisar os interesses que movem o campo jornalístico, os efeitos das novas tecnologias no campo e as condições que fazem da informação uma mercadoria, de forma a poder desenvolver uma atitude crítica frente aos textos jornalísticos
(EF89LP03)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</si>
  <si>
    <t>Reconstrução do contexto de produção, circulação e recepção de textos
Caracterização do campo jornalístico e relação entre os gêneros em circulação, mídias e práticas da cultura digital</t>
  </si>
  <si>
    <t>Leitura de posts de redes sociais de veículos jornalísticos - Parte I (Estrutura, linguagem, público-alvo, função social)</t>
  </si>
  <si>
    <t>Leitura de posts de redes sociais de veículos jornalísticos - Parte II (Comparação com site oficial)</t>
  </si>
  <si>
    <t>1ª série</t>
  </si>
  <si>
    <t>Aula Extra</t>
  </si>
  <si>
    <t>Ciclo</t>
  </si>
  <si>
    <t>Data</t>
  </si>
  <si>
    <t>Unidade</t>
  </si>
  <si>
    <t>Aula Unidade</t>
  </si>
  <si>
    <t>Aula Sala</t>
  </si>
  <si>
    <t>Título</t>
  </si>
  <si>
    <t>Formato de Aula</t>
  </si>
  <si>
    <t>Objetivo</t>
  </si>
  <si>
    <t>Conteúdos</t>
  </si>
  <si>
    <t>Entrega de projeto</t>
  </si>
  <si>
    <t>Habilidade - BNCC Computação - código</t>
  </si>
  <si>
    <t>Habilidade - BNCC Computação - texto</t>
  </si>
  <si>
    <t>Habilidades - Diretrizes Curriculares Tecnologia e Inovação - código</t>
  </si>
  <si>
    <t>Habilidades - Diretrizes Curriculares Tecnologia e Inovação - texto</t>
  </si>
  <si>
    <t>Habilidades - BNCC - código</t>
  </si>
  <si>
    <t>Habilidades - BNCC - texto</t>
  </si>
  <si>
    <t>Descritores SAEB - 9º ano</t>
  </si>
  <si>
    <t>Introdução à computação: conhecendo o teclado e o mouse</t>
  </si>
  <si>
    <t>Padrões do teclado</t>
  </si>
  <si>
    <t>Mestres dos atalhos</t>
  </si>
  <si>
    <t>Tipos de clique do mouse</t>
  </si>
  <si>
    <t>Arrastar, soltar e segurar</t>
  </si>
  <si>
    <t>Introdução à computação: aprofundando meus estudos</t>
  </si>
  <si>
    <t>Pacote de dados</t>
  </si>
  <si>
    <t>Regras de transmissão de dados</t>
  </si>
  <si>
    <t>A internet: endereços e dados</t>
  </si>
  <si>
    <t>Organizando arquivos digitais</t>
  </si>
  <si>
    <t>Avaliação da unidade: 
- Mouse e Teclado: dicas e práticas
- Introdução à computação: aprofundando meus estudos</t>
  </si>
  <si>
    <t>Segurança Cibernética: práticas para proteção digital parte 1</t>
  </si>
  <si>
    <t>Rastros na Internet</t>
  </si>
  <si>
    <t>Ameaças digitais</t>
  </si>
  <si>
    <t>Desinformação online</t>
  </si>
  <si>
    <t>Empatia digital</t>
  </si>
  <si>
    <t>Avaliação das unidades: 
- Segurança Cibernética: práticas para proteção digital parte 1</t>
  </si>
  <si>
    <t>13 a 17/04</t>
  </si>
  <si>
    <t xml:space="preserve">Segurança Cibernética: práticas para proteção digital parte 2
</t>
  </si>
  <si>
    <t>Avaliação da unidade: 
- Segurança Cibernética: práticas para proteção digital parte 2</t>
  </si>
  <si>
    <t>Matemática (número primo, divisível, teste de mesa)</t>
  </si>
  <si>
    <t>Avaliação das unidades: 
- Matemática (número primo, divisível, teste de mesa)</t>
  </si>
  <si>
    <t>29/06 a 03/07</t>
  </si>
  <si>
    <t>Introdução à computação: explorando recursos de edição de texto</t>
  </si>
  <si>
    <t>Conhecendo a área de trabalho e o eplorador de arquivos</t>
  </si>
  <si>
    <t>Identificar as partes básicas de navegação do computador (área de trabalho, barra de tarefas, configurações, etc).
Entender o explorador de arquivos e suas pastas.
Criar e nomear pastas na área de trabalho.</t>
  </si>
  <si>
    <t>Estrutura básica do computador.
Tipos de arquivo.
Organização de arquivos e pastas.</t>
  </si>
  <si>
    <t>Iniciando o roteior dos sonhos</t>
  </si>
  <si>
    <t>Realizar pesquisas seguras na internet, checando fontes.
Abrir e salvar documentos no Google Docs.
Inserir textos simples de estrutura do roteiro (tema, título, seções)</t>
  </si>
  <si>
    <t>Pesquisa segura na internet.
Editores de texto (Google Docs).
Organização básica de texto (parágrafo, título).</t>
  </si>
  <si>
    <t>Adicionando imagens e símbolos</t>
  </si>
  <si>
    <t>Inserir imagens e ajustar seu layout no documento.
Inserir símbolos e emojis para personalizar o texto.
Salvar o documento frequentemente usando atalhos.</t>
  </si>
  <si>
    <t>Inserção de imagens.
Ajuste de layout de imagens.
Símbolos e emojis.</t>
  </si>
  <si>
    <t>Estilizando o texto</t>
  </si>
  <si>
    <t>Aplicar formatação de fonte, cor, tamanho e alinhamento.
Utilizar estilos para títulos e subtítulos.
Usar atalhos de formatação (Ctrl+B, Ctrl+I, Ctrl+U).</t>
  </si>
  <si>
    <t>Formatação de fonte (cor, tamanho, tipo).
Alinhamento de texto.
Estilos de título e subtítulo.</t>
  </si>
  <si>
    <t>Comparando locais com tabelas</t>
  </si>
  <si>
    <t>Criar e editar tabelas para organizar dados.
Ajustar bordas, alinhamento e espaçamento em tabelas.
Utilizar tabelas para comparar informações de forma estruturada.</t>
  </si>
  <si>
    <t>Criação e edição de tabelas.
Formatação de tabelas.
Organização de dados para análise e comparação.</t>
  </si>
  <si>
    <t>Revisão ortográfica</t>
  </si>
  <si>
    <t>Utilizar o corretor ortográfico e gramatical do Google Docs, refletindo sobre a sua precisão.
Realizar leitura crítica e ajustes no texto.
Usar atalhos para navegação rápida no documento.</t>
  </si>
  <si>
    <t>Corretor ortográfico e gramatical.
Revisão textual.
Atalhos de navegação (Ctrl+Home, Ctrl+End, Ctrl+F).</t>
  </si>
  <si>
    <t>Criando um menu de navegação</t>
  </si>
  <si>
    <t>Utilizar estilos de título para gerar um sumário automático.
Atualizar o sumário após alterações no documento.
Revisar a formatação geral do documento para consistência.</t>
  </si>
  <si>
    <t>Sumário automático.
Estilos de título (cabeçalhos).
Navegação estruturada em documentos.</t>
  </si>
  <si>
    <t>Apresentando o projeto</t>
  </si>
  <si>
    <t>Exportar o documento final como PDF.
Organizar a apresentação do trabalho.
Preparar uma apresentação oral do projeto.</t>
  </si>
  <si>
    <t>Exportação de documentos (PDF).
Técnicas de apresentação oral.
Organização de projetos digitais.</t>
  </si>
  <si>
    <t>e</t>
  </si>
  <si>
    <t>Avaliação da unidade: 
- Introdução à computação: explorando recursos de edição de texto</t>
  </si>
  <si>
    <t>Lógica de programação: jogos, arte e criatividade parte 1</t>
  </si>
  <si>
    <t>Pega pega</t>
  </si>
  <si>
    <t>Video</t>
  </si>
  <si>
    <t>Compreender o uso do bloco mova passos e aplicá-lo para controlar o movimento de personagens.
Identificar diferenças entre os blocos de movimento.
Entender a importância do critério de parada em algoritmos e sua aplicação prática.</t>
  </si>
  <si>
    <t xml:space="preserve">Utilizar blocos de movimento.
Criar critério de parada.
Aplicar estrutura condicional (se então).
</t>
  </si>
  <si>
    <t>Correr ou deslizar?</t>
  </si>
  <si>
    <t>Localizar os blocos de controle no ambiente do StartLab.
Compreender que as variáveis podem aumentar ou diminuir um valor.
Experimentar diferentes valores de incrimento em uma variável.</t>
  </si>
  <si>
    <t>Criação de variável.
Aplicar de incremento á variável.
Criar condição inicial.</t>
  </si>
  <si>
    <t>Quem é mais rápído?</t>
  </si>
  <si>
    <t>Localizar e aplicar a extensão da caneta no ambiente do StartLab.
Compreender as funcionalidades da extensão da caneta.
Modificar o tamanho de um personagem no startlab.</t>
  </si>
  <si>
    <t xml:space="preserve">Aplicar extensão da caneta.
Utilizar cores e tamanhos da caneta.
Selecionar tamanho do ator.
</t>
  </si>
  <si>
    <t>Pega pega e esconde esconde</t>
  </si>
  <si>
    <t xml:space="preserve">Identificar e corrigir erros de lógica em um programa existente.
Implementar novas funcionalidades, como esconder e mostrar personagens, utilizando eventos e comandos de aparência.
Analisar o impacto de modificações no código no comportamento geral do jogo.
</t>
  </si>
  <si>
    <t>Depuração de código e correção de erros.
Eventos de interação (clique do ator, bandeira verde).
Comandos de aparência (esconder, mostrar).</t>
  </si>
  <si>
    <t>Avaliação das unidades: 
- Lógica de programação: jogos, arte e criatividade parte 1</t>
  </si>
  <si>
    <t>Lógica de programação: jogos, arte e criatividade parte 2</t>
  </si>
  <si>
    <t>Avaliação da unidade: 
- Lógica de programação: jogos, arte e criatividade parte 2</t>
  </si>
  <si>
    <t>Recursão: com arte geométrica (projetos pequenos) [1-2 projetos]</t>
  </si>
  <si>
    <t>Avaliação da unidade: 
- Recursão: com arte geométrica (projetos pequenos) [1-2 projetos]</t>
  </si>
</sst>
</file>

<file path=xl/styles.xml><?xml version="1.0" encoding="utf-8"?>
<styleSheet xmlns="http://schemas.openxmlformats.org/spreadsheetml/2006/main">
  <fonts count="27">
    <font>
      <sz val="10"/>
      <color rgb="FF000000"/>
      <name val="Arial"/>
      <scheme val="minor"/>
    </font>
    <font>
      <sz val="10"/>
      <color theme="1"/>
      <name val="Arial"/>
    </font>
    <font>
      <b/>
      <sz val="10"/>
      <color rgb="FFFFFFFF"/>
      <name val="Arial"/>
    </font>
    <font>
      <b/>
      <u/>
      <sz val="10"/>
      <color rgb="FF000000"/>
      <name val="Arial"/>
    </font>
    <font>
      <b/>
      <sz val="10"/>
      <color rgb="FFFFFFFF"/>
      <name val="Arial"/>
    </font>
    <font>
      <sz val="10"/>
      <color rgb="FF000000"/>
      <name val="Arial"/>
    </font>
    <font>
      <sz val="10"/>
      <color rgb="FF000000"/>
      <name val="Arial"/>
    </font>
    <font>
      <sz val="10"/>
      <color rgb="FF333333"/>
      <name val="Arial"/>
    </font>
    <font>
      <sz val="10"/>
      <name val="Arial"/>
    </font>
    <font>
      <sz val="10"/>
      <color rgb="FFC00000"/>
      <name val="Arial"/>
    </font>
    <font>
      <sz val="10"/>
      <color rgb="FFFF0000"/>
      <name val="Arial"/>
    </font>
    <font>
      <sz val="10"/>
      <color theme="1"/>
      <name val="Arial"/>
    </font>
    <font>
      <b/>
      <sz val="10"/>
      <color rgb="FF000000"/>
      <name val="Arial"/>
    </font>
    <font>
      <sz val="11"/>
      <color rgb="FF242424"/>
      <name val="Arial"/>
    </font>
    <font>
      <sz val="10"/>
      <color rgb="FF162937"/>
      <name val="Arial"/>
    </font>
    <font>
      <sz val="11"/>
      <color theme="1"/>
      <name val="Arial"/>
    </font>
    <font>
      <b/>
      <sz val="10"/>
      <color rgb="FF000000"/>
      <name val="Saira"/>
    </font>
    <font>
      <sz val="10"/>
      <color rgb="FF000000"/>
      <name val="Nunito"/>
    </font>
    <font>
      <sz val="10"/>
      <color rgb="FF000000"/>
      <name val="Saira"/>
    </font>
    <font>
      <b/>
      <sz val="10"/>
      <color rgb="FF000000"/>
      <name val="Nunito"/>
    </font>
    <font>
      <b/>
      <sz val="10"/>
      <color rgb="FFFFFFFF"/>
      <name val="Saira"/>
    </font>
    <font>
      <sz val="10"/>
      <color theme="1"/>
      <name val="Saira"/>
    </font>
    <font>
      <b/>
      <sz val="10"/>
      <color theme="1"/>
      <name val="Saira"/>
    </font>
    <font>
      <sz val="10"/>
      <color theme="0"/>
      <name val="Arial"/>
    </font>
    <font>
      <i/>
      <sz val="10"/>
      <color rgb="FF000000"/>
      <name val="Arial"/>
    </font>
    <font>
      <sz val="10"/>
      <color rgb="FF34A853"/>
      <name val="Arial"/>
    </font>
    <font>
      <u/>
      <sz val="10"/>
      <color theme="1"/>
      <name val="Saira"/>
    </font>
  </fonts>
  <fills count="18">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FAD9D6"/>
        <bgColor rgb="FFFAD9D6"/>
      </patternFill>
    </fill>
    <fill>
      <patternFill patternType="solid">
        <fgColor theme="1"/>
        <bgColor theme="1"/>
      </patternFill>
    </fill>
    <fill>
      <patternFill patternType="solid">
        <fgColor rgb="FFF4CCCC"/>
        <bgColor rgb="FFF4CCCC"/>
      </patternFill>
    </fill>
    <fill>
      <patternFill patternType="solid">
        <fgColor theme="0"/>
        <bgColor theme="0"/>
      </patternFill>
    </fill>
    <fill>
      <patternFill patternType="solid">
        <fgColor rgb="FFD9EAD3"/>
        <bgColor rgb="FFD9EAD3"/>
      </patternFill>
    </fill>
    <fill>
      <patternFill patternType="solid">
        <fgColor rgb="FFD9D2E9"/>
        <bgColor rgb="FFD9D2E9"/>
      </patternFill>
    </fill>
    <fill>
      <patternFill patternType="solid">
        <fgColor rgb="FFB7B7B7"/>
        <bgColor rgb="FFB7B7B7"/>
      </patternFill>
    </fill>
    <fill>
      <patternFill patternType="solid">
        <fgColor rgb="FFA696B3"/>
        <bgColor rgb="FFA696B3"/>
      </patternFill>
    </fill>
    <fill>
      <patternFill patternType="solid">
        <fgColor rgb="FFF3F3F3"/>
        <bgColor rgb="FFF3F3F3"/>
      </patternFill>
    </fill>
    <fill>
      <patternFill patternType="solid">
        <fgColor rgb="FF9FC5E8"/>
        <bgColor rgb="FF9FC5E8"/>
      </patternFill>
    </fill>
    <fill>
      <patternFill patternType="solid">
        <fgColor rgb="FFA4C2F4"/>
        <bgColor rgb="FFA4C2F4"/>
      </patternFill>
    </fill>
    <fill>
      <patternFill patternType="solid">
        <fgColor rgb="FFFFF2CC"/>
        <bgColor rgb="FFFFF2CC"/>
      </patternFill>
    </fill>
    <fill>
      <patternFill patternType="solid">
        <fgColor rgb="FFFF00FF"/>
        <bgColor rgb="FFFF00FF"/>
      </patternFill>
    </fill>
    <fill>
      <patternFill patternType="solid">
        <fgColor rgb="FFFFFF00"/>
        <bgColor rgb="FFFFFF00"/>
      </patternFill>
    </fill>
  </fills>
  <borders count="37">
    <border>
      <left/>
      <right/>
      <top/>
      <bottom/>
      <diagonal/>
    </border>
    <border>
      <left/>
      <right/>
      <top/>
      <bottom/>
      <diagonal/>
    </border>
    <border>
      <left style="thick">
        <color rgb="FFFFFFFF"/>
      </left>
      <right/>
      <top style="thick">
        <color rgb="FFFFFFFF"/>
      </top>
      <bottom style="thick">
        <color rgb="FFFFFFFF"/>
      </bottom>
      <diagonal/>
    </border>
    <border>
      <left style="thick">
        <color rgb="FFFFFFFF"/>
      </left>
      <right style="thick">
        <color rgb="FFFFFFFF"/>
      </right>
      <top style="thick">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FFFFFF"/>
      </left>
      <right style="thin">
        <color rgb="FFFFFFFF"/>
      </right>
      <top style="thin">
        <color rgb="FFFFFFFF"/>
      </top>
      <bottom style="thin">
        <color rgb="FFFFFFFF"/>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
      <left/>
      <right/>
      <top/>
      <bottom/>
      <diagonal/>
    </border>
  </borders>
  <cellStyleXfs count="1">
    <xf numFmtId="0" fontId="0" fillId="0" borderId="0"/>
  </cellStyleXfs>
  <cellXfs count="279">
    <xf numFmtId="0" fontId="0" fillId="0" borderId="0" xfId="0" applyFont="1" applyAlignment="1"/>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1" fillId="0" borderId="0" xfId="0" applyFont="1" applyAlignment="1">
      <alignment horizontal="center" vertical="center" wrapText="1"/>
    </xf>
    <xf numFmtId="0" fontId="4" fillId="5" borderId="4" xfId="0" applyFont="1" applyFill="1" applyBorder="1" applyAlignment="1">
      <alignment horizontal="center" vertical="center" wrapText="1" readingOrder="1"/>
    </xf>
    <xf numFmtId="0" fontId="4" fillId="5" borderId="4" xfId="0" applyFont="1" applyFill="1" applyBorder="1" applyAlignment="1">
      <alignment horizontal="center" vertical="center" wrapText="1" readingOrder="1"/>
    </xf>
    <xf numFmtId="0" fontId="2" fillId="3" borderId="4" xfId="0" applyFont="1" applyFill="1" applyBorder="1" applyAlignment="1">
      <alignment horizontal="center" vertical="center" wrapText="1"/>
    </xf>
    <xf numFmtId="0" fontId="5" fillId="5" borderId="4" xfId="0" applyFont="1" applyFill="1" applyBorder="1" applyAlignment="1">
      <alignment horizontal="center" vertical="center" wrapText="1" readingOrder="1"/>
    </xf>
    <xf numFmtId="0" fontId="5" fillId="0" borderId="4" xfId="0" applyFont="1" applyBorder="1" applyAlignment="1">
      <alignment horizontal="center" vertical="center" wrapText="1" readingOrder="1"/>
    </xf>
    <xf numFmtId="0" fontId="6" fillId="0" borderId="4" xfId="0" applyFont="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horizontal="center" vertical="center" wrapText="1"/>
    </xf>
    <xf numFmtId="0" fontId="4" fillId="3" borderId="4"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5"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4" xfId="0" applyFont="1" applyBorder="1" applyAlignment="1">
      <alignment horizontal="center" vertical="center" wrapText="1" readingOrder="1"/>
    </xf>
    <xf numFmtId="0" fontId="7" fillId="0" borderId="4" xfId="0" applyFont="1" applyBorder="1" applyAlignment="1">
      <alignment horizontal="center" vertical="center" wrapText="1" readingOrder="1"/>
    </xf>
    <xf numFmtId="0" fontId="9" fillId="0" borderId="4" xfId="0" applyFont="1" applyBorder="1" applyAlignment="1">
      <alignment horizontal="center" vertical="center" wrapText="1" readingOrder="1"/>
    </xf>
    <xf numFmtId="0" fontId="10" fillId="0" borderId="4" xfId="0" applyFont="1" applyBorder="1" applyAlignment="1">
      <alignment horizontal="center" vertical="center" wrapText="1" readingOrder="1"/>
    </xf>
    <xf numFmtId="0" fontId="11" fillId="0" borderId="4" xfId="0" applyFont="1" applyBorder="1" applyAlignment="1">
      <alignment horizontal="center" vertical="center" wrapText="1" readingOrder="1"/>
    </xf>
    <xf numFmtId="0" fontId="6" fillId="0" borderId="0" xfId="0" applyFont="1" applyAlignment="1">
      <alignment horizontal="center" vertical="center" wrapText="1"/>
    </xf>
    <xf numFmtId="0" fontId="12" fillId="0" borderId="4" xfId="0" applyFont="1" applyBorder="1" applyAlignment="1">
      <alignment horizontal="center" vertical="center" wrapText="1" readingOrder="1"/>
    </xf>
    <xf numFmtId="0" fontId="4"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2" borderId="4" xfId="0" applyFont="1" applyFill="1" applyBorder="1" applyAlignment="1">
      <alignment horizontal="center" vertical="center" wrapText="1"/>
    </xf>
    <xf numFmtId="0" fontId="5" fillId="2" borderId="4" xfId="0" applyFont="1" applyFill="1" applyBorder="1" applyAlignment="1">
      <alignment horizontal="center" vertical="center" wrapText="1" readingOrder="1"/>
    </xf>
    <xf numFmtId="0" fontId="5" fillId="2" borderId="4" xfId="0" applyFont="1" applyFill="1" applyBorder="1" applyAlignment="1">
      <alignment horizontal="center" vertical="center" wrapText="1" readingOrder="1"/>
    </xf>
    <xf numFmtId="0" fontId="5" fillId="2" borderId="4" xfId="0" quotePrefix="1" applyFont="1" applyFill="1" applyBorder="1" applyAlignment="1">
      <alignment horizontal="center" vertical="center" wrapText="1" readingOrder="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readingOrder="1"/>
    </xf>
    <xf numFmtId="0" fontId="6" fillId="0" borderId="4" xfId="0" applyFont="1" applyBorder="1" applyAlignment="1">
      <alignment horizontal="center" vertical="center" wrapText="1"/>
    </xf>
    <xf numFmtId="0" fontId="6" fillId="0" borderId="4" xfId="0" applyFont="1" applyBorder="1" applyAlignment="1">
      <alignment horizontal="center" vertical="center" wrapText="1"/>
    </xf>
    <xf numFmtId="0" fontId="4" fillId="3" borderId="5" xfId="0" applyFont="1" applyFill="1" applyBorder="1" applyAlignment="1">
      <alignment horizontal="center" vertical="center" wrapText="1" readingOrder="1"/>
    </xf>
    <xf numFmtId="0" fontId="4" fillId="3" borderId="11" xfId="0" applyFont="1" applyFill="1" applyBorder="1" applyAlignment="1">
      <alignment horizontal="center" vertical="center" wrapText="1" readingOrder="1"/>
    </xf>
    <xf numFmtId="0" fontId="4" fillId="3" borderId="0" xfId="0" applyFont="1" applyFill="1" applyAlignment="1">
      <alignment horizontal="center" vertical="center" wrapText="1" readingOrder="1"/>
    </xf>
    <xf numFmtId="0" fontId="5" fillId="6" borderId="4" xfId="0" applyFont="1" applyFill="1" applyBorder="1" applyAlignment="1">
      <alignment horizontal="center" vertical="center" wrapText="1" readingOrder="1"/>
    </xf>
    <xf numFmtId="49" fontId="5" fillId="6" borderId="4" xfId="0" applyNumberFormat="1" applyFont="1" applyFill="1" applyBorder="1" applyAlignment="1">
      <alignment horizontal="center" vertical="center" wrapText="1" readingOrder="1"/>
    </xf>
    <xf numFmtId="49" fontId="4" fillId="3" borderId="4" xfId="0" applyNumberFormat="1" applyFont="1" applyFill="1" applyBorder="1" applyAlignment="1">
      <alignment horizontal="center" vertical="center" wrapText="1"/>
    </xf>
    <xf numFmtId="0" fontId="4" fillId="3" borderId="12" xfId="0" applyFont="1" applyFill="1" applyBorder="1" applyAlignment="1">
      <alignment horizontal="center" vertical="center" wrapText="1" readingOrder="1"/>
    </xf>
    <xf numFmtId="0" fontId="5" fillId="0" borderId="5" xfId="0" applyFont="1" applyBorder="1" applyAlignment="1">
      <alignment horizontal="center" vertical="center" wrapText="1" readingOrder="1"/>
    </xf>
    <xf numFmtId="0" fontId="5" fillId="0" borderId="4" xfId="0" quotePrefix="1" applyFont="1" applyBorder="1" applyAlignment="1">
      <alignment horizontal="center" vertical="center" wrapText="1" readingOrder="1"/>
    </xf>
    <xf numFmtId="0" fontId="5" fillId="7" borderId="4" xfId="0" applyFont="1" applyFill="1" applyBorder="1" applyAlignment="1">
      <alignment horizontal="center" vertical="center" wrapText="1" readingOrder="1"/>
    </xf>
    <xf numFmtId="49" fontId="5" fillId="7" borderId="4" xfId="0" quotePrefix="1" applyNumberFormat="1" applyFont="1" applyFill="1" applyBorder="1" applyAlignment="1">
      <alignment horizontal="center" vertical="center" wrapText="1" readingOrder="1"/>
    </xf>
    <xf numFmtId="0" fontId="5" fillId="8" borderId="4" xfId="0" applyFont="1" applyFill="1" applyBorder="1" applyAlignment="1">
      <alignment horizontal="center" vertical="center" wrapText="1" readingOrder="1"/>
    </xf>
    <xf numFmtId="0" fontId="5" fillId="8" borderId="12" xfId="0" applyFont="1" applyFill="1" applyBorder="1" applyAlignment="1">
      <alignment horizontal="center" vertical="center" wrapText="1" readingOrder="1"/>
    </xf>
    <xf numFmtId="49" fontId="5" fillId="8" borderId="13" xfId="0" applyNumberFormat="1" applyFont="1" applyFill="1" applyBorder="1" applyAlignment="1">
      <alignment horizontal="center" vertical="center" wrapText="1" readingOrder="1"/>
    </xf>
    <xf numFmtId="49" fontId="5" fillId="8" borderId="4" xfId="0" applyNumberFormat="1" applyFont="1" applyFill="1" applyBorder="1" applyAlignment="1">
      <alignment horizontal="center" vertical="center" wrapText="1" readingOrder="1"/>
    </xf>
    <xf numFmtId="0" fontId="5" fillId="8" borderId="4" xfId="0" applyFont="1" applyFill="1" applyBorder="1" applyAlignment="1">
      <alignment horizontal="center" vertical="center" wrapText="1"/>
    </xf>
    <xf numFmtId="0" fontId="5" fillId="0" borderId="15" xfId="0" applyFont="1" applyBorder="1" applyAlignment="1">
      <alignment horizontal="center" vertical="center" wrapText="1" readingOrder="1"/>
    </xf>
    <xf numFmtId="0" fontId="5" fillId="0" borderId="17" xfId="0" applyFont="1" applyBorder="1" applyAlignment="1">
      <alignment horizontal="center" vertical="center" wrapText="1" readingOrder="1"/>
    </xf>
    <xf numFmtId="0" fontId="5" fillId="9" borderId="4" xfId="0" applyFont="1" applyFill="1" applyBorder="1" applyAlignment="1">
      <alignment horizontal="center" vertical="center" wrapText="1" readingOrder="1"/>
    </xf>
    <xf numFmtId="0" fontId="5" fillId="9" borderId="18" xfId="0" applyFont="1" applyFill="1" applyBorder="1" applyAlignment="1">
      <alignment horizontal="center" vertical="center" wrapText="1" readingOrder="1"/>
    </xf>
    <xf numFmtId="49" fontId="5" fillId="9" borderId="4" xfId="0" applyNumberFormat="1" applyFont="1" applyFill="1" applyBorder="1" applyAlignment="1">
      <alignment horizontal="center" vertical="center" wrapText="1" readingOrder="1"/>
    </xf>
    <xf numFmtId="0" fontId="5" fillId="9" borderId="19" xfId="0" applyFont="1" applyFill="1" applyBorder="1" applyAlignment="1">
      <alignment horizontal="center" vertical="center" wrapText="1" readingOrder="1"/>
    </xf>
    <xf numFmtId="0" fontId="5" fillId="9" borderId="4" xfId="0" applyFont="1" applyFill="1" applyBorder="1" applyAlignment="1">
      <alignment horizontal="center" vertical="center" wrapText="1"/>
    </xf>
    <xf numFmtId="0" fontId="5" fillId="0" borderId="7" xfId="0" applyFont="1" applyBorder="1" applyAlignment="1">
      <alignment horizontal="center" vertical="center" wrapText="1" readingOrder="1"/>
    </xf>
    <xf numFmtId="49" fontId="5" fillId="7" borderId="4" xfId="0" applyNumberFormat="1" applyFont="1" applyFill="1" applyBorder="1" applyAlignment="1">
      <alignment horizontal="center" vertical="center" wrapText="1" readingOrder="1"/>
    </xf>
    <xf numFmtId="0" fontId="5" fillId="7" borderId="23" xfId="0" applyFont="1" applyFill="1" applyBorder="1" applyAlignment="1">
      <alignment horizontal="center" vertical="center" wrapText="1" readingOrder="1"/>
    </xf>
    <xf numFmtId="0" fontId="5" fillId="10" borderId="4" xfId="0" applyFont="1" applyFill="1" applyBorder="1" applyAlignment="1">
      <alignment horizontal="center" vertical="center" wrapText="1" readingOrder="1"/>
    </xf>
    <xf numFmtId="49" fontId="5" fillId="10" borderId="4" xfId="0" applyNumberFormat="1" applyFont="1" applyFill="1" applyBorder="1" applyAlignment="1">
      <alignment horizontal="center" vertical="center" wrapText="1" readingOrder="1"/>
    </xf>
    <xf numFmtId="0" fontId="5" fillId="10" borderId="4" xfId="0" applyFont="1" applyFill="1" applyBorder="1" applyAlignment="1">
      <alignment horizontal="center" vertical="center" wrapText="1"/>
    </xf>
    <xf numFmtId="0" fontId="11" fillId="9" borderId="4" xfId="0" applyFont="1" applyFill="1" applyBorder="1" applyAlignment="1">
      <alignment horizontal="center" vertical="center" wrapText="1" readingOrder="1"/>
    </xf>
    <xf numFmtId="0" fontId="5" fillId="11" borderId="4" xfId="0" applyFont="1" applyFill="1" applyBorder="1" applyAlignment="1">
      <alignment horizontal="center" vertical="center" wrapText="1" readingOrder="1"/>
    </xf>
    <xf numFmtId="49" fontId="5" fillId="11" borderId="12" xfId="0" applyNumberFormat="1" applyFont="1" applyFill="1" applyBorder="1" applyAlignment="1">
      <alignment horizontal="center" vertical="center" wrapText="1" readingOrder="1"/>
    </xf>
    <xf numFmtId="0" fontId="5" fillId="11" borderId="12" xfId="0" applyFont="1" applyFill="1" applyBorder="1" applyAlignment="1">
      <alignment horizontal="center" vertical="center" wrapText="1" readingOrder="1"/>
    </xf>
    <xf numFmtId="49" fontId="5" fillId="11" borderId="4" xfId="0" applyNumberFormat="1" applyFont="1" applyFill="1" applyBorder="1" applyAlignment="1">
      <alignment horizontal="center" vertical="center" wrapText="1" readingOrder="1"/>
    </xf>
    <xf numFmtId="0" fontId="5" fillId="11" borderId="4" xfId="0" applyFont="1" applyFill="1" applyBorder="1" applyAlignment="1">
      <alignment horizontal="center" vertical="center" wrapText="1"/>
    </xf>
    <xf numFmtId="0" fontId="5" fillId="7" borderId="4" xfId="0" quotePrefix="1" applyFont="1" applyFill="1" applyBorder="1" applyAlignment="1">
      <alignment horizontal="center" vertical="center" wrapText="1" readingOrder="1"/>
    </xf>
    <xf numFmtId="0" fontId="12" fillId="7" borderId="4" xfId="0" applyFont="1" applyFill="1" applyBorder="1" applyAlignment="1">
      <alignment horizontal="center" vertical="center" wrapText="1" readingOrder="1"/>
    </xf>
    <xf numFmtId="49" fontId="5" fillId="11" borderId="5" xfId="0" applyNumberFormat="1" applyFont="1" applyFill="1" applyBorder="1" applyAlignment="1">
      <alignment horizontal="center" vertical="center" wrapText="1"/>
    </xf>
    <xf numFmtId="0" fontId="1" fillId="0" borderId="4" xfId="0" applyFont="1" applyBorder="1" applyAlignment="1">
      <alignment horizontal="center" vertical="center" wrapText="1"/>
    </xf>
    <xf numFmtId="0" fontId="1" fillId="2" borderId="4" xfId="0" applyFont="1" applyFill="1" applyBorder="1" applyAlignment="1">
      <alignment horizontal="center" vertical="center" wrapText="1"/>
    </xf>
    <xf numFmtId="0" fontId="13" fillId="2" borderId="4" xfId="0"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0" fontId="1" fillId="12" borderId="4"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5" fillId="9" borderId="4" xfId="0" applyFont="1" applyFill="1" applyBorder="1" applyAlignment="1">
      <alignment horizontal="center" vertical="center" wrapText="1" readingOrder="1"/>
    </xf>
    <xf numFmtId="49" fontId="1" fillId="9" borderId="25" xfId="0" applyNumberFormat="1" applyFont="1" applyFill="1" applyBorder="1" applyAlignment="1">
      <alignment horizontal="center" vertical="center" wrapText="1"/>
    </xf>
    <xf numFmtId="0" fontId="1" fillId="9" borderId="15"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1" fillId="9" borderId="4" xfId="0" applyFont="1" applyFill="1" applyBorder="1" applyAlignment="1">
      <alignment horizontal="center" vertical="center"/>
    </xf>
    <xf numFmtId="49" fontId="1" fillId="9" borderId="4" xfId="0" applyNumberFormat="1" applyFont="1" applyFill="1" applyBorder="1" applyAlignment="1">
      <alignment horizontal="center" vertical="center"/>
    </xf>
    <xf numFmtId="0" fontId="1" fillId="0" borderId="0" xfId="0" applyFont="1" applyAlignment="1">
      <alignment horizontal="center" vertical="center" wrapText="1"/>
    </xf>
    <xf numFmtId="0" fontId="1" fillId="2" borderId="7"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10" borderId="4" xfId="0" applyFont="1" applyFill="1" applyBorder="1" applyAlignment="1">
      <alignment horizontal="center" vertical="center" wrapText="1"/>
    </xf>
    <xf numFmtId="0" fontId="5" fillId="10" borderId="4" xfId="0" applyFont="1" applyFill="1" applyBorder="1" applyAlignment="1">
      <alignment horizontal="center" vertical="center" wrapText="1" readingOrder="1"/>
    </xf>
    <xf numFmtId="49" fontId="1" fillId="10" borderId="27" xfId="0" applyNumberFormat="1" applyFont="1" applyFill="1" applyBorder="1" applyAlignment="1">
      <alignment horizontal="center" vertical="center" wrapText="1"/>
    </xf>
    <xf numFmtId="0" fontId="1" fillId="10" borderId="4" xfId="0" applyFont="1" applyFill="1" applyBorder="1" applyAlignment="1">
      <alignment horizontal="center" vertical="center"/>
    </xf>
    <xf numFmtId="49" fontId="1" fillId="10" borderId="4" xfId="0" applyNumberFormat="1" applyFont="1" applyFill="1" applyBorder="1" applyAlignment="1">
      <alignment horizontal="center" vertical="center"/>
    </xf>
    <xf numFmtId="0" fontId="1" fillId="11" borderId="15"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4" xfId="0" applyFont="1" applyFill="1" applyBorder="1" applyAlignment="1">
      <alignment horizontal="center" vertical="center"/>
    </xf>
    <xf numFmtId="49" fontId="1" fillId="11" borderId="4" xfId="0" applyNumberFormat="1" applyFont="1" applyFill="1" applyBorder="1" applyAlignment="1">
      <alignment horizontal="center" vertical="center"/>
    </xf>
    <xf numFmtId="0" fontId="1" fillId="2" borderId="15" xfId="0" applyFont="1" applyFill="1" applyBorder="1" applyAlignment="1">
      <alignment horizontal="center" vertical="center" wrapText="1"/>
    </xf>
    <xf numFmtId="49" fontId="1" fillId="10" borderId="4" xfId="0" applyNumberFormat="1" applyFont="1" applyFill="1" applyBorder="1" applyAlignment="1">
      <alignment horizontal="center" vertical="center" wrapText="1"/>
    </xf>
    <xf numFmtId="49" fontId="1" fillId="9"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xf>
    <xf numFmtId="0" fontId="5" fillId="11" borderId="4" xfId="0" applyFont="1" applyFill="1" applyBorder="1" applyAlignment="1">
      <alignment horizontal="center" vertical="center" wrapText="1" readingOrder="1"/>
    </xf>
    <xf numFmtId="49" fontId="1" fillId="11" borderId="5" xfId="0" applyNumberFormat="1" applyFont="1" applyFill="1" applyBorder="1" applyAlignment="1">
      <alignment horizontal="center" vertical="center" wrapText="1"/>
    </xf>
    <xf numFmtId="0" fontId="1" fillId="11" borderId="5" xfId="0" applyFont="1" applyFill="1" applyBorder="1" applyAlignment="1">
      <alignment horizontal="center" vertical="center" wrapText="1"/>
    </xf>
    <xf numFmtId="49" fontId="5" fillId="9" borderId="29" xfId="0" applyNumberFormat="1" applyFont="1" applyFill="1" applyBorder="1" applyAlignment="1">
      <alignment horizontal="center" vertical="center" wrapText="1" readingOrder="1"/>
    </xf>
    <xf numFmtId="0" fontId="5" fillId="9" borderId="12" xfId="0" applyFont="1" applyFill="1" applyBorder="1" applyAlignment="1">
      <alignment horizontal="center" vertical="center" wrapText="1" readingOrder="1"/>
    </xf>
    <xf numFmtId="0" fontId="14" fillId="2" borderId="4" xfId="0" applyFont="1" applyFill="1" applyBorder="1" applyAlignment="1">
      <alignment horizontal="center" vertical="center" wrapText="1"/>
    </xf>
    <xf numFmtId="0" fontId="1" fillId="0" borderId="4" xfId="0" applyFont="1" applyBorder="1" applyAlignment="1">
      <alignment horizontal="center" vertical="center"/>
    </xf>
    <xf numFmtId="49" fontId="1" fillId="0" borderId="4" xfId="0" applyNumberFormat="1" applyFont="1" applyBorder="1" applyAlignment="1">
      <alignment horizontal="center" vertical="center" wrapText="1"/>
    </xf>
    <xf numFmtId="0" fontId="1" fillId="0" borderId="15" xfId="0" applyFont="1" applyBorder="1" applyAlignment="1">
      <alignment horizontal="center" vertical="center" wrapText="1"/>
    </xf>
    <xf numFmtId="0" fontId="15" fillId="0" borderId="0" xfId="0" applyFont="1" applyAlignment="1">
      <alignment horizontal="center" vertical="center" wrapText="1"/>
    </xf>
    <xf numFmtId="0" fontId="4" fillId="3" borderId="30" xfId="0" applyFont="1" applyFill="1" applyBorder="1" applyAlignment="1">
      <alignment horizontal="center" vertical="center" wrapText="1" readingOrder="1"/>
    </xf>
    <xf numFmtId="0" fontId="4" fillId="3" borderId="30" xfId="0" applyFont="1" applyFill="1" applyBorder="1" applyAlignment="1">
      <alignment horizontal="center" vertical="center" wrapText="1" readingOrder="1"/>
    </xf>
    <xf numFmtId="0" fontId="4" fillId="3" borderId="31" xfId="0" applyFont="1" applyFill="1" applyBorder="1" applyAlignment="1">
      <alignment horizontal="center" vertical="center" wrapText="1"/>
    </xf>
    <xf numFmtId="0" fontId="11" fillId="0" borderId="7" xfId="0" applyFont="1" applyBorder="1" applyAlignment="1">
      <alignment horizontal="center" vertical="center" wrapText="1"/>
    </xf>
    <xf numFmtId="0" fontId="11" fillId="0" borderId="4" xfId="0" applyFont="1" applyBorder="1" applyAlignment="1">
      <alignment horizontal="center" vertical="center" wrapText="1"/>
    </xf>
    <xf numFmtId="0" fontId="11" fillId="2" borderId="4" xfId="0" applyFont="1" applyFill="1" applyBorder="1" applyAlignment="1">
      <alignment horizontal="center" vertical="center" wrapText="1"/>
    </xf>
    <xf numFmtId="0" fontId="11"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5" fillId="0" borderId="4" xfId="0" applyFont="1" applyBorder="1" applyAlignment="1">
      <alignment horizontal="center" vertical="center" wrapText="1"/>
    </xf>
    <xf numFmtId="0" fontId="1" fillId="0" borderId="4" xfId="0" applyFont="1" applyBorder="1" applyAlignment="1">
      <alignment horizontal="center" vertical="center"/>
    </xf>
    <xf numFmtId="0" fontId="16" fillId="0" borderId="0" xfId="0" applyFont="1" applyAlignment="1">
      <alignment horizontal="center"/>
    </xf>
    <xf numFmtId="0" fontId="17" fillId="7" borderId="1" xfId="0" applyFont="1" applyFill="1" applyBorder="1"/>
    <xf numFmtId="0" fontId="5" fillId="0" borderId="32" xfId="0" applyFont="1" applyBorder="1" applyAlignment="1">
      <alignment horizontal="center" vertical="top"/>
    </xf>
    <xf numFmtId="0" fontId="18" fillId="0" borderId="32" xfId="0" applyFont="1" applyBorder="1" applyAlignment="1">
      <alignment horizontal="center"/>
    </xf>
    <xf numFmtId="0" fontId="16" fillId="0" borderId="33" xfId="0" applyFont="1" applyBorder="1" applyAlignment="1">
      <alignment horizontal="center"/>
    </xf>
    <xf numFmtId="0" fontId="12" fillId="0" borderId="33" xfId="0" applyFont="1" applyBorder="1" applyAlignment="1">
      <alignment horizontal="center" vertical="top"/>
    </xf>
    <xf numFmtId="0" fontId="5" fillId="0" borderId="0" xfId="0" applyFont="1" applyAlignment="1">
      <alignment horizontal="center" vertical="top"/>
    </xf>
    <xf numFmtId="0" fontId="12" fillId="0" borderId="0" xfId="0" applyFont="1" applyAlignment="1">
      <alignment horizontal="center" vertical="top"/>
    </xf>
    <xf numFmtId="0" fontId="5" fillId="0" borderId="0" xfId="0" applyFont="1"/>
    <xf numFmtId="0" fontId="19" fillId="7" borderId="1" xfId="0" applyFont="1" applyFill="1" applyBorder="1"/>
    <xf numFmtId="0" fontId="17" fillId="0" borderId="0" xfId="0" applyFont="1"/>
    <xf numFmtId="0" fontId="18" fillId="0" borderId="0" xfId="0" applyFont="1" applyAlignment="1">
      <alignment horizontal="center"/>
    </xf>
    <xf numFmtId="0" fontId="18" fillId="0" borderId="0" xfId="0" applyFont="1" applyAlignment="1">
      <alignment horizontal="left"/>
    </xf>
    <xf numFmtId="0" fontId="5" fillId="0" borderId="0" xfId="0" applyFont="1" applyAlignment="1">
      <alignment horizontal="left"/>
    </xf>
    <xf numFmtId="0" fontId="12" fillId="0" borderId="0" xfId="0" applyFont="1" applyAlignment="1">
      <alignment horizontal="left" vertical="top"/>
    </xf>
    <xf numFmtId="0" fontId="12" fillId="0" borderId="0" xfId="0" applyFont="1" applyAlignment="1">
      <alignment horizontal="left"/>
    </xf>
    <xf numFmtId="0" fontId="5" fillId="0" borderId="0" xfId="0" applyFont="1" applyAlignment="1">
      <alignment horizontal="left" vertical="top"/>
    </xf>
    <xf numFmtId="0" fontId="5" fillId="7" borderId="1" xfId="0" applyFont="1" applyFill="1" applyBorder="1" applyAlignment="1">
      <alignment horizontal="left" vertical="top"/>
    </xf>
    <xf numFmtId="0" fontId="18" fillId="7" borderId="1" xfId="0" applyFont="1" applyFill="1" applyBorder="1" applyAlignment="1">
      <alignment horizontal="left"/>
    </xf>
    <xf numFmtId="0" fontId="12" fillId="7" borderId="1" xfId="0" applyFont="1" applyFill="1" applyBorder="1" applyAlignment="1">
      <alignment horizontal="left" vertical="top"/>
    </xf>
    <xf numFmtId="0" fontId="20" fillId="3" borderId="1" xfId="0" applyFont="1" applyFill="1" applyBorder="1" applyAlignment="1">
      <alignment horizontal="center" vertical="top" wrapText="1"/>
    </xf>
    <xf numFmtId="0" fontId="20" fillId="3" borderId="1" xfId="0" applyFont="1" applyFill="1" applyBorder="1" applyAlignment="1">
      <alignment horizontal="left" vertical="top"/>
    </xf>
    <xf numFmtId="0" fontId="20" fillId="3" borderId="1" xfId="0" applyFont="1" applyFill="1" applyBorder="1" applyAlignment="1">
      <alignment horizontal="left" vertical="top" wrapText="1"/>
    </xf>
    <xf numFmtId="0" fontId="20" fillId="3" borderId="1" xfId="0" applyFont="1" applyFill="1" applyBorder="1" applyAlignment="1">
      <alignment horizontal="center" vertical="center" wrapText="1"/>
    </xf>
    <xf numFmtId="0" fontId="11" fillId="0" borderId="0" xfId="0" applyFont="1" applyAlignment="1">
      <alignment vertical="top" wrapText="1"/>
    </xf>
    <xf numFmtId="0" fontId="21" fillId="0" borderId="0" xfId="0" applyFont="1" applyAlignment="1">
      <alignment horizontal="center" vertical="top" wrapText="1"/>
    </xf>
    <xf numFmtId="0" fontId="11" fillId="0" borderId="0" xfId="0" applyFont="1" applyAlignment="1">
      <alignment vertical="top"/>
    </xf>
    <xf numFmtId="0" fontId="21" fillId="0" borderId="0" xfId="0" applyFont="1" applyAlignment="1">
      <alignment horizontal="left" vertical="top"/>
    </xf>
    <xf numFmtId="0" fontId="21" fillId="0" borderId="0" xfId="0" applyFont="1" applyAlignment="1">
      <alignment horizontal="left" vertical="top" wrapText="1"/>
    </xf>
    <xf numFmtId="0" fontId="21" fillId="2" borderId="1" xfId="0" applyFont="1" applyFill="1" applyBorder="1" applyAlignment="1">
      <alignment horizontal="center" vertical="center" wrapText="1"/>
    </xf>
    <xf numFmtId="0" fontId="21" fillId="2" borderId="1" xfId="0" applyFont="1" applyFill="1" applyBorder="1" applyAlignment="1">
      <alignment horizontal="center" vertical="top" wrapText="1"/>
    </xf>
    <xf numFmtId="0" fontId="21" fillId="2" borderId="1" xfId="0" applyFont="1" applyFill="1" applyBorder="1" applyAlignment="1">
      <alignment horizontal="left" vertical="top"/>
    </xf>
    <xf numFmtId="0" fontId="11" fillId="2" borderId="1" xfId="0" applyFont="1" applyFill="1" applyBorder="1" applyAlignment="1">
      <alignment vertical="top" wrapText="1"/>
    </xf>
    <xf numFmtId="0" fontId="21" fillId="2" borderId="1" xfId="0" applyFont="1" applyFill="1" applyBorder="1" applyAlignment="1">
      <alignment horizontal="left" vertical="top" wrapText="1"/>
    </xf>
    <xf numFmtId="0" fontId="11" fillId="2" borderId="1" xfId="0" applyFont="1" applyFill="1" applyBorder="1" applyAlignment="1">
      <alignment vertical="top"/>
    </xf>
    <xf numFmtId="0" fontId="11" fillId="2" borderId="1" xfId="0" applyFont="1" applyFill="1" applyBorder="1" applyAlignment="1">
      <alignment horizontal="left" vertical="top" wrapText="1"/>
    </xf>
    <xf numFmtId="0" fontId="11" fillId="3" borderId="1" xfId="0" applyFont="1" applyFill="1" applyBorder="1" applyAlignment="1">
      <alignment vertical="top" wrapText="1"/>
    </xf>
    <xf numFmtId="0" fontId="21" fillId="3" borderId="1" xfId="0" applyFont="1" applyFill="1" applyBorder="1" applyAlignment="1">
      <alignment horizontal="center" vertical="top" wrapText="1"/>
    </xf>
    <xf numFmtId="0" fontId="21" fillId="3" borderId="1" xfId="0" applyFont="1" applyFill="1" applyBorder="1" applyAlignment="1">
      <alignment horizontal="left" vertical="top"/>
    </xf>
    <xf numFmtId="0" fontId="21" fillId="3" borderId="1" xfId="0" applyFont="1" applyFill="1" applyBorder="1" applyAlignment="1">
      <alignment horizontal="left" vertical="top" wrapText="1"/>
    </xf>
    <xf numFmtId="0" fontId="21" fillId="3" borderId="1" xfId="0" applyFont="1" applyFill="1" applyBorder="1" applyAlignment="1">
      <alignment horizontal="center" vertical="center" wrapText="1"/>
    </xf>
    <xf numFmtId="0" fontId="11" fillId="0" borderId="0" xfId="0" applyFont="1" applyAlignment="1">
      <alignment horizontal="center" vertical="center" wrapText="1"/>
    </xf>
    <xf numFmtId="0" fontId="21" fillId="0" borderId="0" xfId="0" applyFont="1" applyAlignment="1">
      <alignment horizontal="center" vertical="center" wrapText="1"/>
    </xf>
    <xf numFmtId="0" fontId="22" fillId="0" borderId="0" xfId="0" applyFont="1" applyAlignment="1">
      <alignment horizontal="center" wrapText="1"/>
    </xf>
    <xf numFmtId="0" fontId="22" fillId="0" borderId="0" xfId="0" applyFont="1" applyAlignment="1">
      <alignment horizontal="center"/>
    </xf>
    <xf numFmtId="0" fontId="11" fillId="8" borderId="1" xfId="0" applyFont="1" applyFill="1" applyBorder="1" applyAlignment="1">
      <alignment vertical="top" wrapText="1"/>
    </xf>
    <xf numFmtId="0" fontId="21" fillId="8" borderId="1" xfId="0" applyFont="1" applyFill="1" applyBorder="1" applyAlignment="1">
      <alignment horizontal="center" vertical="top" wrapText="1"/>
    </xf>
    <xf numFmtId="0" fontId="21" fillId="8" borderId="1" xfId="0" applyFont="1" applyFill="1" applyBorder="1" applyAlignment="1">
      <alignment horizontal="left" vertical="top" wrapText="1"/>
    </xf>
    <xf numFmtId="0" fontId="21" fillId="8" borderId="1" xfId="0" applyFont="1" applyFill="1" applyBorder="1" applyAlignment="1">
      <alignment horizontal="center" vertical="center" wrapText="1"/>
    </xf>
    <xf numFmtId="0" fontId="11" fillId="0" borderId="0" xfId="0" applyFont="1" applyAlignment="1">
      <alignment horizontal="left" vertical="top" wrapText="1"/>
    </xf>
    <xf numFmtId="0" fontId="11" fillId="0" borderId="0" xfId="0" applyFont="1" applyAlignment="1">
      <alignment vertical="center"/>
    </xf>
    <xf numFmtId="0" fontId="21" fillId="0" borderId="0" xfId="0" applyFont="1" applyAlignment="1">
      <alignment horizontal="left" vertical="center" wrapText="1"/>
    </xf>
    <xf numFmtId="0" fontId="21" fillId="8" borderId="1" xfId="0" applyFont="1" applyFill="1" applyBorder="1" applyAlignment="1">
      <alignment horizontal="left" vertical="top"/>
    </xf>
    <xf numFmtId="0" fontId="21" fillId="15" borderId="1" xfId="0" applyFont="1" applyFill="1" applyBorder="1" applyAlignment="1">
      <alignment horizontal="left" vertical="top"/>
    </xf>
    <xf numFmtId="0" fontId="11" fillId="8" borderId="1" xfId="0" applyFont="1" applyFill="1" applyBorder="1" applyAlignment="1">
      <alignment vertical="top"/>
    </xf>
    <xf numFmtId="0" fontId="11" fillId="0" borderId="0" xfId="0" applyFont="1" applyAlignment="1">
      <alignment wrapText="1"/>
    </xf>
    <xf numFmtId="0" fontId="21" fillId="16" borderId="1" xfId="0" applyFont="1" applyFill="1" applyBorder="1" applyAlignment="1">
      <alignment horizontal="left" vertical="top"/>
    </xf>
    <xf numFmtId="0" fontId="21" fillId="16" borderId="1" xfId="0" applyFont="1" applyFill="1" applyBorder="1" applyAlignment="1">
      <alignment horizontal="center" vertical="top" wrapText="1"/>
    </xf>
    <xf numFmtId="0" fontId="5" fillId="6" borderId="4" xfId="0" applyFont="1" applyFill="1" applyBorder="1" applyAlignment="1">
      <alignment horizontal="left" vertical="center" readingOrder="1"/>
    </xf>
    <xf numFmtId="0" fontId="5" fillId="6" borderId="4" xfId="0" applyFont="1" applyFill="1" applyBorder="1" applyAlignment="1">
      <alignment horizontal="center" vertical="center" readingOrder="1"/>
    </xf>
    <xf numFmtId="0" fontId="5" fillId="6" borderId="4" xfId="0" applyFont="1" applyFill="1" applyBorder="1" applyAlignment="1">
      <alignment horizontal="right" vertical="center" readingOrder="1"/>
    </xf>
    <xf numFmtId="49" fontId="5" fillId="6" borderId="4" xfId="0" applyNumberFormat="1" applyFont="1" applyFill="1" applyBorder="1" applyAlignment="1">
      <alignment horizontal="center" vertical="center" readingOrder="1"/>
    </xf>
    <xf numFmtId="0" fontId="5" fillId="6" borderId="4" xfId="0" applyFont="1" applyFill="1" applyBorder="1" applyAlignment="1">
      <alignment horizontal="left" vertical="center" readingOrder="1"/>
    </xf>
    <xf numFmtId="49" fontId="5" fillId="6" borderId="4" xfId="0" applyNumberFormat="1" applyFont="1" applyFill="1" applyBorder="1" applyAlignment="1">
      <alignment horizontal="left" vertical="center" readingOrder="1"/>
    </xf>
    <xf numFmtId="0" fontId="5" fillId="0" borderId="4" xfId="0" applyFont="1" applyBorder="1" applyAlignment="1">
      <alignment vertical="center"/>
    </xf>
    <xf numFmtId="49" fontId="4" fillId="3" borderId="4" xfId="0" applyNumberFormat="1" applyFont="1" applyFill="1" applyBorder="1" applyAlignment="1">
      <alignment horizontal="center" vertical="center" wrapText="1" readingOrder="1"/>
    </xf>
    <xf numFmtId="0" fontId="4" fillId="3" borderId="4" xfId="0" applyFont="1" applyFill="1" applyBorder="1" applyAlignment="1">
      <alignment horizontal="right" vertical="center" wrapText="1" readingOrder="1"/>
    </xf>
    <xf numFmtId="0" fontId="5" fillId="0" borderId="4" xfId="0" applyFont="1" applyBorder="1" applyAlignment="1">
      <alignment horizontal="center" vertical="center"/>
    </xf>
    <xf numFmtId="0" fontId="5" fillId="0" borderId="4" xfId="0" applyFont="1" applyBorder="1" applyAlignment="1">
      <alignment horizontal="right" vertical="center" wrapText="1" readingOrder="1"/>
    </xf>
    <xf numFmtId="0" fontId="5" fillId="17" borderId="4" xfId="0" applyFont="1" applyFill="1" applyBorder="1" applyAlignment="1">
      <alignment horizontal="left" vertical="center" wrapText="1" readingOrder="1"/>
    </xf>
    <xf numFmtId="0" fontId="5" fillId="17" borderId="4" xfId="0" applyFont="1" applyFill="1" applyBorder="1" applyAlignment="1">
      <alignment horizontal="center" vertical="center" wrapText="1" readingOrder="1"/>
    </xf>
    <xf numFmtId="0" fontId="5" fillId="17" borderId="4" xfId="0" applyFont="1" applyFill="1" applyBorder="1" applyAlignment="1">
      <alignment horizontal="left" vertical="center" wrapText="1" readingOrder="1"/>
    </xf>
    <xf numFmtId="49" fontId="5" fillId="17" borderId="4" xfId="0" applyNumberFormat="1" applyFont="1" applyFill="1" applyBorder="1" applyAlignment="1">
      <alignment horizontal="left" vertical="center" readingOrder="1"/>
    </xf>
    <xf numFmtId="0" fontId="5" fillId="17" borderId="4" xfId="0" applyFont="1" applyFill="1" applyBorder="1" applyAlignment="1">
      <alignment horizontal="left" vertical="center" readingOrder="1"/>
    </xf>
    <xf numFmtId="49" fontId="5" fillId="17" borderId="4" xfId="0" applyNumberFormat="1" applyFont="1" applyFill="1" applyBorder="1" applyAlignment="1">
      <alignment horizontal="left" vertical="center" wrapText="1" readingOrder="1"/>
    </xf>
    <xf numFmtId="0" fontId="5" fillId="8" borderId="4" xfId="0" applyFont="1" applyFill="1" applyBorder="1" applyAlignment="1">
      <alignment horizontal="right" vertical="center" wrapText="1" readingOrder="1"/>
    </xf>
    <xf numFmtId="0" fontId="5" fillId="8" borderId="12" xfId="0" applyFont="1" applyFill="1" applyBorder="1" applyAlignment="1">
      <alignment horizontal="right" vertical="center" wrapText="1" readingOrder="1"/>
    </xf>
    <xf numFmtId="0" fontId="5" fillId="8" borderId="4" xfId="0" applyFont="1" applyFill="1" applyBorder="1" applyAlignment="1">
      <alignment horizontal="left" vertical="center" wrapText="1" readingOrder="1"/>
    </xf>
    <xf numFmtId="0" fontId="5" fillId="8" borderId="4" xfId="0" applyFont="1" applyFill="1" applyBorder="1" applyAlignment="1">
      <alignment horizontal="left" vertical="center" wrapText="1" readingOrder="1"/>
    </xf>
    <xf numFmtId="49" fontId="5" fillId="8" borderId="4" xfId="0" applyNumberFormat="1" applyFont="1" applyFill="1" applyBorder="1" applyAlignment="1">
      <alignment horizontal="left" vertical="center" wrapText="1" readingOrder="1"/>
    </xf>
    <xf numFmtId="0" fontId="5" fillId="8" borderId="4" xfId="0" applyFont="1" applyFill="1" applyBorder="1" applyAlignment="1">
      <alignment horizontal="left" vertical="center" readingOrder="1"/>
    </xf>
    <xf numFmtId="0" fontId="5" fillId="9" borderId="4" xfId="0" applyFont="1" applyFill="1" applyBorder="1" applyAlignment="1">
      <alignment horizontal="right" vertical="center" wrapText="1" readingOrder="1"/>
    </xf>
    <xf numFmtId="0" fontId="5" fillId="9" borderId="4" xfId="0" applyFont="1" applyFill="1" applyBorder="1" applyAlignment="1">
      <alignment horizontal="left" vertical="center" wrapText="1" readingOrder="1"/>
    </xf>
    <xf numFmtId="0" fontId="5" fillId="9" borderId="4" xfId="0" applyFont="1" applyFill="1" applyBorder="1" applyAlignment="1">
      <alignment horizontal="left" vertical="center" wrapText="1" readingOrder="1"/>
    </xf>
    <xf numFmtId="49" fontId="5" fillId="9" borderId="4" xfId="0" applyNumberFormat="1" applyFont="1" applyFill="1" applyBorder="1" applyAlignment="1">
      <alignment horizontal="left" vertical="center" wrapText="1" readingOrder="1"/>
    </xf>
    <xf numFmtId="0" fontId="5" fillId="9" borderId="4" xfId="0" applyFont="1" applyFill="1" applyBorder="1" applyAlignment="1">
      <alignment horizontal="left" vertical="center" readingOrder="1"/>
    </xf>
    <xf numFmtId="0" fontId="5" fillId="0" borderId="15" xfId="0"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12" fillId="17" borderId="4" xfId="0" applyFont="1" applyFill="1" applyBorder="1" applyAlignment="1">
      <alignment horizontal="left" vertical="center" wrapText="1" readingOrder="1"/>
    </xf>
    <xf numFmtId="0" fontId="5" fillId="10" borderId="4" xfId="0" applyFont="1" applyFill="1" applyBorder="1" applyAlignment="1">
      <alignment horizontal="center" vertical="center" readingOrder="1"/>
    </xf>
    <xf numFmtId="0" fontId="5" fillId="10" borderId="4" xfId="0" applyFont="1" applyFill="1" applyBorder="1" applyAlignment="1">
      <alignment horizontal="right" vertical="center" readingOrder="1"/>
    </xf>
    <xf numFmtId="49" fontId="5" fillId="10" borderId="4" xfId="0" applyNumberFormat="1" applyFont="1" applyFill="1" applyBorder="1" applyAlignment="1">
      <alignment horizontal="center" vertical="center" readingOrder="1"/>
    </xf>
    <xf numFmtId="0" fontId="5" fillId="10" borderId="4" xfId="0" applyFont="1" applyFill="1" applyBorder="1" applyAlignment="1">
      <alignment horizontal="left" vertical="center" readingOrder="1"/>
    </xf>
    <xf numFmtId="0" fontId="5" fillId="10" borderId="4" xfId="0" applyFont="1" applyFill="1" applyBorder="1" applyAlignment="1">
      <alignment horizontal="left" vertical="center" readingOrder="1"/>
    </xf>
    <xf numFmtId="49" fontId="5" fillId="10" borderId="4" xfId="0" applyNumberFormat="1" applyFont="1" applyFill="1" applyBorder="1" applyAlignment="1">
      <alignment horizontal="left" vertical="center" readingOrder="1"/>
    </xf>
    <xf numFmtId="0" fontId="23" fillId="7" borderId="4" xfId="0" applyFont="1" applyFill="1" applyBorder="1" applyAlignment="1">
      <alignment vertical="center"/>
    </xf>
    <xf numFmtId="0" fontId="5" fillId="11" borderId="4" xfId="0" applyFont="1" applyFill="1" applyBorder="1" applyAlignment="1">
      <alignment horizontal="right" vertical="center" wrapText="1" readingOrder="1"/>
    </xf>
    <xf numFmtId="0" fontId="5" fillId="11" borderId="4" xfId="0" applyFont="1" applyFill="1" applyBorder="1" applyAlignment="1">
      <alignment horizontal="left" vertical="center" wrapText="1" readingOrder="1"/>
    </xf>
    <xf numFmtId="0" fontId="5" fillId="11" borderId="4" xfId="0" applyFont="1" applyFill="1" applyBorder="1" applyAlignment="1">
      <alignment horizontal="left" vertical="center" wrapText="1" readingOrder="1"/>
    </xf>
    <xf numFmtId="49" fontId="5" fillId="11" borderId="4" xfId="0" applyNumberFormat="1" applyFont="1" applyFill="1" applyBorder="1" applyAlignment="1">
      <alignment horizontal="left" vertical="center" wrapText="1" readingOrder="1"/>
    </xf>
    <xf numFmtId="0" fontId="5" fillId="11" borderId="4" xfId="0" applyFont="1" applyFill="1" applyBorder="1" applyAlignment="1">
      <alignment horizontal="left" vertical="center" readingOrder="1"/>
    </xf>
    <xf numFmtId="0" fontId="5" fillId="2" borderId="4" xfId="0" applyFont="1" applyFill="1" applyBorder="1" applyAlignment="1">
      <alignment horizontal="left" vertical="center" wrapText="1" readingOrder="1"/>
    </xf>
    <xf numFmtId="0" fontId="5" fillId="0" borderId="4" xfId="0" quotePrefix="1" applyFont="1" applyBorder="1" applyAlignment="1">
      <alignment horizontal="left" vertical="center" wrapText="1" readingOrder="1"/>
    </xf>
    <xf numFmtId="0" fontId="5" fillId="2" borderId="4" xfId="0" applyFont="1" applyFill="1" applyBorder="1" applyAlignment="1">
      <alignment horizontal="right" vertical="center" wrapText="1" readingOrder="1"/>
    </xf>
    <xf numFmtId="49" fontId="5" fillId="2" borderId="4" xfId="0" applyNumberFormat="1" applyFont="1" applyFill="1" applyBorder="1" applyAlignment="1">
      <alignment horizontal="center"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left" vertical="center" readingOrder="1"/>
    </xf>
    <xf numFmtId="49" fontId="5" fillId="0" borderId="4" xfId="0" applyNumberFormat="1" applyFont="1" applyBorder="1" applyAlignment="1">
      <alignment horizontal="left" vertical="center" wrapText="1" readingOrder="1"/>
    </xf>
    <xf numFmtId="0" fontId="5" fillId="0" borderId="4" xfId="0" applyFont="1" applyBorder="1" applyAlignment="1">
      <alignment horizontal="right" vertical="center"/>
    </xf>
    <xf numFmtId="49" fontId="5" fillId="0" borderId="4" xfId="0" applyNumberFormat="1" applyFont="1" applyBorder="1" applyAlignment="1">
      <alignment horizontal="center" vertical="center"/>
    </xf>
    <xf numFmtId="0" fontId="5" fillId="0" borderId="4" xfId="0" applyFont="1" applyBorder="1" applyAlignment="1">
      <alignment horizontal="left" vertical="center"/>
    </xf>
    <xf numFmtId="0" fontId="5" fillId="0" borderId="4" xfId="0" applyFont="1" applyBorder="1" applyAlignment="1">
      <alignment horizontal="center" vertical="center" readingOrder="1"/>
    </xf>
    <xf numFmtId="49" fontId="5" fillId="0" borderId="4" xfId="0" applyNumberFormat="1" applyFont="1" applyBorder="1" applyAlignment="1">
      <alignment vertical="center"/>
    </xf>
    <xf numFmtId="0" fontId="6" fillId="0" borderId="5" xfId="0" applyFont="1" applyBorder="1" applyAlignment="1">
      <alignment horizontal="center" vertical="center" wrapText="1"/>
    </xf>
    <xf numFmtId="0" fontId="8" fillId="0" borderId="6" xfId="0" applyFont="1" applyBorder="1"/>
    <xf numFmtId="0" fontId="8" fillId="0" borderId="7" xfId="0" applyFont="1" applyBorder="1"/>
    <xf numFmtId="0" fontId="6" fillId="0" borderId="8" xfId="0" applyFont="1" applyBorder="1" applyAlignment="1">
      <alignment horizontal="center" vertical="center" wrapText="1"/>
    </xf>
    <xf numFmtId="0" fontId="8" fillId="0" borderId="8" xfId="0" applyFont="1" applyBorder="1"/>
    <xf numFmtId="0" fontId="8" fillId="0" borderId="9" xfId="0" applyFont="1" applyBorder="1"/>
    <xf numFmtId="0" fontId="5" fillId="0" borderId="5" xfId="0" applyFont="1" applyBorder="1" applyAlignment="1">
      <alignment horizontal="center" vertical="center" wrapText="1" readingOrder="1"/>
    </xf>
    <xf numFmtId="49" fontId="5" fillId="0" borderId="5" xfId="0" applyNumberFormat="1" applyFont="1" applyBorder="1" applyAlignment="1">
      <alignment horizontal="center" vertical="center" wrapText="1" readingOrder="1"/>
    </xf>
    <xf numFmtId="0" fontId="5" fillId="2" borderId="5" xfId="0" applyFont="1" applyFill="1" applyBorder="1" applyAlignment="1">
      <alignment horizontal="center" vertical="center" wrapText="1" readingOrder="1"/>
    </xf>
    <xf numFmtId="0" fontId="5" fillId="7" borderId="5" xfId="0" applyFont="1" applyFill="1" applyBorder="1" applyAlignment="1">
      <alignment horizontal="center" vertical="center" wrapText="1" readingOrder="1"/>
    </xf>
    <xf numFmtId="0" fontId="8" fillId="0" borderId="24" xfId="0" applyFont="1" applyBorder="1"/>
    <xf numFmtId="0" fontId="1" fillId="0" borderId="5" xfId="0" applyFont="1" applyBorder="1" applyAlignment="1">
      <alignment horizontal="center" vertical="center" wrapText="1"/>
    </xf>
    <xf numFmtId="49" fontId="1" fillId="0" borderId="5" xfId="0" applyNumberFormat="1" applyFont="1" applyBorder="1" applyAlignment="1">
      <alignment horizontal="center" vertical="center" wrapText="1"/>
    </xf>
    <xf numFmtId="0" fontId="1" fillId="2" borderId="5" xfId="0" applyFont="1" applyFill="1" applyBorder="1" applyAlignment="1">
      <alignment horizontal="center" vertical="center" wrapText="1"/>
    </xf>
    <xf numFmtId="49" fontId="1" fillId="2" borderId="5" xfId="0" applyNumberFormat="1" applyFont="1" applyFill="1" applyBorder="1" applyAlignment="1">
      <alignment horizontal="center" vertical="center" wrapText="1"/>
    </xf>
    <xf numFmtId="49" fontId="1" fillId="2" borderId="21" xfId="0" applyNumberFormat="1" applyFont="1" applyFill="1" applyBorder="1" applyAlignment="1">
      <alignment horizontal="center" vertical="center" wrapText="1"/>
    </xf>
    <xf numFmtId="0" fontId="1" fillId="2" borderId="26" xfId="0" applyFont="1" applyFill="1" applyBorder="1" applyAlignment="1">
      <alignment horizontal="center" vertical="center" wrapText="1"/>
    </xf>
    <xf numFmtId="0" fontId="8" fillId="0" borderId="27" xfId="0" applyFont="1" applyBorder="1"/>
    <xf numFmtId="49"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9" borderId="5" xfId="0" applyFont="1" applyFill="1" applyBorder="1" applyAlignment="1">
      <alignment horizontal="center" vertical="center" wrapText="1"/>
    </xf>
    <xf numFmtId="49" fontId="1" fillId="2" borderId="26" xfId="0" applyNumberFormat="1" applyFont="1" applyFill="1" applyBorder="1" applyAlignment="1">
      <alignment horizontal="center" vertical="center" wrapText="1"/>
    </xf>
    <xf numFmtId="0" fontId="8" fillId="0" borderId="28" xfId="0" applyFont="1" applyBorder="1"/>
    <xf numFmtId="49" fontId="5" fillId="2" borderId="21" xfId="0" applyNumberFormat="1" applyFont="1" applyFill="1" applyBorder="1" applyAlignment="1">
      <alignment horizontal="center" vertical="center" wrapText="1" readingOrder="1"/>
    </xf>
    <xf numFmtId="49" fontId="5" fillId="7" borderId="5" xfId="0" applyNumberFormat="1" applyFont="1" applyFill="1" applyBorder="1" applyAlignment="1">
      <alignment horizontal="center" vertical="center" wrapText="1" readingOrder="1"/>
    </xf>
    <xf numFmtId="49" fontId="5" fillId="2" borderId="14" xfId="0" applyNumberFormat="1" applyFont="1" applyFill="1" applyBorder="1" applyAlignment="1">
      <alignment horizontal="center" vertical="center" wrapText="1" readingOrder="1"/>
    </xf>
    <xf numFmtId="0" fontId="8" fillId="0" borderId="16" xfId="0" applyFont="1" applyBorder="1"/>
    <xf numFmtId="0" fontId="5" fillId="2" borderId="20" xfId="0" applyFont="1" applyFill="1" applyBorder="1" applyAlignment="1">
      <alignment horizontal="center" vertical="center" wrapText="1" readingOrder="1"/>
    </xf>
    <xf numFmtId="0" fontId="8" fillId="0" borderId="22" xfId="0" applyFont="1" applyBorder="1"/>
    <xf numFmtId="0" fontId="1" fillId="0" borderId="6" xfId="0" applyFont="1" applyBorder="1" applyAlignment="1">
      <alignment horizontal="center" vertical="center" wrapText="1"/>
    </xf>
    <xf numFmtId="49" fontId="1" fillId="9" borderId="5" xfId="0" applyNumberFormat="1" applyFont="1" applyFill="1" applyBorder="1" applyAlignment="1">
      <alignment horizontal="center" vertical="center"/>
    </xf>
    <xf numFmtId="0" fontId="1" fillId="9" borderId="5" xfId="0" applyFont="1" applyFill="1" applyBorder="1" applyAlignment="1">
      <alignment horizontal="center" vertical="center"/>
    </xf>
    <xf numFmtId="49" fontId="5" fillId="2" borderId="5" xfId="0" applyNumberFormat="1" applyFont="1" applyFill="1" applyBorder="1" applyAlignment="1">
      <alignment horizontal="center" vertical="center" wrapText="1" readingOrder="1"/>
    </xf>
    <xf numFmtId="0" fontId="16" fillId="13" borderId="34" xfId="0" applyFont="1" applyFill="1" applyBorder="1" applyAlignment="1">
      <alignment horizontal="center" vertical="top" wrapText="1"/>
    </xf>
    <xf numFmtId="0" fontId="8" fillId="0" borderId="35" xfId="0" applyFont="1" applyBorder="1"/>
    <xf numFmtId="0" fontId="8" fillId="0" borderId="36" xfId="0" applyFont="1" applyBorder="1"/>
    <xf numFmtId="0" fontId="16" fillId="14" borderId="34" xfId="0" applyFont="1" applyFill="1" applyBorder="1" applyAlignment="1">
      <alignment horizontal="center" vertical="center" wrapText="1"/>
    </xf>
    <xf numFmtId="0" fontId="5" fillId="2" borderId="5" xfId="0" applyFont="1" applyFill="1" applyBorder="1" applyAlignment="1">
      <alignment horizontal="right" vertical="center" wrapText="1" readingOrder="1"/>
    </xf>
    <xf numFmtId="0" fontId="5" fillId="0" borderId="5" xfId="0" applyFont="1" applyBorder="1" applyAlignment="1">
      <alignment horizontal="center" vertical="center"/>
    </xf>
    <xf numFmtId="0" fontId="5" fillId="0" borderId="5" xfId="0" applyFont="1" applyBorder="1" applyAlignment="1">
      <alignment horizontal="right" vertical="center" wrapText="1" readingOrder="1"/>
    </xf>
    <xf numFmtId="0" fontId="5" fillId="2" borderId="20" xfId="0" applyFont="1" applyFill="1" applyBorder="1" applyAlignment="1">
      <alignment horizontal="right" vertical="center" wrapText="1" readingOrder="1"/>
    </xf>
    <xf numFmtId="0" fontId="5" fillId="17" borderId="5" xfId="0" applyFont="1" applyFill="1" applyBorder="1" applyAlignment="1">
      <alignment horizontal="center" vertical="center" wrapText="1" readingOrder="1"/>
    </xf>
    <xf numFmtId="0" fontId="5" fillId="17" borderId="21" xfId="0" applyFont="1" applyFill="1" applyBorder="1" applyAlignment="1">
      <alignment horizontal="center" vertical="center" wrapText="1" readingOrder="1"/>
    </xf>
    <xf numFmtId="0" fontId="5" fillId="17"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pt-BR"/>
  <c:chart>
    <c:title>
      <c:tx>
        <c:rich>
          <a:bodyPr/>
          <a:lstStyle/>
          <a:p>
            <a:pPr lvl="0">
              <a:defRPr b="1" i="0">
                <a:solidFill>
                  <a:schemeClr val="dk1"/>
                </a:solidFill>
                <a:latin typeface="Arial"/>
              </a:defRPr>
            </a:pPr>
            <a:r>
              <a:rPr b="1" i="0">
                <a:solidFill>
                  <a:schemeClr val="dk1"/>
                </a:solidFill>
                <a:latin typeface="Arial"/>
              </a:rPr>
              <a:t>Unidades Temática e Objetos do Conhecimento</a:t>
            </a:r>
          </a:p>
        </c:rich>
      </c:tx>
    </c:title>
    <c:plotArea>
      <c:layout>
        <c:manualLayout>
          <c:xMode val="edge"/>
          <c:yMode val="edge"/>
          <c:x val="0.45890410958904121"/>
          <c:y val="0.10173259736277214"/>
          <c:w val="0.50872543180464569"/>
          <c:h val="0.80410916896657481"/>
        </c:manualLayout>
      </c:layout>
      <c:barChart>
        <c:barDir val="bar"/>
        <c:grouping val="clustered"/>
        <c:ser>
          <c:idx val="0"/>
          <c:order val="0"/>
          <c:tx>
            <c:strRef>
              <c:f>Gráfico!$B$1</c:f>
              <c:strCache>
                <c:ptCount val="1"/>
                <c:pt idx="0">
                  <c:v>Quantidade</c:v>
                </c:pt>
              </c:strCache>
            </c:strRef>
          </c:tx>
          <c:cat>
            <c:strRef>
              <c:f>Gráfico!$A$2:$A$55</c:f>
              <c:strCache>
                <c:ptCount val="49"/>
                <c:pt idx="0">
                  <c:v>GEOMETRIA</c:v>
                </c:pt>
                <c:pt idx="1">
                  <c:v>Transformações geométricas: simetrias de translação, reflexão e rotação</c:v>
                </c:pt>
                <c:pt idx="2">
                  <c:v>Triângulos: construção, condição de existência e soma das medidas dos ângulos internos</c:v>
                </c:pt>
                <c:pt idx="3">
                  <c:v>Triângulos: construção, condição de existência e soma das medidas dos ângulos internos.</c:v>
                </c:pt>
                <c:pt idx="4">
                  <c:v>Polígonos regulares. (construção por algoritmos e fluxogramas)</c:v>
                </c:pt>
                <c:pt idx="5">
                  <c:v>Relações entre arcos e ângulos na circunferência de um círculo.</c:v>
                </c:pt>
                <c:pt idx="6">
                  <c:v>Vistas ortogonais de figuras espaciais.</c:v>
                </c:pt>
                <c:pt idx="7">
                  <c:v>Retas paralelas cortadas por transversais: teoremas de proporcionalidade e verificações experimentais.</c:v>
                </c:pt>
                <c:pt idx="8">
                  <c:v>Demonstrações de relações entre os ângulos formados por retas paralelas intersectadas por uma transversal.</c:v>
                </c:pt>
                <c:pt idx="9">
                  <c:v>Distância entre pontos no plano cartesiano.</c:v>
                </c:pt>
                <c:pt idx="10">
                  <c:v>Volume de prismas e cilindros.</c:v>
                </c:pt>
                <c:pt idx="11">
                  <c:v>Relações métricas no triângulo retângulo.  Teorema de Pitágoras: verificações experimentais e demonstração.</c:v>
                </c:pt>
                <c:pt idx="12">
                  <c:v>Semelhança de triângulos.</c:v>
                </c:pt>
                <c:pt idx="13">
                  <c:v>Questões de avaliações estaduais, nacionais e internacionais</c:v>
                </c:pt>
                <c:pt idx="14">
                  <c:v>PLATAFORMA</c:v>
                </c:pt>
                <c:pt idx="15">
                  <c:v>ÁLGEBRA</c:v>
                </c:pt>
                <c:pt idx="16">
                  <c:v>Valor numérico de expressões algébricas.</c:v>
                </c:pt>
                <c:pt idx="17">
                  <c:v>Razão entre grandezas de espécies diferentes.</c:v>
                </c:pt>
                <c:pt idx="18">
                  <c:v>Equações polinomiais do 1º grau</c:v>
                </c:pt>
                <c:pt idx="19">
                  <c:v>Variação de grandezas: diretamente proporcionais, inversamente proporcionais ou não proporcionais.</c:v>
                </c:pt>
                <c:pt idx="20">
                  <c:v>Grandezas diretamente proporcionais e grandezas inversamente proporcionais.</c:v>
                </c:pt>
                <c:pt idx="21">
                  <c:v>Funções: representações numérica, algébrica e gráfica.</c:v>
                </c:pt>
                <c:pt idx="22">
                  <c:v>Problemas envolvendo grandezas diretamente proporcionais e grandezas inversamente proporcionais.</c:v>
                </c:pt>
                <c:pt idx="23">
                  <c:v>Expressões algébricas: fatoração e produtos notáveis. Resolução de equações polinomiais do 2º grau por meio de fatorações.</c:v>
                </c:pt>
                <c:pt idx="24">
                  <c:v>Questões de avaliações estaduais, nacionais e internacionais</c:v>
                </c:pt>
                <c:pt idx="25">
                  <c:v>PROBAB. E ESTATÍSTICA</c:v>
                </c:pt>
                <c:pt idx="26">
                  <c:v>Experimentos aleatórios: espaço amostral e estimativa de probabilidade por meio de frequência de ocorrências.</c:v>
                </c:pt>
                <c:pt idx="27">
                  <c:v>Princípio multiplicativo da contagem. Soma das probabilidades de todos os elementos de um espaço amostral.</c:v>
                </c:pt>
                <c:pt idx="28">
                  <c:v>Estatística: média e amplitude de um conjunto de dados</c:v>
                </c:pt>
                <c:pt idx="29">
                  <c:v>Análise de probabilidades de eventos aleatórios: eventos dependentes e independentes.</c:v>
                </c:pt>
                <c:pt idx="30">
                  <c:v>Medidas de tendência central e de dispersão.</c:v>
                </c:pt>
                <c:pt idx="31">
                  <c:v>Análise de gráficos divulgados pela mídia: elementos que podem induzir a erros de leitura ou de interpretação.</c:v>
                </c:pt>
                <c:pt idx="32">
                  <c:v>Planejamento e execução de pesquisa amostral e apresentação de relatório.</c:v>
                </c:pt>
                <c:pt idx="33">
                  <c:v>Leitura, interpretação e representação de dados de pesquisas expressos em tabelas de dupla entrada, gráficos de colunas, simples e agrupadas, gráficos de barras e de setores e gráficos pictóricos.</c:v>
                </c:pt>
                <c:pt idx="34">
                  <c:v>Questões de avaliações estaduais, nacionais e internacionais</c:v>
                </c:pt>
                <c:pt idx="35">
                  <c:v>NÚMEROS</c:v>
                </c:pt>
                <c:pt idx="36">
                  <c:v>Necessidade dos números reais para medir qualquer segmento de reta.</c:v>
                </c:pt>
                <c:pt idx="37">
                  <c:v>Potenciação e radiciação</c:v>
                </c:pt>
                <c:pt idx="38">
                  <c:v>Potências com expoentes negativos e fracionários</c:v>
                </c:pt>
                <c:pt idx="39">
                  <c:v>Frações: significados, equivalência, operações, fração de quantidades.</c:v>
                </c:pt>
                <c:pt idx="40">
                  <c:v>Números irracionais: reconhecimento e localização de alguns na reta numérica.</c:v>
                </c:pt>
                <c:pt idx="41">
                  <c:v>Notação científica</c:v>
                </c:pt>
                <c:pt idx="42">
                  <c:v>Números reais: notação científica e problemas</c:v>
                </c:pt>
                <c:pt idx="43">
                  <c:v>Porcentagens</c:v>
                </c:pt>
                <c:pt idx="44">
                  <c:v>Números racionais – forma fracionária e forma decimal: usos, ordenação, operações, representação na reta numérica.</c:v>
                </c:pt>
                <c:pt idx="45">
                  <c:v>Porcentagens: problemas que envolvem cálculo de percentuais sucessivos.</c:v>
                </c:pt>
                <c:pt idx="46">
                  <c:v>Questões de avaliações estaduais, nacionais e internacionais</c:v>
                </c:pt>
                <c:pt idx="47">
                  <c:v>GRANDEZAS/MEDIDAS</c:v>
                </c:pt>
                <c:pt idx="48">
                  <c:v>Unidades de medida para medir distâncias muito grandes e muito pequenas.
 Unidades de medida utilizadas na informática.</c:v>
                </c:pt>
              </c:strCache>
            </c:strRef>
          </c:cat>
          <c:val>
            <c:numRef>
              <c:f>Gráfico!$B$2:$B$55</c:f>
              <c:numCache>
                <c:formatCode>General</c:formatCode>
                <c:ptCount val="5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er>
        <c:axId val="89950848"/>
        <c:axId val="89957504"/>
      </c:barChart>
      <c:catAx>
        <c:axId val="89950848"/>
        <c:scaling>
          <c:orientation val="maxMin"/>
        </c:scaling>
        <c:axPos val="l"/>
        <c:title>
          <c:tx>
            <c:rich>
              <a:bodyPr/>
              <a:lstStyle/>
              <a:p>
                <a:pPr lvl="0">
                  <a:defRPr b="0" i="0">
                    <a:solidFill>
                      <a:srgbClr val="000000"/>
                    </a:solidFill>
                    <a:latin typeface="+mn-lt"/>
                  </a:defRPr>
                </a:pPr>
                <a:r>
                  <a:rPr b="0" i="0">
                    <a:solidFill>
                      <a:srgbClr val="000000"/>
                    </a:solidFill>
                    <a:latin typeface="+mn-lt"/>
                  </a:rPr>
                  <a:t>UNIDADE TEMÁTICA</a:t>
                </a:r>
              </a:p>
            </c:rich>
          </c:tx>
        </c:title>
        <c:numFmt formatCode="General" sourceLinked="1"/>
        <c:majorTickMark val="none"/>
        <c:tickLblPos val="nextTo"/>
        <c:txPr>
          <a:bodyPr/>
          <a:lstStyle/>
          <a:p>
            <a:pPr lvl="0">
              <a:defRPr sz="1200" b="0" i="0">
                <a:solidFill>
                  <a:srgbClr val="000000"/>
                </a:solidFill>
                <a:latin typeface="Arial"/>
              </a:defRPr>
            </a:pPr>
            <a:endParaRPr lang="pt-BR"/>
          </a:p>
        </c:txPr>
        <c:crossAx val="89957504"/>
        <c:crosses val="autoZero"/>
        <c:lblAlgn val="ctr"/>
        <c:lblOffset val="100"/>
      </c:catAx>
      <c:valAx>
        <c:axId val="89957504"/>
        <c:scaling>
          <c:orientation val="minMax"/>
        </c:scaling>
        <c:axPos val="b"/>
        <c:numFmt formatCode="General" sourceLinked="1"/>
        <c:tickLblPos val="nextTo"/>
        <c:spPr>
          <a:ln>
            <a:noFill/>
          </a:ln>
        </c:spPr>
        <c:crossAx val="89950848"/>
        <c:crosses val="max"/>
        <c:crossBetween val="between"/>
      </c:valAx>
    </c:plotArea>
    <c:legend>
      <c:legendPos val="r"/>
      <c:txPr>
        <a:bodyPr/>
        <a:lstStyle/>
        <a:p>
          <a:pPr lvl="0">
            <a:defRPr b="0" i="0">
              <a:solidFill>
                <a:srgbClr val="1A1A1A"/>
              </a:solidFill>
              <a:latin typeface="+mn-lt"/>
            </a:defRPr>
          </a:pPr>
          <a:endParaRPr lang="pt-BR"/>
        </a:p>
      </c:txPr>
    </c:legend>
    <c:plotVisOnly val="1"/>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1610975" cy="10353675"/>
    <xdr:graphicFrame macro="">
      <xdr:nvGraphicFramePr>
        <xdr:cNvPr id="188971453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atem&#225;tica%202025"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temática 2025"/>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tabColor rgb="FFB5E3E8"/>
    <outlinePr summaryBelow="0" summaryRight="0"/>
  </sheetPr>
  <dimension ref="A1:Z1010"/>
  <sheetViews>
    <sheetView showGridLines="0" topLeftCell="A7" workbookViewId="0">
      <selection activeCell="B15" sqref="B15"/>
    </sheetView>
  </sheetViews>
  <sheetFormatPr defaultColWidth="12.5703125" defaultRowHeight="15" customHeight="1"/>
  <cols>
    <col min="2" max="2" width="42.7109375" customWidth="1"/>
    <col min="4" max="26" width="12.5703125" hidden="1"/>
  </cols>
  <sheetData>
    <row r="1" spans="1:26" ht="12.75">
      <c r="A1" s="1"/>
      <c r="B1" s="1"/>
      <c r="C1" s="1"/>
      <c r="D1" s="1"/>
      <c r="E1" s="1"/>
      <c r="F1" s="1"/>
      <c r="G1" s="1"/>
      <c r="H1" s="1"/>
      <c r="I1" s="1"/>
      <c r="J1" s="1"/>
      <c r="K1" s="1"/>
      <c r="L1" s="1"/>
      <c r="M1" s="1"/>
      <c r="N1" s="1"/>
      <c r="O1" s="1"/>
      <c r="P1" s="1"/>
      <c r="Q1" s="1"/>
      <c r="R1" s="1"/>
      <c r="S1" s="1"/>
      <c r="T1" s="1"/>
      <c r="U1" s="1"/>
      <c r="V1" s="1"/>
      <c r="W1" s="1"/>
      <c r="X1" s="1"/>
      <c r="Y1" s="1"/>
      <c r="Z1" s="1"/>
    </row>
    <row r="2" spans="1:26" ht="30" customHeight="1">
      <c r="A2" s="1"/>
      <c r="B2" s="2" t="s">
        <v>0</v>
      </c>
      <c r="C2" s="1"/>
      <c r="D2" s="1"/>
      <c r="E2" s="1"/>
      <c r="F2" s="1"/>
      <c r="G2" s="1"/>
      <c r="H2" s="1"/>
      <c r="I2" s="1"/>
      <c r="J2" s="1"/>
      <c r="K2" s="1"/>
      <c r="L2" s="1"/>
      <c r="M2" s="1"/>
      <c r="N2" s="1"/>
      <c r="O2" s="1"/>
      <c r="P2" s="1"/>
      <c r="Q2" s="1"/>
      <c r="R2" s="1"/>
      <c r="S2" s="1"/>
      <c r="T2" s="1"/>
      <c r="U2" s="1"/>
      <c r="V2" s="1"/>
      <c r="W2" s="1"/>
      <c r="X2" s="1"/>
      <c r="Y2" s="1"/>
      <c r="Z2" s="1"/>
    </row>
    <row r="3" spans="1:26" ht="22.5" customHeight="1">
      <c r="A3" s="1"/>
      <c r="B3" s="3" t="s">
        <v>1</v>
      </c>
      <c r="C3" s="1"/>
      <c r="D3" s="1"/>
      <c r="E3" s="1"/>
      <c r="F3" s="1"/>
      <c r="G3" s="1"/>
      <c r="H3" s="1"/>
      <c r="I3" s="1"/>
      <c r="J3" s="1"/>
      <c r="K3" s="1"/>
      <c r="L3" s="1"/>
      <c r="M3" s="1"/>
      <c r="N3" s="1"/>
      <c r="O3" s="1"/>
      <c r="P3" s="1"/>
      <c r="Q3" s="1"/>
      <c r="R3" s="1"/>
      <c r="S3" s="1"/>
      <c r="T3" s="1"/>
      <c r="U3" s="1"/>
      <c r="V3" s="1"/>
      <c r="W3" s="1"/>
      <c r="X3" s="1"/>
      <c r="Y3" s="1"/>
      <c r="Z3" s="1"/>
    </row>
    <row r="4" spans="1:26" ht="22.5" customHeight="1">
      <c r="A4" s="1"/>
      <c r="B4" s="3" t="s">
        <v>2</v>
      </c>
      <c r="C4" s="1"/>
      <c r="D4" s="1"/>
      <c r="E4" s="1"/>
      <c r="F4" s="1"/>
      <c r="G4" s="1"/>
      <c r="H4" s="1"/>
      <c r="I4" s="1"/>
      <c r="J4" s="1"/>
      <c r="K4" s="1"/>
      <c r="L4" s="1"/>
      <c r="M4" s="1"/>
      <c r="N4" s="1"/>
      <c r="O4" s="1"/>
      <c r="P4" s="1"/>
      <c r="Q4" s="1"/>
      <c r="R4" s="1"/>
      <c r="S4" s="1"/>
      <c r="T4" s="1"/>
      <c r="U4" s="1"/>
      <c r="V4" s="1"/>
      <c r="W4" s="1"/>
      <c r="X4" s="1"/>
      <c r="Y4" s="1"/>
      <c r="Z4" s="1"/>
    </row>
    <row r="5" spans="1:26" ht="22.5" customHeight="1">
      <c r="A5" s="1"/>
      <c r="B5" s="3" t="s">
        <v>3</v>
      </c>
      <c r="C5" s="1"/>
      <c r="D5" s="1"/>
      <c r="E5" s="1"/>
      <c r="F5" s="1"/>
      <c r="G5" s="1"/>
      <c r="H5" s="1"/>
      <c r="I5" s="1"/>
      <c r="J5" s="1"/>
      <c r="K5" s="1"/>
      <c r="L5" s="1"/>
      <c r="M5" s="1"/>
      <c r="N5" s="1"/>
      <c r="O5" s="1"/>
      <c r="P5" s="1"/>
      <c r="Q5" s="1"/>
      <c r="R5" s="1"/>
      <c r="S5" s="1"/>
      <c r="T5" s="1"/>
      <c r="U5" s="1"/>
      <c r="V5" s="1"/>
      <c r="W5" s="1"/>
      <c r="X5" s="1"/>
      <c r="Y5" s="1"/>
      <c r="Z5" s="1"/>
    </row>
    <row r="6" spans="1:26" ht="22.5" customHeight="1">
      <c r="A6" s="1"/>
      <c r="B6" s="3" t="s">
        <v>4</v>
      </c>
      <c r="C6" s="1"/>
      <c r="D6" s="1"/>
      <c r="E6" s="1"/>
      <c r="F6" s="1"/>
      <c r="G6" s="1"/>
      <c r="H6" s="1"/>
      <c r="I6" s="1"/>
      <c r="J6" s="1"/>
      <c r="K6" s="1"/>
      <c r="L6" s="1"/>
      <c r="M6" s="1"/>
      <c r="N6" s="1"/>
      <c r="O6" s="1"/>
      <c r="P6" s="1"/>
      <c r="Q6" s="1"/>
      <c r="R6" s="1"/>
      <c r="S6" s="1"/>
      <c r="T6" s="1"/>
      <c r="U6" s="1"/>
      <c r="V6" s="1"/>
      <c r="W6" s="1"/>
      <c r="X6" s="1"/>
      <c r="Y6" s="1"/>
      <c r="Z6" s="1"/>
    </row>
    <row r="7" spans="1:26" ht="22.5" customHeight="1">
      <c r="A7" s="1"/>
      <c r="B7" s="3" t="s">
        <v>5</v>
      </c>
      <c r="C7" s="1"/>
      <c r="D7" s="1"/>
      <c r="E7" s="1"/>
      <c r="F7" s="1"/>
      <c r="G7" s="1"/>
      <c r="H7" s="1"/>
      <c r="I7" s="1"/>
      <c r="J7" s="1"/>
      <c r="K7" s="1"/>
      <c r="L7" s="1"/>
      <c r="M7" s="1"/>
      <c r="N7" s="1"/>
      <c r="O7" s="1"/>
      <c r="P7" s="1"/>
      <c r="Q7" s="1"/>
      <c r="R7" s="1"/>
      <c r="S7" s="1"/>
      <c r="T7" s="1"/>
      <c r="U7" s="1"/>
      <c r="V7" s="1"/>
      <c r="W7" s="1"/>
      <c r="X7" s="1"/>
      <c r="Y7" s="1"/>
      <c r="Z7" s="1"/>
    </row>
    <row r="8" spans="1:26" ht="22.5" customHeight="1">
      <c r="A8" s="1"/>
      <c r="B8" s="3" t="s">
        <v>6</v>
      </c>
      <c r="C8" s="1"/>
      <c r="D8" s="1"/>
      <c r="E8" s="1"/>
      <c r="F8" s="1"/>
      <c r="G8" s="1"/>
      <c r="H8" s="1"/>
      <c r="I8" s="1"/>
      <c r="J8" s="1"/>
      <c r="K8" s="1"/>
      <c r="L8" s="1"/>
      <c r="M8" s="1"/>
      <c r="N8" s="1"/>
      <c r="O8" s="1"/>
      <c r="P8" s="1"/>
      <c r="Q8" s="1"/>
      <c r="R8" s="1"/>
      <c r="S8" s="1"/>
      <c r="T8" s="1"/>
      <c r="U8" s="1"/>
      <c r="V8" s="1"/>
      <c r="W8" s="1"/>
      <c r="X8" s="1"/>
      <c r="Y8" s="1"/>
      <c r="Z8" s="1"/>
    </row>
    <row r="9" spans="1:26" ht="22.5" customHeight="1">
      <c r="A9" s="1"/>
      <c r="B9" s="3" t="s">
        <v>7</v>
      </c>
      <c r="C9" s="1"/>
      <c r="D9" s="1"/>
      <c r="E9" s="1"/>
      <c r="F9" s="1"/>
      <c r="G9" s="1"/>
      <c r="H9" s="1"/>
      <c r="I9" s="1"/>
      <c r="J9" s="1"/>
      <c r="K9" s="1"/>
      <c r="L9" s="1"/>
      <c r="M9" s="1"/>
      <c r="N9" s="1"/>
      <c r="O9" s="1"/>
      <c r="P9" s="1"/>
      <c r="Q9" s="1"/>
      <c r="R9" s="1"/>
      <c r="S9" s="1"/>
      <c r="T9" s="1"/>
      <c r="U9" s="1"/>
      <c r="V9" s="1"/>
      <c r="W9" s="1"/>
      <c r="X9" s="1"/>
      <c r="Y9" s="1"/>
      <c r="Z9" s="1"/>
    </row>
    <row r="10" spans="1:26" ht="22.5" customHeight="1">
      <c r="A10" s="1"/>
      <c r="B10" s="3" t="s">
        <v>8</v>
      </c>
      <c r="C10" s="1"/>
      <c r="D10" s="1"/>
      <c r="E10" s="1"/>
      <c r="F10" s="1"/>
      <c r="G10" s="1"/>
      <c r="H10" s="1"/>
      <c r="I10" s="1"/>
      <c r="J10" s="1"/>
      <c r="K10" s="1"/>
      <c r="L10" s="1"/>
      <c r="M10" s="1"/>
      <c r="N10" s="1"/>
      <c r="O10" s="1"/>
      <c r="P10" s="1"/>
      <c r="Q10" s="1"/>
      <c r="R10" s="1"/>
      <c r="S10" s="1"/>
      <c r="T10" s="1"/>
      <c r="U10" s="1"/>
      <c r="V10" s="1"/>
      <c r="W10" s="1"/>
      <c r="X10" s="1"/>
      <c r="Y10" s="1"/>
      <c r="Z10" s="1"/>
    </row>
    <row r="11" spans="1:26" ht="22.5" customHeight="1">
      <c r="A11" s="1"/>
      <c r="B11" s="3" t="s">
        <v>9</v>
      </c>
      <c r="C11" s="1"/>
      <c r="D11" s="1"/>
      <c r="E11" s="1"/>
      <c r="F11" s="1"/>
      <c r="G11" s="1"/>
      <c r="H11" s="1"/>
      <c r="I11" s="1"/>
      <c r="J11" s="1"/>
      <c r="K11" s="1"/>
      <c r="L11" s="1"/>
      <c r="M11" s="1"/>
      <c r="N11" s="1"/>
      <c r="O11" s="1"/>
      <c r="P11" s="1"/>
      <c r="Q11" s="1"/>
      <c r="R11" s="1"/>
      <c r="S11" s="1"/>
      <c r="T11" s="1"/>
      <c r="U11" s="1"/>
      <c r="V11" s="1"/>
      <c r="W11" s="1"/>
      <c r="X11" s="1"/>
      <c r="Y11" s="1"/>
      <c r="Z11" s="1"/>
    </row>
    <row r="12" spans="1:26" ht="22.5" customHeight="1">
      <c r="A12" s="1"/>
      <c r="B12" s="3" t="s">
        <v>10</v>
      </c>
      <c r="C12" s="1"/>
      <c r="D12" s="1"/>
      <c r="E12" s="1"/>
      <c r="F12" s="1"/>
      <c r="G12" s="1"/>
      <c r="H12" s="1"/>
      <c r="I12" s="1"/>
      <c r="J12" s="1"/>
      <c r="K12" s="1"/>
      <c r="L12" s="1"/>
      <c r="M12" s="1"/>
      <c r="N12" s="1"/>
      <c r="O12" s="1"/>
      <c r="P12" s="1"/>
      <c r="Q12" s="1"/>
      <c r="R12" s="1"/>
      <c r="S12" s="1"/>
      <c r="T12" s="1"/>
      <c r="U12" s="1"/>
      <c r="V12" s="1"/>
      <c r="W12" s="1"/>
      <c r="X12" s="1"/>
      <c r="Y12" s="1"/>
      <c r="Z12" s="1"/>
    </row>
    <row r="13" spans="1:26" ht="22.5" customHeight="1">
      <c r="A13" s="1"/>
      <c r="B13" s="3" t="s">
        <v>11</v>
      </c>
      <c r="C13" s="1"/>
      <c r="D13" s="1"/>
      <c r="E13" s="1"/>
      <c r="F13" s="1"/>
      <c r="G13" s="1"/>
      <c r="H13" s="1"/>
      <c r="I13" s="1"/>
      <c r="J13" s="1"/>
      <c r="K13" s="1"/>
      <c r="L13" s="1"/>
      <c r="M13" s="1"/>
      <c r="N13" s="1"/>
      <c r="O13" s="1"/>
      <c r="P13" s="1"/>
      <c r="Q13" s="1"/>
      <c r="R13" s="1"/>
      <c r="S13" s="1"/>
      <c r="T13" s="1"/>
      <c r="U13" s="1"/>
      <c r="V13" s="1"/>
      <c r="W13" s="1"/>
      <c r="X13" s="1"/>
      <c r="Y13" s="1"/>
      <c r="Z13" s="1"/>
    </row>
    <row r="14" spans="1:26" ht="22.5" customHeight="1">
      <c r="A14" s="1"/>
      <c r="B14" s="3" t="s">
        <v>12</v>
      </c>
      <c r="C14" s="1"/>
      <c r="D14" s="1"/>
      <c r="E14" s="1"/>
      <c r="F14" s="1"/>
      <c r="G14" s="1"/>
      <c r="H14" s="1"/>
      <c r="I14" s="1"/>
      <c r="J14" s="1"/>
      <c r="K14" s="1"/>
      <c r="L14" s="1"/>
      <c r="M14" s="1"/>
      <c r="N14" s="1"/>
      <c r="O14" s="1"/>
      <c r="P14" s="1"/>
      <c r="Q14" s="1"/>
      <c r="R14" s="1"/>
      <c r="S14" s="1"/>
      <c r="T14" s="1"/>
      <c r="U14" s="1"/>
      <c r="V14" s="1"/>
      <c r="W14" s="1"/>
      <c r="X14" s="1"/>
      <c r="Y14" s="1"/>
      <c r="Z14" s="1"/>
    </row>
    <row r="15" spans="1:26" ht="22.5" customHeight="1">
      <c r="A15" s="1"/>
      <c r="B15" s="3" t="s">
        <v>13</v>
      </c>
      <c r="C15" s="1"/>
      <c r="D15" s="1"/>
      <c r="E15" s="1"/>
      <c r="F15" s="1"/>
      <c r="G15" s="1"/>
      <c r="H15" s="1"/>
      <c r="I15" s="1"/>
      <c r="J15" s="1"/>
      <c r="K15" s="1"/>
      <c r="L15" s="1"/>
      <c r="M15" s="1"/>
      <c r="N15" s="1"/>
      <c r="O15" s="1"/>
      <c r="P15" s="1"/>
      <c r="Q15" s="1"/>
      <c r="R15" s="1"/>
      <c r="S15" s="1"/>
      <c r="T15" s="1"/>
      <c r="U15" s="1"/>
      <c r="V15" s="1"/>
      <c r="W15" s="1"/>
      <c r="X15" s="1"/>
      <c r="Y15" s="1"/>
      <c r="Z15" s="1"/>
    </row>
    <row r="16" spans="1:26" ht="22.5" customHeight="1">
      <c r="A16" s="1"/>
      <c r="B16" s="3" t="s">
        <v>14</v>
      </c>
      <c r="C16" s="1"/>
      <c r="D16" s="1"/>
      <c r="E16" s="1"/>
      <c r="F16" s="1"/>
      <c r="G16" s="1"/>
      <c r="H16" s="1"/>
      <c r="I16" s="1"/>
      <c r="J16" s="1"/>
      <c r="K16" s="1"/>
      <c r="L16" s="1"/>
      <c r="M16" s="1"/>
      <c r="N16" s="1"/>
      <c r="O16" s="1"/>
      <c r="P16" s="1"/>
      <c r="Q16" s="1"/>
      <c r="R16" s="1"/>
      <c r="S16" s="1"/>
      <c r="T16" s="1"/>
      <c r="U16" s="1"/>
      <c r="V16" s="1"/>
      <c r="W16" s="1"/>
      <c r="X16" s="1"/>
      <c r="Y16" s="1"/>
      <c r="Z16" s="1"/>
    </row>
    <row r="17" spans="1:26" ht="22.5" customHeight="1">
      <c r="A17" s="1"/>
      <c r="B17" s="3" t="s">
        <v>15</v>
      </c>
      <c r="C17" s="1"/>
      <c r="D17" s="1"/>
      <c r="E17" s="1"/>
      <c r="F17" s="1"/>
      <c r="G17" s="1"/>
      <c r="H17" s="1"/>
      <c r="I17" s="1"/>
      <c r="J17" s="1"/>
      <c r="K17" s="1"/>
      <c r="L17" s="1"/>
      <c r="M17" s="1"/>
      <c r="N17" s="1"/>
      <c r="O17" s="1"/>
      <c r="P17" s="1"/>
      <c r="Q17" s="1"/>
      <c r="R17" s="1"/>
      <c r="S17" s="1"/>
      <c r="T17" s="1"/>
      <c r="U17" s="1"/>
      <c r="V17" s="1"/>
      <c r="W17" s="1"/>
      <c r="X17" s="1"/>
      <c r="Y17" s="1"/>
      <c r="Z17" s="1"/>
    </row>
    <row r="18" spans="1:26" ht="22.5" customHeight="1">
      <c r="A18" s="1"/>
      <c r="B18" s="3" t="s">
        <v>16</v>
      </c>
      <c r="C18" s="1"/>
      <c r="D18" s="1"/>
      <c r="E18" s="1"/>
      <c r="F18" s="1"/>
      <c r="G18" s="1"/>
      <c r="H18" s="1"/>
      <c r="I18" s="1"/>
      <c r="J18" s="1"/>
      <c r="K18" s="1"/>
      <c r="L18" s="1"/>
      <c r="M18" s="1"/>
      <c r="N18" s="1"/>
      <c r="O18" s="1"/>
      <c r="P18" s="1"/>
      <c r="Q18" s="1"/>
      <c r="R18" s="1"/>
      <c r="S18" s="1"/>
      <c r="T18" s="1"/>
      <c r="U18" s="1"/>
      <c r="V18" s="1"/>
      <c r="W18" s="1"/>
      <c r="X18" s="1"/>
      <c r="Y18" s="1"/>
      <c r="Z18" s="1"/>
    </row>
    <row r="19" spans="1:26" ht="22.5" customHeight="1">
      <c r="A19" s="1"/>
      <c r="B19" s="3" t="s">
        <v>17</v>
      </c>
      <c r="C19" s="1"/>
      <c r="D19" s="1"/>
      <c r="E19" s="1"/>
      <c r="F19" s="1"/>
      <c r="G19" s="1"/>
      <c r="H19" s="1"/>
      <c r="I19" s="1"/>
      <c r="J19" s="1"/>
      <c r="K19" s="1"/>
      <c r="L19" s="1"/>
      <c r="M19" s="1"/>
      <c r="N19" s="1"/>
      <c r="O19" s="1"/>
      <c r="P19" s="1"/>
      <c r="Q19" s="1"/>
      <c r="R19" s="1"/>
      <c r="S19" s="1"/>
      <c r="T19" s="1"/>
      <c r="U19" s="1"/>
      <c r="V19" s="1"/>
      <c r="W19" s="1"/>
      <c r="X19" s="1"/>
      <c r="Y19" s="1"/>
      <c r="Z19" s="1"/>
    </row>
    <row r="20" spans="1:26" ht="22.5" customHeight="1">
      <c r="A20" s="1"/>
      <c r="B20" s="3" t="s">
        <v>18</v>
      </c>
      <c r="C20" s="1"/>
      <c r="D20" s="1"/>
      <c r="E20" s="1"/>
      <c r="F20" s="1"/>
      <c r="G20" s="1"/>
      <c r="H20" s="1"/>
      <c r="I20" s="1"/>
      <c r="J20" s="1"/>
      <c r="K20" s="1"/>
      <c r="L20" s="1"/>
      <c r="M20" s="1"/>
      <c r="N20" s="1"/>
      <c r="O20" s="1"/>
      <c r="P20" s="1"/>
      <c r="Q20" s="1"/>
      <c r="R20" s="1"/>
      <c r="S20" s="1"/>
      <c r="T20" s="1"/>
      <c r="U20" s="1"/>
      <c r="V20" s="1"/>
      <c r="W20" s="1"/>
      <c r="X20" s="1"/>
      <c r="Y20" s="1"/>
      <c r="Z20" s="1"/>
    </row>
    <row r="21" spans="1:26" ht="22.5" customHeight="1">
      <c r="A21" s="1"/>
      <c r="B21" s="3" t="s">
        <v>19</v>
      </c>
      <c r="C21" s="1"/>
      <c r="D21" s="1"/>
      <c r="E21" s="1"/>
      <c r="F21" s="1"/>
      <c r="G21" s="1"/>
      <c r="H21" s="1"/>
      <c r="I21" s="1"/>
      <c r="J21" s="1"/>
      <c r="K21" s="1"/>
      <c r="L21" s="1"/>
      <c r="M21" s="1"/>
      <c r="N21" s="1"/>
      <c r="O21" s="1"/>
      <c r="P21" s="1"/>
      <c r="Q21" s="1"/>
      <c r="R21" s="1"/>
      <c r="S21" s="1"/>
      <c r="T21" s="1"/>
      <c r="U21" s="1"/>
      <c r="V21" s="1"/>
      <c r="W21" s="1"/>
      <c r="X21" s="1"/>
      <c r="Y21" s="1"/>
      <c r="Z21" s="1"/>
    </row>
    <row r="22" spans="1:26" ht="12.7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hidden="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hidden="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hidden="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hidden="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hidden="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hidden="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hidden="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hidden="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hidden="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hidden="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hidden="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hidden="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hidden="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hidden="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hidden="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hidden="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hidden="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hidden="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hidden="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hidden="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hidden="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hidden="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hidden="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hidden="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hidden="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hidden="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hidden="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hidden="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hidden="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hidden="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hidden="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hidden="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hidden="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hidden="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hidden="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hidden="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hidden="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hidden="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hidden="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hidden="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hidden="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hidden="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hidden="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hidden="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hidden="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hidden="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hidden="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hidden="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hidden="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hidden="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hidden="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hidden="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hidden="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hidden="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hidden="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hidden="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hidden="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hidden="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hidden="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hidden="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hidden="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hidden="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hidden="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hidden="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hidden="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hidden="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hidden="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hidden="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hidden="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hidden="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hidden="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hidden="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hidden="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hidden="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hidden="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hidden="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hidden="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hidden="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hidden="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hidden="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hidden="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hidden="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hidden="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hidden="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hidden="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hidden="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hidden="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hidden="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hidden="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hidden="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hidden="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hidden="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hidden="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hidden="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hidden="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hidden="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hidden="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hidden="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hidden="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hidden="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hidden="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hidden="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hidden="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hidden="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hidden="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hidden="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hidden="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hidden="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hidden="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hidden="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hidden="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hidden="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hidden="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hidden="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hidden="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hidden="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hidden="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hidden="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hidden="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hidden="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hidden="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hidden="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hidden="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hidden="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hidden="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hidden="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hidden="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hidden="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hidden="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hidden="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hidden="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hidden="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hidden="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hidden="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hidden="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hidden="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hidden="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hidden="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hidden="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hidden="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hidden="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hidden="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hidden="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hidden="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hidden="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hidden="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hidden="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hidden="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hidden="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hidden="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hidden="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hidden="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hidden="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hidden="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hidden="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hidden="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hidden="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hidden="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hidden="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hidden="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hidden="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hidden="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hidden="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hidden="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hidden="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hidden="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hidden="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hidden="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hidden="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hidden="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hidden="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hidden="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hidden="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hidden="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hidden="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hidden="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hidden="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hidden="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hidden="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hidden="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hidden="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hidden="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hidden="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hidden="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hidden="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hidden="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hidden="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hidden="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hidden="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hidden="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hidden="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hidden="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hidden="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hidden="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hidden="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hidden="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hidden="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hidden="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hidden="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hidden="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hidden="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hidden="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hidden="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hidden="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hidden="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hidden="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hidden="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hidden="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hidden="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hidden="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hidden="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hidden="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hidden="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hidden="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hidden="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hidden="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hidden="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hidden="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hidden="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hidden="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hidden="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hidden="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hidden="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hidden="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hidden="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hidden="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hidden="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hidden="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hidden="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hidden="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hidden="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hidden="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hidden="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hidden="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hidden="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hidden="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hidden="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hidden="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hidden="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hidden="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hidden="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hidden="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hidden="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hidden="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hidden="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hidden="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hidden="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hidden="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hidden="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hidden="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hidden="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hidden="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hidden="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hidden="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hidden="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hidden="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hidden="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hidden="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hidden="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hidden="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hidden="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hidden="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hidden="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hidden="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hidden="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hidden="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hidden="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hidden="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hidden="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hidden="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hidden="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hidden="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hidden="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hidden="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hidden="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hidden="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hidden="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hidden="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hidden="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hidden="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hidden="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hidden="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hidden="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hidden="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hidden="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hidden="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hidden="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hidden="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hidden="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hidden="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hidden="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hidden="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hidden="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hidden="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hidden="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hidden="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hidden="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hidden="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hidden="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hidden="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hidden="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hidden="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hidden="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hidden="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hidden="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hidden="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hidden="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hidden="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hidden="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hidden="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hidden="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hidden="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hidden="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hidden="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hidden="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hidden="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hidden="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hidden="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hidden="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hidden="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hidden="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hidden="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hidden="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hidden="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hidden="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hidden="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hidden="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hidden="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hidden="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hidden="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hidden="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hidden="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hidden="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hidden="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hidden="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hidden="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hidden="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hidden="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hidden="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hidden="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hidden="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hidden="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hidden="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hidden="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hidden="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hidden="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hidden="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hidden="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hidden="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hidden="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hidden="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hidden="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hidden="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hidden="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hidden="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hidden="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hidden="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hidden="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hidden="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hidden="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hidden="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hidden="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hidden="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hidden="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hidden="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hidden="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hidden="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hidden="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hidden="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hidden="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hidden="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hidden="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hidden="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hidden="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hidden="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hidden="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hidden="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hidden="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hidden="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hidden="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hidden="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hidden="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hidden="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hidden="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hidden="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hidden="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hidden="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hidden="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hidden="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hidden="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hidden="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hidden="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hidden="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hidden="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hidden="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hidden="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hidden="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hidden="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hidden="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hidden="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hidden="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hidden="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hidden="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hidden="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hidden="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hidden="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hidden="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hidden="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hidden="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hidden="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hidden="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hidden="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hidden="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hidden="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hidden="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hidden="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hidden="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hidden="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hidden="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hidden="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hidden="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hidden="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hidden="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hidden="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hidden="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hidden="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hidden="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hidden="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hidden="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hidden="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hidden="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hidden="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hidden="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hidden="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hidden="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hidden="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hidden="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hidden="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hidden="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hidden="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hidden="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hidden="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hidden="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hidden="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hidden="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hidden="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hidden="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hidden="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hidden="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hidden="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hidden="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hidden="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hidden="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hidden="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hidden="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hidden="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hidden="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hidden="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hidden="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hidden="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hidden="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hidden="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hidden="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hidden="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hidden="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hidden="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hidden="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hidden="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hidden="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hidden="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hidden="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hidden="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hidden="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hidden="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hidden="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hidden="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hidden="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hidden="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hidden="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hidden="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hidden="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hidden="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hidden="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hidden="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hidden="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hidden="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hidden="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hidden="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hidden="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hidden="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hidden="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hidden="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hidden="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hidden="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hidden="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hidden="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hidden="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hidden="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hidden="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hidden="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hidden="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hidden="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hidden="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hidden="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hidden="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hidden="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hidden="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hidden="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hidden="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hidden="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hidden="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hidden="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hidden="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hidden="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hidden="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hidden="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hidden="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hidden="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hidden="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hidden="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hidden="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hidden="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hidden="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hidden="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hidden="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hidden="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hidden="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hidden="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hidden="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hidden="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hidden="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hidden="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hidden="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hidden="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hidden="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hidden="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hidden="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hidden="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hidden="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hidden="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hidden="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hidden="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hidden="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hidden="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hidden="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hidden="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hidden="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hidden="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hidden="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hidden="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hidden="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hidden="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hidden="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hidden="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hidden="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hidden="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hidden="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hidden="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hidden="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hidden="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hidden="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hidden="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hidden="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hidden="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hidden="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hidden="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hidden="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hidden="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hidden="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hidden="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hidden="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hidden="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hidden="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hidden="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hidden="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hidden="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hidden="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hidden="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hidden="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hidden="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hidden="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hidden="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hidden="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hidden="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hidden="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hidden="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hidden="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hidden="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hidden="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hidden="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hidden="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hidden="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hidden="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hidden="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hidden="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hidden="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hidden="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hidden="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hidden="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hidden="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hidden="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hidden="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hidden="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hidden="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hidden="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hidden="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hidden="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hidden="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hidden="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hidden="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hidden="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hidden="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hidden="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hidden="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hidden="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hidden="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hidden="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hidden="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hidden="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hidden="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hidden="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hidden="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hidden="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hidden="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hidden="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hidden="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hidden="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hidden="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hidden="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hidden="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hidden="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hidden="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hidden="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hidden="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hidden="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hidden="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hidden="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hidden="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hidden="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hidden="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hidden="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hidden="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hidden="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hidden="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hidden="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hidden="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hidden="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hidden="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hidden="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hidden="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hidden="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hidden="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hidden="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hidden="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hidden="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hidden="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hidden="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hidden="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hidden="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hidden="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hidden="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hidden="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hidden="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hidden="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hidden="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hidden="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hidden="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hidden="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hidden="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hidden="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hidden="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hidden="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hidden="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hidden="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hidden="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hidden="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hidden="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hidden="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hidden="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hidden="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hidden="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hidden="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hidden="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hidden="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hidden="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hidden="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hidden="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hidden="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hidden="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hidden="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hidden="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hidden="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hidden="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hidden="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hidden="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hidden="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hidden="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hidden="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hidden="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hidden="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hidden="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hidden="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hidden="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hidden="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hidden="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hidden="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hidden="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hidden="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hidden="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hidden="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hidden="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hidden="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hidden="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hidden="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hidden="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hidden="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hidden="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hidden="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hidden="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hidden="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hidden="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hidden="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hidden="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hidden="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hidden="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hidden="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hidden="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hidden="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hidden="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hidden="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hidden="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hidden="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hidden="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hidden="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hidden="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hidden="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hidden="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hidden="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hidden="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hidden="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hidden="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hidden="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hidden="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hidden="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hidden="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hidden="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hidden="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hidden="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hidden="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hidden="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hidden="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hidden="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hidden="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hidden="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hidden="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hidden="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hidden="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hidden="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hidden="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hidden="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hidden="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hidden="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hidden="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hidden="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hidden="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hidden="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hidden="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hidden="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hidden="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hidden="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hidden="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hidden="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hidden="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hidden="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hidden="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hidden="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hidden="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hidden="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hidden="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hidden="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hidden="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hidden="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hidden="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hidden="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hidden="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hidden="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hidden="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hidden="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hidden="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hidden="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hidden="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hidden="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hidden="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hidden="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hidden="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hidden="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hidden="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hidden="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hidden="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hidden="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hidden="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hidden="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hidden="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hidden="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hidden="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hidden="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hidden="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hidden="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hidden="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hidden="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hidden="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hidden="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hidden="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hidden="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hidden="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hidden="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hidden="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hidden="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hidden="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hidden="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hidden="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hidden="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hidden="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hidden="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hidden="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hidden="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hidden="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hidden="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hidden="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hidden="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hidden="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hidden="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hidden="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hidden="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hidden="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hidden="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hidden="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hidden="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hidden="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hidden="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hidden="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hidden="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hidden="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hidden="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hidden="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hidden="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hidden="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hidden="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hidden="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hidden="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hidden="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hidden="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hidden="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hidden="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hidden="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hidden="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hidden="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hidden="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hidden="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hidden="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hidden="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hidden="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hidden="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hidden="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hidden="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hidden="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hidden="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hidden="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hidden="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hidden="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hidden="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hidden="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hidden="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hidden="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hidden="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hidden="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hidden="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hidden="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hidden="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hidden="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hidden="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hidden="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hidden="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hidden="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hidden="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hidden="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hidden="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hidden="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hidden="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hidden="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hidden="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hidden="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hidden="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hidden="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hidden="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hidden="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hidden="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hidden="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hidden="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hidden="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hidden="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hidden="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hidden="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hidden="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hidden="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hidden="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hidden="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hidden="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hidden="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hidden="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hidden="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hidden="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hidden="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hidden="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hidden="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hidden="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hidden="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hidden="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hidden="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hidden="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hidden="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hidden="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hidden="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hidden="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hidden="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hidden="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hidden="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hidden="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hidden="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hidden="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hidden="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hidden="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hidden="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hidden="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hidden="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hidden="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hidden="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hidden="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hidden="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hidden="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hidden="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hidden="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hidden="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hidden="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hidden="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hidden="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hidden="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hidden="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hidden="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hidden="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hidden="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hidden="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hidden="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hidden="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hidden="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hidden="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hidden="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hidden="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hidden="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hidden="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hidden="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hidden="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hidden="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hidden="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hidden="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hidden="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hidden="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hidden="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hidden="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hidden="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hidden="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hidden="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hidden="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hidden="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hidden="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hidden="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2.75" hidden="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2.75" hidden="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2.75" hidden="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2.75" hidden="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2.75" hidden="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2.75" hidden="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2.75" hidden="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sheetData>
  <hyperlinks>
    <hyperlink ref="B3" location="'Aprof. Biologia'!A1" display="APROFUNDAMENTO EM BIOLOGIA"/>
    <hyperlink ref="B4" location="'Aprof. Filosofia'!A1" display="APROFUNDAMENTO EM FILOSOFIA"/>
    <hyperlink ref="B5" location="'Aprof. Geografia'!A1" display="APROFUNDAMENTO EM GEOGRAFIA"/>
    <hyperlink ref="B6" location="'Aprof. Química'!A1" display="APROFUNDAMENTO EM QUÍMICA"/>
    <hyperlink ref="B7" location="'Aprof. Sociologia'!A1" display="APROFUNDAMENTO EM SOCIOLOGIA"/>
    <hyperlink ref="B8" location="'Arte e Mídias Digitais'!A1" display="ARTE E MÍDIAS DIGITAIS"/>
    <hyperlink ref="B9" location="Atualidades!A1" display="ATUALIDADES"/>
    <hyperlink ref="B10" location="'Biologia (Noturno)'!A1" display="BIOLOGIA NOTURNO"/>
    <hyperlink ref="B11" location="'Educação Financeira'!A1" display="EDUCAÇÃO FINANCEIRA"/>
    <hyperlink ref="B12" location="Empreendedorismo!A1" display="EMPREENDEDORISMO"/>
    <hyperlink ref="B13" location="'Geografia (Noturno)'!A1" display="GEOGRAFIA NOTURNO"/>
    <hyperlink ref="B14" location="'Liderança e Oratória'!A1" display="LIDERANÇA E ORATÓRIA"/>
    <hyperlink ref="B15" location="'Língua Inglesa'!A1" display="LÍNGUA INGLESA"/>
    <hyperlink ref="B16" location="'Práticas Experimentais'!A1" display="PRÁTICAS EXPERIMENTAIS"/>
    <hyperlink ref="B17" location="'Programação '!A1" display="PROGRAMAÇÃO"/>
    <hyperlink ref="B18" location="'Projeto de Vida'!A1" display="PROJETO DE VIDA"/>
    <hyperlink ref="B19" location="'Química (Noturno)'!A1" display="QUÍMICA NOTURNO"/>
    <hyperlink ref="B20" location="'Redação e Leitura'!A1" display="REDAÇÃO E LEITURA"/>
    <hyperlink ref="B21" location="'Robótica - PEI 9h'!A1" display="ROBÓTICA - PEI 9H"/>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sheetPr>
    <tabColor rgb="FFFFBFFC"/>
  </sheetPr>
  <dimension ref="A1:W53"/>
  <sheetViews>
    <sheetView workbookViewId="0">
      <pane ySplit="1" topLeftCell="A2" activePane="bottomLeft" state="frozen"/>
      <selection pane="bottomLeft" activeCell="B3" sqref="B3"/>
    </sheetView>
  </sheetViews>
  <sheetFormatPr defaultColWidth="12.5703125" defaultRowHeight="15" customHeight="1"/>
  <cols>
    <col min="1" max="1" width="17.85546875" customWidth="1"/>
    <col min="2" max="2" width="11.140625" customWidth="1"/>
    <col min="3" max="3" width="8.42578125" customWidth="1"/>
    <col min="4" max="4" width="13.85546875" customWidth="1"/>
    <col min="5" max="5" width="9.140625" customWidth="1"/>
    <col min="6" max="7" width="15.42578125" customWidth="1"/>
    <col min="8" max="8" width="58.42578125" customWidth="1"/>
    <col min="9" max="9" width="17.7109375" customWidth="1"/>
    <col min="10" max="10" width="21.42578125" customWidth="1"/>
    <col min="11" max="11" width="30.42578125" customWidth="1"/>
    <col min="12" max="13" width="33.28515625" customWidth="1"/>
    <col min="14" max="23" width="8.85546875" hidden="1" customWidth="1"/>
  </cols>
  <sheetData>
    <row r="1" spans="1:23" ht="27" customHeight="1">
      <c r="A1" s="5" t="s">
        <v>20</v>
      </c>
      <c r="B1" s="6" t="s">
        <v>21</v>
      </c>
      <c r="C1" s="5" t="s">
        <v>22</v>
      </c>
      <c r="D1" s="6" t="s">
        <v>23</v>
      </c>
      <c r="E1" s="6" t="s">
        <v>24</v>
      </c>
      <c r="F1" s="6" t="s">
        <v>25</v>
      </c>
      <c r="G1" s="6" t="s">
        <v>26</v>
      </c>
      <c r="H1" s="6" t="s">
        <v>27</v>
      </c>
      <c r="I1" s="6" t="s">
        <v>28</v>
      </c>
      <c r="J1" s="6" t="s">
        <v>29</v>
      </c>
      <c r="K1" s="6" t="s">
        <v>30</v>
      </c>
      <c r="L1" s="6" t="s">
        <v>31</v>
      </c>
      <c r="M1" s="7" t="s">
        <v>32</v>
      </c>
      <c r="N1" s="8"/>
      <c r="O1" s="8"/>
      <c r="P1" s="8"/>
      <c r="Q1" s="8"/>
      <c r="R1" s="8"/>
      <c r="S1" s="8"/>
      <c r="T1" s="8"/>
      <c r="U1" s="8"/>
      <c r="V1" s="8"/>
      <c r="W1" s="8"/>
    </row>
    <row r="2" spans="1:23" ht="12.75" customHeight="1">
      <c r="A2" s="9"/>
      <c r="B2" s="9" t="s">
        <v>33</v>
      </c>
      <c r="C2" s="9" t="s">
        <v>34</v>
      </c>
      <c r="D2" s="9" t="s">
        <v>35</v>
      </c>
      <c r="E2" s="9">
        <v>1</v>
      </c>
      <c r="F2" s="9" t="s">
        <v>36</v>
      </c>
      <c r="G2" s="9" t="s">
        <v>37</v>
      </c>
      <c r="H2" s="9" t="s">
        <v>38</v>
      </c>
      <c r="I2" s="9" t="s">
        <v>39</v>
      </c>
      <c r="J2" s="9" t="s">
        <v>40</v>
      </c>
      <c r="K2" s="9" t="s">
        <v>41</v>
      </c>
      <c r="L2" s="9" t="s">
        <v>42</v>
      </c>
      <c r="M2" s="10" t="s">
        <v>43</v>
      </c>
      <c r="N2" s="9"/>
      <c r="O2" s="9"/>
      <c r="P2" s="9"/>
      <c r="Q2" s="9"/>
      <c r="R2" s="9"/>
      <c r="S2" s="9"/>
      <c r="T2" s="9"/>
      <c r="U2" s="9"/>
      <c r="V2" s="9"/>
      <c r="W2" s="9"/>
    </row>
    <row r="3" spans="1:23" ht="12.75" customHeight="1">
      <c r="A3" s="9"/>
      <c r="B3" s="9" t="s">
        <v>33</v>
      </c>
      <c r="C3" s="9" t="s">
        <v>34</v>
      </c>
      <c r="D3" s="9" t="s">
        <v>35</v>
      </c>
      <c r="E3" s="9">
        <v>2</v>
      </c>
      <c r="F3" s="9" t="s">
        <v>36</v>
      </c>
      <c r="G3" s="9" t="s">
        <v>37</v>
      </c>
      <c r="H3" s="9" t="s">
        <v>44</v>
      </c>
      <c r="I3" s="9" t="s">
        <v>39</v>
      </c>
      <c r="J3" s="9" t="s">
        <v>45</v>
      </c>
      <c r="K3" s="9" t="s">
        <v>46</v>
      </c>
      <c r="L3" s="9" t="s">
        <v>47</v>
      </c>
      <c r="M3" s="10" t="s">
        <v>43</v>
      </c>
      <c r="N3" s="9"/>
      <c r="O3" s="9"/>
      <c r="P3" s="9"/>
      <c r="Q3" s="9"/>
      <c r="R3" s="9"/>
      <c r="S3" s="9"/>
      <c r="T3" s="9"/>
      <c r="U3" s="9"/>
      <c r="V3" s="9"/>
      <c r="W3" s="9"/>
    </row>
    <row r="4" spans="1:23" ht="12.75" customHeight="1">
      <c r="A4" s="9"/>
      <c r="B4" s="9" t="s">
        <v>33</v>
      </c>
      <c r="C4" s="9" t="s">
        <v>34</v>
      </c>
      <c r="D4" s="9" t="s">
        <v>35</v>
      </c>
      <c r="E4" s="9">
        <v>3</v>
      </c>
      <c r="F4" s="9" t="s">
        <v>36</v>
      </c>
      <c r="G4" s="9" t="s">
        <v>37</v>
      </c>
      <c r="H4" s="9" t="s">
        <v>44</v>
      </c>
      <c r="I4" s="9" t="s">
        <v>39</v>
      </c>
      <c r="J4" s="9" t="s">
        <v>48</v>
      </c>
      <c r="K4" s="9" t="s">
        <v>49</v>
      </c>
      <c r="L4" s="9" t="s">
        <v>50</v>
      </c>
      <c r="M4" s="10" t="s">
        <v>43</v>
      </c>
      <c r="N4" s="9"/>
      <c r="O4" s="9"/>
      <c r="P4" s="9"/>
      <c r="Q4" s="9"/>
      <c r="R4" s="9"/>
      <c r="S4" s="9"/>
      <c r="T4" s="9"/>
      <c r="U4" s="9"/>
      <c r="V4" s="9"/>
      <c r="W4" s="9"/>
    </row>
    <row r="5" spans="1:23" ht="12.75" customHeight="1">
      <c r="A5" s="9"/>
      <c r="B5" s="9" t="s">
        <v>33</v>
      </c>
      <c r="C5" s="9" t="s">
        <v>34</v>
      </c>
      <c r="D5" s="9" t="s">
        <v>35</v>
      </c>
      <c r="E5" s="9">
        <v>4</v>
      </c>
      <c r="F5" s="9" t="s">
        <v>36</v>
      </c>
      <c r="G5" s="9" t="s">
        <v>37</v>
      </c>
      <c r="H5" s="9" t="s">
        <v>44</v>
      </c>
      <c r="I5" s="9" t="s">
        <v>39</v>
      </c>
      <c r="J5" s="9" t="s">
        <v>51</v>
      </c>
      <c r="K5" s="9" t="s">
        <v>52</v>
      </c>
      <c r="L5" s="9" t="s">
        <v>53</v>
      </c>
      <c r="M5" s="10" t="s">
        <v>43</v>
      </c>
      <c r="N5" s="9"/>
      <c r="O5" s="9"/>
      <c r="P5" s="9"/>
      <c r="Q5" s="9"/>
      <c r="R5" s="9"/>
      <c r="S5" s="9"/>
      <c r="T5" s="9"/>
      <c r="U5" s="9"/>
      <c r="V5" s="9"/>
      <c r="W5" s="9"/>
    </row>
    <row r="6" spans="1:23" ht="12.75" customHeight="1">
      <c r="A6" s="9"/>
      <c r="B6" s="9" t="s">
        <v>33</v>
      </c>
      <c r="C6" s="9" t="s">
        <v>34</v>
      </c>
      <c r="D6" s="9" t="s">
        <v>35</v>
      </c>
      <c r="E6" s="9">
        <v>5</v>
      </c>
      <c r="F6" s="9" t="s">
        <v>36</v>
      </c>
      <c r="G6" s="9" t="s">
        <v>37</v>
      </c>
      <c r="H6" s="9" t="s">
        <v>44</v>
      </c>
      <c r="I6" s="9" t="s">
        <v>54</v>
      </c>
      <c r="J6" s="9" t="s">
        <v>55</v>
      </c>
      <c r="K6" s="9" t="s">
        <v>56</v>
      </c>
      <c r="L6" s="9" t="s">
        <v>57</v>
      </c>
      <c r="M6" s="10" t="s">
        <v>58</v>
      </c>
      <c r="N6" s="9"/>
      <c r="O6" s="9"/>
      <c r="P6" s="9"/>
      <c r="Q6" s="9"/>
      <c r="R6" s="9"/>
      <c r="S6" s="9"/>
      <c r="T6" s="9"/>
      <c r="U6" s="9"/>
      <c r="V6" s="9"/>
      <c r="W6" s="9"/>
    </row>
    <row r="7" spans="1:23" ht="12.75" customHeight="1">
      <c r="A7" s="9"/>
      <c r="B7" s="9" t="s">
        <v>33</v>
      </c>
      <c r="C7" s="9" t="s">
        <v>34</v>
      </c>
      <c r="D7" s="9" t="s">
        <v>35</v>
      </c>
      <c r="E7" s="9">
        <v>6</v>
      </c>
      <c r="F7" s="9" t="s">
        <v>36</v>
      </c>
      <c r="G7" s="9" t="s">
        <v>37</v>
      </c>
      <c r="H7" s="9" t="s">
        <v>44</v>
      </c>
      <c r="I7" s="9" t="s">
        <v>54</v>
      </c>
      <c r="J7" s="9" t="s">
        <v>59</v>
      </c>
      <c r="K7" s="9" t="s">
        <v>60</v>
      </c>
      <c r="L7" s="9" t="s">
        <v>61</v>
      </c>
      <c r="M7" s="10" t="s">
        <v>58</v>
      </c>
      <c r="N7" s="9"/>
      <c r="O7" s="9"/>
      <c r="P7" s="9"/>
      <c r="Q7" s="9"/>
      <c r="R7" s="9"/>
      <c r="S7" s="9"/>
      <c r="T7" s="9"/>
      <c r="U7" s="9"/>
      <c r="V7" s="9"/>
      <c r="W7" s="9"/>
    </row>
    <row r="8" spans="1:23" ht="12.75" customHeight="1">
      <c r="A8" s="9"/>
      <c r="B8" s="9" t="s">
        <v>33</v>
      </c>
      <c r="C8" s="9" t="s">
        <v>34</v>
      </c>
      <c r="D8" s="9" t="s">
        <v>35</v>
      </c>
      <c r="E8" s="9">
        <v>7</v>
      </c>
      <c r="F8" s="9" t="s">
        <v>36</v>
      </c>
      <c r="G8" s="9" t="s">
        <v>37</v>
      </c>
      <c r="H8" s="9" t="s">
        <v>62</v>
      </c>
      <c r="I8" s="9" t="s">
        <v>54</v>
      </c>
      <c r="J8" s="9" t="s">
        <v>63</v>
      </c>
      <c r="K8" s="9" t="s">
        <v>64</v>
      </c>
      <c r="L8" s="9" t="s">
        <v>65</v>
      </c>
      <c r="M8" s="10" t="s">
        <v>66</v>
      </c>
      <c r="N8" s="9"/>
      <c r="O8" s="9"/>
      <c r="P8" s="9"/>
      <c r="Q8" s="9"/>
      <c r="R8" s="9"/>
      <c r="S8" s="9"/>
      <c r="T8" s="9"/>
      <c r="U8" s="9"/>
      <c r="V8" s="9"/>
      <c r="W8" s="9"/>
    </row>
    <row r="9" spans="1:23" ht="12.75" customHeight="1">
      <c r="A9" s="9"/>
      <c r="B9" s="9" t="s">
        <v>33</v>
      </c>
      <c r="C9" s="9" t="s">
        <v>34</v>
      </c>
      <c r="D9" s="9" t="s">
        <v>35</v>
      </c>
      <c r="E9" s="9">
        <v>8</v>
      </c>
      <c r="F9" s="9" t="s">
        <v>36</v>
      </c>
      <c r="G9" s="9" t="s">
        <v>37</v>
      </c>
      <c r="H9" s="9" t="s">
        <v>44</v>
      </c>
      <c r="I9" s="9" t="s">
        <v>54</v>
      </c>
      <c r="J9" s="9" t="s">
        <v>67</v>
      </c>
      <c r="K9" s="9" t="s">
        <v>68</v>
      </c>
      <c r="L9" s="9" t="s">
        <v>69</v>
      </c>
      <c r="M9" s="10" t="s">
        <v>66</v>
      </c>
      <c r="N9" s="9"/>
      <c r="O9" s="9"/>
      <c r="P9" s="9"/>
      <c r="Q9" s="9"/>
      <c r="R9" s="9"/>
      <c r="S9" s="9"/>
      <c r="T9" s="9"/>
      <c r="U9" s="9"/>
      <c r="V9" s="9"/>
      <c r="W9" s="9"/>
    </row>
    <row r="10" spans="1:23" ht="12.75" customHeight="1">
      <c r="A10" s="9"/>
      <c r="B10" s="9" t="s">
        <v>33</v>
      </c>
      <c r="C10" s="9" t="s">
        <v>34</v>
      </c>
      <c r="D10" s="9" t="s">
        <v>35</v>
      </c>
      <c r="E10" s="9">
        <v>9</v>
      </c>
      <c r="F10" s="9" t="s">
        <v>36</v>
      </c>
      <c r="G10" s="9" t="s">
        <v>37</v>
      </c>
      <c r="H10" s="9" t="s">
        <v>44</v>
      </c>
      <c r="I10" s="9" t="s">
        <v>70</v>
      </c>
      <c r="J10" s="9" t="s">
        <v>71</v>
      </c>
      <c r="K10" s="9" t="s">
        <v>72</v>
      </c>
      <c r="L10" s="9" t="s">
        <v>73</v>
      </c>
      <c r="M10" s="10" t="s">
        <v>74</v>
      </c>
      <c r="N10" s="9"/>
      <c r="O10" s="9"/>
      <c r="P10" s="9"/>
      <c r="Q10" s="9"/>
      <c r="R10" s="9"/>
      <c r="S10" s="9"/>
      <c r="T10" s="9"/>
      <c r="U10" s="9"/>
      <c r="V10" s="9"/>
      <c r="W10" s="9"/>
    </row>
    <row r="11" spans="1:23" ht="12.75" customHeight="1">
      <c r="A11" s="9"/>
      <c r="B11" s="9" t="s">
        <v>33</v>
      </c>
      <c r="C11" s="9" t="s">
        <v>34</v>
      </c>
      <c r="D11" s="9" t="s">
        <v>35</v>
      </c>
      <c r="E11" s="9">
        <v>10</v>
      </c>
      <c r="F11" s="9"/>
      <c r="G11" s="9" t="s">
        <v>37</v>
      </c>
      <c r="H11" s="9" t="s">
        <v>44</v>
      </c>
      <c r="I11" s="9" t="s">
        <v>54</v>
      </c>
      <c r="J11" s="9" t="s">
        <v>75</v>
      </c>
      <c r="K11" s="9" t="s">
        <v>76</v>
      </c>
      <c r="L11" s="9" t="s">
        <v>77</v>
      </c>
      <c r="M11" s="10" t="s">
        <v>74</v>
      </c>
      <c r="N11" s="9"/>
      <c r="O11" s="9"/>
      <c r="P11" s="9"/>
      <c r="Q11" s="9"/>
      <c r="R11" s="9"/>
      <c r="S11" s="9"/>
      <c r="T11" s="9"/>
      <c r="U11" s="9"/>
      <c r="V11" s="9"/>
      <c r="W11" s="9"/>
    </row>
    <row r="12" spans="1:23" ht="12.75" customHeight="1">
      <c r="A12" s="9"/>
      <c r="B12" s="9" t="s">
        <v>33</v>
      </c>
      <c r="C12" s="9" t="s">
        <v>34</v>
      </c>
      <c r="D12" s="9" t="s">
        <v>35</v>
      </c>
      <c r="E12" s="9">
        <v>11</v>
      </c>
      <c r="F12" s="9"/>
      <c r="G12" s="9" t="s">
        <v>37</v>
      </c>
      <c r="H12" s="9" t="s">
        <v>44</v>
      </c>
      <c r="I12" s="9" t="s">
        <v>54</v>
      </c>
      <c r="J12" s="9" t="s">
        <v>78</v>
      </c>
      <c r="K12" s="9" t="s">
        <v>79</v>
      </c>
      <c r="L12" s="9" t="s">
        <v>80</v>
      </c>
      <c r="M12" s="10" t="s">
        <v>81</v>
      </c>
      <c r="N12" s="9"/>
      <c r="O12" s="9"/>
      <c r="P12" s="9"/>
      <c r="Q12" s="9"/>
      <c r="R12" s="9"/>
      <c r="S12" s="9"/>
      <c r="T12" s="9"/>
      <c r="U12" s="9"/>
      <c r="V12" s="9"/>
      <c r="W12" s="9"/>
    </row>
    <row r="13" spans="1:23" ht="12.75" customHeight="1">
      <c r="A13" s="9"/>
      <c r="B13" s="9" t="s">
        <v>33</v>
      </c>
      <c r="C13" s="9" t="s">
        <v>34</v>
      </c>
      <c r="D13" s="9" t="s">
        <v>35</v>
      </c>
      <c r="E13" s="9">
        <v>12</v>
      </c>
      <c r="F13" s="9"/>
      <c r="G13" s="9" t="s">
        <v>37</v>
      </c>
      <c r="H13" s="9" t="s">
        <v>44</v>
      </c>
      <c r="I13" s="9" t="s">
        <v>54</v>
      </c>
      <c r="J13" s="9" t="s">
        <v>82</v>
      </c>
      <c r="K13" s="9" t="s">
        <v>83</v>
      </c>
      <c r="L13" s="9" t="s">
        <v>84</v>
      </c>
      <c r="M13" s="10" t="s">
        <v>81</v>
      </c>
      <c r="N13" s="9"/>
      <c r="O13" s="9"/>
      <c r="P13" s="9"/>
      <c r="Q13" s="9"/>
      <c r="R13" s="9"/>
      <c r="S13" s="9"/>
      <c r="T13" s="9"/>
      <c r="U13" s="9"/>
      <c r="V13" s="9"/>
      <c r="W13" s="9"/>
    </row>
    <row r="14" spans="1:23" ht="12.75" customHeight="1">
      <c r="A14" s="9"/>
      <c r="B14" s="9" t="s">
        <v>33</v>
      </c>
      <c r="C14" s="9" t="s">
        <v>34</v>
      </c>
      <c r="D14" s="9" t="s">
        <v>35</v>
      </c>
      <c r="E14" s="9">
        <v>13</v>
      </c>
      <c r="F14" s="9"/>
      <c r="G14" s="9" t="s">
        <v>37</v>
      </c>
      <c r="H14" s="9" t="s">
        <v>44</v>
      </c>
      <c r="I14" s="9" t="s">
        <v>54</v>
      </c>
      <c r="J14" s="9" t="s">
        <v>85</v>
      </c>
      <c r="K14" s="9" t="s">
        <v>83</v>
      </c>
      <c r="L14" s="9" t="s">
        <v>86</v>
      </c>
      <c r="M14" s="10" t="s">
        <v>81</v>
      </c>
      <c r="N14" s="9"/>
      <c r="O14" s="9"/>
      <c r="P14" s="9"/>
      <c r="Q14" s="9"/>
      <c r="R14" s="9"/>
      <c r="S14" s="9"/>
      <c r="T14" s="9"/>
      <c r="U14" s="9"/>
      <c r="V14" s="9"/>
      <c r="W14" s="9"/>
    </row>
    <row r="15" spans="1:23" ht="12.75" customHeight="1">
      <c r="A15" s="9"/>
      <c r="B15" s="9" t="s">
        <v>33</v>
      </c>
      <c r="C15" s="9" t="s">
        <v>34</v>
      </c>
      <c r="D15" s="9" t="s">
        <v>35</v>
      </c>
      <c r="E15" s="9">
        <v>14</v>
      </c>
      <c r="F15" s="9"/>
      <c r="G15" s="9" t="s">
        <v>37</v>
      </c>
      <c r="H15" s="9" t="s">
        <v>87</v>
      </c>
      <c r="I15" s="9" t="s">
        <v>54</v>
      </c>
      <c r="J15" s="9" t="s">
        <v>88</v>
      </c>
      <c r="K15" s="9" t="s">
        <v>83</v>
      </c>
      <c r="L15" s="9" t="s">
        <v>89</v>
      </c>
      <c r="M15" s="10" t="s">
        <v>81</v>
      </c>
      <c r="N15" s="9"/>
      <c r="O15" s="9"/>
      <c r="P15" s="9"/>
      <c r="Q15" s="9"/>
      <c r="R15" s="9"/>
      <c r="S15" s="9"/>
      <c r="T15" s="9"/>
      <c r="U15" s="9"/>
      <c r="V15" s="9"/>
      <c r="W15" s="9"/>
    </row>
    <row r="16" spans="1:23" ht="12.75" customHeight="1">
      <c r="A16" s="9"/>
      <c r="B16" s="9" t="s">
        <v>33</v>
      </c>
      <c r="C16" s="9" t="s">
        <v>34</v>
      </c>
      <c r="D16" s="9" t="s">
        <v>90</v>
      </c>
      <c r="E16" s="9">
        <v>1</v>
      </c>
      <c r="F16" s="9" t="s">
        <v>36</v>
      </c>
      <c r="G16" s="9" t="s">
        <v>37</v>
      </c>
      <c r="H16" s="9" t="s">
        <v>91</v>
      </c>
      <c r="I16" s="9" t="s">
        <v>92</v>
      </c>
      <c r="J16" s="9" t="s">
        <v>93</v>
      </c>
      <c r="K16" s="9" t="s">
        <v>94</v>
      </c>
      <c r="L16" s="9" t="s">
        <v>95</v>
      </c>
      <c r="M16" s="10" t="s">
        <v>96</v>
      </c>
      <c r="N16" s="9"/>
      <c r="O16" s="9"/>
      <c r="P16" s="9"/>
      <c r="Q16" s="9"/>
      <c r="R16" s="9"/>
      <c r="S16" s="9"/>
      <c r="T16" s="9"/>
      <c r="U16" s="9"/>
      <c r="V16" s="9"/>
      <c r="W16" s="9"/>
    </row>
    <row r="17" spans="1:23" ht="12.75" customHeight="1">
      <c r="A17" s="9"/>
      <c r="B17" s="9" t="s">
        <v>33</v>
      </c>
      <c r="C17" s="9" t="s">
        <v>34</v>
      </c>
      <c r="D17" s="9" t="s">
        <v>90</v>
      </c>
      <c r="E17" s="9">
        <v>2</v>
      </c>
      <c r="F17" s="9" t="s">
        <v>36</v>
      </c>
      <c r="G17" s="9" t="s">
        <v>37</v>
      </c>
      <c r="H17" s="9" t="s">
        <v>97</v>
      </c>
      <c r="I17" s="9" t="s">
        <v>92</v>
      </c>
      <c r="J17" s="9" t="s">
        <v>98</v>
      </c>
      <c r="K17" s="9" t="s">
        <v>99</v>
      </c>
      <c r="L17" s="9" t="s">
        <v>100</v>
      </c>
      <c r="M17" s="10" t="s">
        <v>96</v>
      </c>
      <c r="N17" s="9"/>
      <c r="O17" s="9"/>
      <c r="P17" s="9"/>
      <c r="Q17" s="9"/>
      <c r="R17" s="9"/>
      <c r="S17" s="9"/>
      <c r="T17" s="9"/>
      <c r="U17" s="9"/>
      <c r="V17" s="9"/>
      <c r="W17" s="9"/>
    </row>
    <row r="18" spans="1:23" ht="12.75" customHeight="1">
      <c r="A18" s="9"/>
      <c r="B18" s="9" t="s">
        <v>33</v>
      </c>
      <c r="C18" s="9" t="s">
        <v>34</v>
      </c>
      <c r="D18" s="9" t="s">
        <v>90</v>
      </c>
      <c r="E18" s="9">
        <v>3</v>
      </c>
      <c r="F18" s="9" t="s">
        <v>36</v>
      </c>
      <c r="G18" s="9" t="s">
        <v>37</v>
      </c>
      <c r="H18" s="9" t="s">
        <v>44</v>
      </c>
      <c r="I18" s="9" t="s">
        <v>92</v>
      </c>
      <c r="J18" s="9" t="s">
        <v>101</v>
      </c>
      <c r="K18" s="9" t="s">
        <v>102</v>
      </c>
      <c r="L18" s="9" t="s">
        <v>103</v>
      </c>
      <c r="M18" s="10" t="s">
        <v>104</v>
      </c>
      <c r="N18" s="9"/>
      <c r="O18" s="9"/>
      <c r="P18" s="9"/>
      <c r="Q18" s="9"/>
      <c r="R18" s="9"/>
      <c r="S18" s="9"/>
      <c r="T18" s="9"/>
      <c r="U18" s="9"/>
      <c r="V18" s="9"/>
      <c r="W18" s="9"/>
    </row>
    <row r="19" spans="1:23" ht="12.75" customHeight="1">
      <c r="A19" s="9"/>
      <c r="B19" s="9" t="s">
        <v>33</v>
      </c>
      <c r="C19" s="9" t="s">
        <v>34</v>
      </c>
      <c r="D19" s="9" t="s">
        <v>90</v>
      </c>
      <c r="E19" s="9">
        <v>4</v>
      </c>
      <c r="F19" s="9" t="s">
        <v>36</v>
      </c>
      <c r="G19" s="9" t="s">
        <v>37</v>
      </c>
      <c r="H19" s="9" t="s">
        <v>44</v>
      </c>
      <c r="I19" s="9" t="s">
        <v>92</v>
      </c>
      <c r="J19" s="9" t="s">
        <v>105</v>
      </c>
      <c r="K19" s="9" t="s">
        <v>106</v>
      </c>
      <c r="L19" s="9" t="s">
        <v>107</v>
      </c>
      <c r="M19" s="10" t="s">
        <v>104</v>
      </c>
      <c r="N19" s="9"/>
      <c r="O19" s="9"/>
      <c r="P19" s="9"/>
      <c r="Q19" s="9"/>
      <c r="R19" s="9"/>
      <c r="S19" s="9"/>
      <c r="T19" s="9"/>
      <c r="U19" s="9"/>
      <c r="V19" s="9"/>
      <c r="W19" s="9"/>
    </row>
    <row r="20" spans="1:23" ht="12.75" customHeight="1">
      <c r="A20" s="9"/>
      <c r="B20" s="9" t="s">
        <v>33</v>
      </c>
      <c r="C20" s="9" t="s">
        <v>34</v>
      </c>
      <c r="D20" s="9" t="s">
        <v>90</v>
      </c>
      <c r="E20" s="9">
        <v>5</v>
      </c>
      <c r="F20" s="9" t="s">
        <v>36</v>
      </c>
      <c r="G20" s="9" t="s">
        <v>37</v>
      </c>
      <c r="H20" s="9" t="s">
        <v>44</v>
      </c>
      <c r="I20" s="9" t="s">
        <v>92</v>
      </c>
      <c r="J20" s="9" t="s">
        <v>108</v>
      </c>
      <c r="K20" s="9" t="s">
        <v>109</v>
      </c>
      <c r="L20" s="9" t="s">
        <v>110</v>
      </c>
      <c r="M20" s="10" t="s">
        <v>104</v>
      </c>
      <c r="N20" s="9"/>
      <c r="O20" s="9"/>
      <c r="P20" s="9"/>
      <c r="Q20" s="9"/>
      <c r="R20" s="9"/>
      <c r="S20" s="9"/>
      <c r="T20" s="9"/>
      <c r="U20" s="9"/>
      <c r="V20" s="9"/>
      <c r="W20" s="9"/>
    </row>
    <row r="21" spans="1:23" ht="12.75" customHeight="1">
      <c r="A21" s="9"/>
      <c r="B21" s="9" t="s">
        <v>33</v>
      </c>
      <c r="C21" s="9" t="s">
        <v>34</v>
      </c>
      <c r="D21" s="9" t="s">
        <v>90</v>
      </c>
      <c r="E21" s="9">
        <v>6</v>
      </c>
      <c r="F21" s="9" t="s">
        <v>36</v>
      </c>
      <c r="G21" s="9" t="s">
        <v>37</v>
      </c>
      <c r="H21" s="9" t="s">
        <v>44</v>
      </c>
      <c r="I21" s="9" t="s">
        <v>92</v>
      </c>
      <c r="J21" s="9" t="s">
        <v>111</v>
      </c>
      <c r="K21" s="9" t="s">
        <v>112</v>
      </c>
      <c r="L21" s="9" t="s">
        <v>113</v>
      </c>
      <c r="M21" s="10" t="s">
        <v>104</v>
      </c>
      <c r="N21" s="9"/>
      <c r="O21" s="9"/>
      <c r="P21" s="9"/>
      <c r="Q21" s="9"/>
      <c r="R21" s="9"/>
      <c r="S21" s="9"/>
      <c r="T21" s="9"/>
      <c r="U21" s="9"/>
      <c r="V21" s="9"/>
      <c r="W21" s="9"/>
    </row>
    <row r="22" spans="1:23" ht="12.75" customHeight="1">
      <c r="A22" s="9"/>
      <c r="B22" s="9" t="s">
        <v>33</v>
      </c>
      <c r="C22" s="9" t="s">
        <v>34</v>
      </c>
      <c r="D22" s="9" t="s">
        <v>90</v>
      </c>
      <c r="E22" s="9">
        <v>7</v>
      </c>
      <c r="F22" s="9" t="s">
        <v>36</v>
      </c>
      <c r="G22" s="9" t="s">
        <v>37</v>
      </c>
      <c r="H22" s="9" t="s">
        <v>114</v>
      </c>
      <c r="I22" s="9" t="s">
        <v>92</v>
      </c>
      <c r="J22" s="9" t="s">
        <v>115</v>
      </c>
      <c r="K22" s="9" t="s">
        <v>116</v>
      </c>
      <c r="L22" s="9" t="s">
        <v>117</v>
      </c>
      <c r="M22" s="10" t="s">
        <v>118</v>
      </c>
      <c r="N22" s="9"/>
      <c r="O22" s="9"/>
      <c r="P22" s="9"/>
      <c r="Q22" s="9"/>
      <c r="R22" s="9"/>
      <c r="S22" s="9"/>
      <c r="T22" s="9"/>
      <c r="U22" s="9"/>
      <c r="V22" s="9"/>
      <c r="W22" s="9"/>
    </row>
    <row r="23" spans="1:23" ht="12.75" customHeight="1">
      <c r="A23" s="9"/>
      <c r="B23" s="9" t="s">
        <v>33</v>
      </c>
      <c r="C23" s="9" t="s">
        <v>34</v>
      </c>
      <c r="D23" s="9" t="s">
        <v>90</v>
      </c>
      <c r="E23" s="9">
        <v>8</v>
      </c>
      <c r="F23" s="9" t="s">
        <v>36</v>
      </c>
      <c r="G23" s="9" t="s">
        <v>37</v>
      </c>
      <c r="H23" s="9" t="s">
        <v>114</v>
      </c>
      <c r="I23" s="9" t="s">
        <v>92</v>
      </c>
      <c r="J23" s="9" t="s">
        <v>119</v>
      </c>
      <c r="K23" s="9" t="s">
        <v>120</v>
      </c>
      <c r="L23" s="9" t="s">
        <v>121</v>
      </c>
      <c r="M23" s="10" t="s">
        <v>118</v>
      </c>
      <c r="N23" s="9"/>
      <c r="O23" s="9"/>
      <c r="P23" s="9"/>
      <c r="Q23" s="9"/>
      <c r="R23" s="9"/>
      <c r="S23" s="9"/>
      <c r="T23" s="9"/>
      <c r="U23" s="9"/>
      <c r="V23" s="9"/>
      <c r="W23" s="9"/>
    </row>
    <row r="24" spans="1:23" ht="12.75" customHeight="1">
      <c r="A24" s="9"/>
      <c r="B24" s="9" t="s">
        <v>33</v>
      </c>
      <c r="C24" s="9" t="s">
        <v>34</v>
      </c>
      <c r="D24" s="9" t="s">
        <v>90</v>
      </c>
      <c r="E24" s="9">
        <v>9</v>
      </c>
      <c r="F24" s="9" t="s">
        <v>36</v>
      </c>
      <c r="G24" s="9" t="s">
        <v>37</v>
      </c>
      <c r="H24" s="9" t="s">
        <v>114</v>
      </c>
      <c r="I24" s="9" t="s">
        <v>92</v>
      </c>
      <c r="J24" s="9" t="s">
        <v>122</v>
      </c>
      <c r="K24" s="9" t="s">
        <v>123</v>
      </c>
      <c r="L24" s="9" t="s">
        <v>124</v>
      </c>
      <c r="M24" s="10" t="s">
        <v>118</v>
      </c>
      <c r="N24" s="9"/>
      <c r="O24" s="9"/>
      <c r="P24" s="9"/>
      <c r="Q24" s="9"/>
      <c r="R24" s="9"/>
      <c r="S24" s="9"/>
      <c r="T24" s="9"/>
      <c r="U24" s="9"/>
      <c r="V24" s="9"/>
      <c r="W24" s="9"/>
    </row>
    <row r="25" spans="1:23" ht="276.75" customHeight="1">
      <c r="A25" s="9"/>
      <c r="B25" s="9" t="s">
        <v>33</v>
      </c>
      <c r="C25" s="9" t="s">
        <v>34</v>
      </c>
      <c r="D25" s="9" t="s">
        <v>90</v>
      </c>
      <c r="E25" s="9">
        <v>10</v>
      </c>
      <c r="F25" s="9" t="s">
        <v>36</v>
      </c>
      <c r="G25" s="9" t="s">
        <v>37</v>
      </c>
      <c r="H25" s="9" t="s">
        <v>114</v>
      </c>
      <c r="I25" s="9" t="s">
        <v>92</v>
      </c>
      <c r="J25" s="9" t="s">
        <v>125</v>
      </c>
      <c r="K25" s="9" t="s">
        <v>126</v>
      </c>
      <c r="L25" s="9" t="s">
        <v>127</v>
      </c>
      <c r="M25" s="10" t="s">
        <v>128</v>
      </c>
      <c r="N25" s="9"/>
      <c r="O25" s="9"/>
      <c r="P25" s="9"/>
      <c r="Q25" s="9"/>
      <c r="R25" s="9"/>
      <c r="S25" s="9"/>
      <c r="T25" s="9"/>
      <c r="U25" s="9"/>
      <c r="V25" s="9"/>
      <c r="W25" s="9"/>
    </row>
    <row r="26" spans="1:23" ht="12.75" customHeight="1">
      <c r="A26" s="9"/>
      <c r="B26" s="9" t="s">
        <v>33</v>
      </c>
      <c r="C26" s="9" t="s">
        <v>34</v>
      </c>
      <c r="D26" s="9" t="s">
        <v>90</v>
      </c>
      <c r="E26" s="9">
        <v>11</v>
      </c>
      <c r="F26" s="9" t="s">
        <v>36</v>
      </c>
      <c r="G26" s="9" t="s">
        <v>37</v>
      </c>
      <c r="H26" s="9" t="s">
        <v>114</v>
      </c>
      <c r="I26" s="9" t="s">
        <v>92</v>
      </c>
      <c r="J26" s="9" t="s">
        <v>129</v>
      </c>
      <c r="K26" s="9" t="s">
        <v>130</v>
      </c>
      <c r="L26" s="9" t="s">
        <v>131</v>
      </c>
      <c r="M26" s="10" t="s">
        <v>128</v>
      </c>
      <c r="N26" s="9"/>
      <c r="O26" s="9"/>
      <c r="P26" s="9"/>
      <c r="Q26" s="9"/>
      <c r="R26" s="9"/>
      <c r="S26" s="9"/>
      <c r="T26" s="9"/>
      <c r="U26" s="9"/>
      <c r="V26" s="9"/>
      <c r="W26" s="9"/>
    </row>
    <row r="27" spans="1:23" ht="187.5" customHeight="1">
      <c r="A27" s="9" t="s">
        <v>132</v>
      </c>
      <c r="B27" s="9" t="s">
        <v>33</v>
      </c>
      <c r="C27" s="9" t="s">
        <v>34</v>
      </c>
      <c r="D27" s="9" t="s">
        <v>90</v>
      </c>
      <c r="E27" s="9">
        <v>12</v>
      </c>
      <c r="F27" s="9" t="s">
        <v>36</v>
      </c>
      <c r="G27" s="9" t="s">
        <v>37</v>
      </c>
      <c r="H27" s="9" t="s">
        <v>133</v>
      </c>
      <c r="I27" s="9" t="s">
        <v>92</v>
      </c>
      <c r="J27" s="9" t="s">
        <v>134</v>
      </c>
      <c r="K27" s="9" t="s">
        <v>135</v>
      </c>
      <c r="L27" s="9" t="s">
        <v>136</v>
      </c>
      <c r="M27" s="10" t="s">
        <v>137</v>
      </c>
      <c r="N27" s="9"/>
      <c r="O27" s="9"/>
      <c r="P27" s="9"/>
      <c r="Q27" s="9"/>
      <c r="R27" s="9"/>
      <c r="S27" s="9"/>
      <c r="T27" s="9"/>
      <c r="U27" s="9"/>
      <c r="V27" s="9"/>
      <c r="W27" s="9"/>
    </row>
    <row r="28" spans="1:23" ht="12.75" customHeight="1">
      <c r="A28" s="9" t="s">
        <v>132</v>
      </c>
      <c r="B28" s="9" t="s">
        <v>33</v>
      </c>
      <c r="C28" s="9" t="s">
        <v>34</v>
      </c>
      <c r="D28" s="9" t="s">
        <v>90</v>
      </c>
      <c r="E28" s="9">
        <v>13</v>
      </c>
      <c r="F28" s="9" t="s">
        <v>36</v>
      </c>
      <c r="G28" s="9" t="s">
        <v>37</v>
      </c>
      <c r="H28" s="9" t="s">
        <v>133</v>
      </c>
      <c r="I28" s="9" t="s">
        <v>92</v>
      </c>
      <c r="J28" s="9" t="s">
        <v>138</v>
      </c>
      <c r="K28" s="9" t="s">
        <v>135</v>
      </c>
      <c r="L28" s="9" t="s">
        <v>139</v>
      </c>
      <c r="M28" s="10" t="s">
        <v>137</v>
      </c>
      <c r="N28" s="9"/>
      <c r="O28" s="9"/>
      <c r="P28" s="9"/>
      <c r="Q28" s="9"/>
      <c r="R28" s="9"/>
      <c r="S28" s="9"/>
      <c r="T28" s="9"/>
      <c r="U28" s="9"/>
      <c r="V28" s="9"/>
      <c r="W28" s="9"/>
    </row>
    <row r="29" spans="1:23" ht="202.5" customHeight="1">
      <c r="A29" s="9"/>
      <c r="B29" s="9" t="s">
        <v>33</v>
      </c>
      <c r="C29" s="9" t="s">
        <v>34</v>
      </c>
      <c r="D29" s="9" t="s">
        <v>90</v>
      </c>
      <c r="E29" s="9">
        <v>14</v>
      </c>
      <c r="F29" s="9" t="s">
        <v>36</v>
      </c>
      <c r="G29" s="9" t="s">
        <v>37</v>
      </c>
      <c r="H29" s="9" t="s">
        <v>140</v>
      </c>
      <c r="I29" s="9" t="s">
        <v>92</v>
      </c>
      <c r="J29" s="9" t="s">
        <v>141</v>
      </c>
      <c r="K29" s="9" t="s">
        <v>142</v>
      </c>
      <c r="L29" s="9" t="s">
        <v>143</v>
      </c>
      <c r="M29" s="10" t="s">
        <v>137</v>
      </c>
      <c r="N29" s="9"/>
      <c r="O29" s="9"/>
      <c r="P29" s="9"/>
      <c r="Q29" s="9"/>
      <c r="R29" s="9"/>
      <c r="S29" s="9"/>
      <c r="T29" s="9"/>
      <c r="U29" s="9"/>
      <c r="V29" s="9"/>
      <c r="W29" s="9"/>
    </row>
    <row r="30" spans="1:23" ht="12.75" customHeight="1">
      <c r="A30" s="11"/>
      <c r="B30" s="10" t="s">
        <v>33</v>
      </c>
      <c r="C30" s="10" t="s">
        <v>34</v>
      </c>
      <c r="D30" s="10" t="s">
        <v>144</v>
      </c>
      <c r="E30" s="10">
        <v>1</v>
      </c>
      <c r="F30" s="10" t="s">
        <v>36</v>
      </c>
      <c r="G30" s="10" t="s">
        <v>37</v>
      </c>
      <c r="H30" s="10" t="s">
        <v>145</v>
      </c>
      <c r="I30" s="10" t="s">
        <v>146</v>
      </c>
      <c r="J30" s="10" t="s">
        <v>147</v>
      </c>
      <c r="K30" s="10" t="s">
        <v>146</v>
      </c>
      <c r="L30" s="10" t="s">
        <v>148</v>
      </c>
      <c r="M30" s="12" t="s">
        <v>149</v>
      </c>
      <c r="N30" s="9"/>
      <c r="O30" s="9"/>
      <c r="P30" s="9"/>
      <c r="Q30" s="9"/>
      <c r="R30" s="9"/>
      <c r="S30" s="9"/>
      <c r="T30" s="9"/>
      <c r="U30" s="9"/>
      <c r="V30" s="9"/>
      <c r="W30" s="9"/>
    </row>
    <row r="31" spans="1:23" ht="12.75" customHeight="1">
      <c r="A31" s="11"/>
      <c r="B31" s="10" t="s">
        <v>33</v>
      </c>
      <c r="C31" s="10" t="s">
        <v>34</v>
      </c>
      <c r="D31" s="10" t="s">
        <v>144</v>
      </c>
      <c r="E31" s="10">
        <v>2</v>
      </c>
      <c r="F31" s="10" t="s">
        <v>36</v>
      </c>
      <c r="G31" s="10" t="s">
        <v>37</v>
      </c>
      <c r="H31" s="10" t="s">
        <v>145</v>
      </c>
      <c r="I31" s="10" t="s">
        <v>146</v>
      </c>
      <c r="J31" s="10" t="s">
        <v>150</v>
      </c>
      <c r="K31" s="10" t="s">
        <v>151</v>
      </c>
      <c r="L31" s="10" t="s">
        <v>152</v>
      </c>
      <c r="M31" s="12" t="s">
        <v>149</v>
      </c>
      <c r="N31" s="9"/>
      <c r="O31" s="9"/>
      <c r="P31" s="9"/>
      <c r="Q31" s="9"/>
      <c r="R31" s="9"/>
      <c r="S31" s="9"/>
      <c r="T31" s="9"/>
      <c r="U31" s="9"/>
      <c r="V31" s="9"/>
      <c r="W31" s="9"/>
    </row>
    <row r="32" spans="1:23" ht="12.75" customHeight="1">
      <c r="A32" s="11"/>
      <c r="B32" s="10" t="s">
        <v>33</v>
      </c>
      <c r="C32" s="10" t="s">
        <v>34</v>
      </c>
      <c r="D32" s="10" t="s">
        <v>144</v>
      </c>
      <c r="E32" s="10">
        <v>3</v>
      </c>
      <c r="F32" s="10" t="s">
        <v>36</v>
      </c>
      <c r="G32" s="10" t="s">
        <v>37</v>
      </c>
      <c r="H32" s="10" t="s">
        <v>145</v>
      </c>
      <c r="I32" s="10" t="s">
        <v>153</v>
      </c>
      <c r="J32" s="10" t="s">
        <v>154</v>
      </c>
      <c r="K32" s="10" t="s">
        <v>155</v>
      </c>
      <c r="L32" s="10" t="s">
        <v>156</v>
      </c>
      <c r="M32" s="12" t="s">
        <v>157</v>
      </c>
      <c r="N32" s="9"/>
      <c r="O32" s="9"/>
      <c r="P32" s="9"/>
      <c r="Q32" s="9"/>
      <c r="R32" s="9"/>
      <c r="S32" s="9"/>
      <c r="T32" s="9"/>
      <c r="U32" s="9"/>
      <c r="V32" s="9"/>
      <c r="W32" s="9"/>
    </row>
    <row r="33" spans="1:23" ht="12.75" customHeight="1">
      <c r="A33" s="11"/>
      <c r="B33" s="10" t="s">
        <v>33</v>
      </c>
      <c r="C33" s="10" t="s">
        <v>34</v>
      </c>
      <c r="D33" s="10" t="s">
        <v>144</v>
      </c>
      <c r="E33" s="10">
        <v>4</v>
      </c>
      <c r="F33" s="10" t="s">
        <v>36</v>
      </c>
      <c r="G33" s="10" t="s">
        <v>37</v>
      </c>
      <c r="H33" s="10" t="s">
        <v>145</v>
      </c>
      <c r="I33" s="10" t="s">
        <v>153</v>
      </c>
      <c r="J33" s="10" t="s">
        <v>158</v>
      </c>
      <c r="K33" s="10" t="s">
        <v>158</v>
      </c>
      <c r="L33" s="10" t="s">
        <v>159</v>
      </c>
      <c r="M33" s="12" t="s">
        <v>157</v>
      </c>
      <c r="N33" s="9"/>
      <c r="O33" s="9"/>
      <c r="P33" s="9"/>
      <c r="Q33" s="9"/>
      <c r="R33" s="9"/>
      <c r="S33" s="9"/>
      <c r="T33" s="9"/>
      <c r="U33" s="9"/>
      <c r="V33" s="9"/>
      <c r="W33" s="9"/>
    </row>
    <row r="34" spans="1:23" ht="12.75" customHeight="1">
      <c r="A34" s="11"/>
      <c r="B34" s="10" t="s">
        <v>33</v>
      </c>
      <c r="C34" s="10" t="s">
        <v>34</v>
      </c>
      <c r="D34" s="10" t="s">
        <v>144</v>
      </c>
      <c r="E34" s="10">
        <v>5</v>
      </c>
      <c r="F34" s="10" t="s">
        <v>36</v>
      </c>
      <c r="G34" s="10" t="s">
        <v>37</v>
      </c>
      <c r="H34" s="10" t="s">
        <v>145</v>
      </c>
      <c r="I34" s="10" t="s">
        <v>160</v>
      </c>
      <c r="J34" s="10" t="s">
        <v>161</v>
      </c>
      <c r="K34" s="10" t="s">
        <v>162</v>
      </c>
      <c r="L34" s="10" t="s">
        <v>163</v>
      </c>
      <c r="M34" s="12" t="s">
        <v>157</v>
      </c>
      <c r="N34" s="9"/>
      <c r="O34" s="9"/>
      <c r="P34" s="9"/>
      <c r="Q34" s="9"/>
      <c r="R34" s="9"/>
      <c r="S34" s="9"/>
      <c r="T34" s="9"/>
      <c r="U34" s="9"/>
      <c r="V34" s="9"/>
      <c r="W34" s="9"/>
    </row>
    <row r="35" spans="1:23" ht="12.75" customHeight="1">
      <c r="A35" s="11"/>
      <c r="B35" s="10" t="s">
        <v>33</v>
      </c>
      <c r="C35" s="10" t="s">
        <v>34</v>
      </c>
      <c r="D35" s="10" t="s">
        <v>144</v>
      </c>
      <c r="E35" s="10">
        <v>6</v>
      </c>
      <c r="F35" s="10" t="s">
        <v>36</v>
      </c>
      <c r="G35" s="10" t="s">
        <v>37</v>
      </c>
      <c r="H35" s="10" t="s">
        <v>145</v>
      </c>
      <c r="I35" s="10" t="s">
        <v>160</v>
      </c>
      <c r="J35" s="10" t="s">
        <v>164</v>
      </c>
      <c r="K35" s="10" t="s">
        <v>165</v>
      </c>
      <c r="L35" s="10" t="s">
        <v>166</v>
      </c>
      <c r="M35" s="12" t="s">
        <v>157</v>
      </c>
      <c r="N35" s="9"/>
      <c r="O35" s="9"/>
      <c r="P35" s="9"/>
      <c r="Q35" s="9"/>
      <c r="R35" s="9"/>
      <c r="S35" s="9"/>
      <c r="T35" s="9"/>
      <c r="U35" s="9"/>
      <c r="V35" s="9"/>
      <c r="W35" s="9"/>
    </row>
    <row r="36" spans="1:23" ht="12.75" customHeight="1">
      <c r="A36" s="11"/>
      <c r="B36" s="10" t="s">
        <v>33</v>
      </c>
      <c r="C36" s="10" t="s">
        <v>34</v>
      </c>
      <c r="D36" s="10" t="s">
        <v>144</v>
      </c>
      <c r="E36" s="10">
        <v>7</v>
      </c>
      <c r="F36" s="10" t="s">
        <v>36</v>
      </c>
      <c r="G36" s="10" t="s">
        <v>37</v>
      </c>
      <c r="H36" s="10" t="s">
        <v>145</v>
      </c>
      <c r="I36" s="10" t="s">
        <v>167</v>
      </c>
      <c r="J36" s="10" t="s">
        <v>168</v>
      </c>
      <c r="K36" s="10" t="s">
        <v>169</v>
      </c>
      <c r="L36" s="10" t="s">
        <v>170</v>
      </c>
      <c r="M36" s="12" t="s">
        <v>171</v>
      </c>
      <c r="N36" s="9"/>
      <c r="O36" s="9"/>
      <c r="P36" s="9"/>
      <c r="Q36" s="9"/>
      <c r="R36" s="9"/>
      <c r="S36" s="9"/>
      <c r="T36" s="9"/>
      <c r="U36" s="9"/>
      <c r="V36" s="9"/>
      <c r="W36" s="9"/>
    </row>
    <row r="37" spans="1:23" ht="12.75" customHeight="1">
      <c r="A37" s="11"/>
      <c r="B37" s="10" t="s">
        <v>33</v>
      </c>
      <c r="C37" s="10" t="s">
        <v>34</v>
      </c>
      <c r="D37" s="10" t="s">
        <v>144</v>
      </c>
      <c r="E37" s="10">
        <v>8</v>
      </c>
      <c r="F37" s="10" t="s">
        <v>36</v>
      </c>
      <c r="G37" s="10" t="s">
        <v>37</v>
      </c>
      <c r="H37" s="10" t="s">
        <v>145</v>
      </c>
      <c r="I37" s="10" t="s">
        <v>167</v>
      </c>
      <c r="J37" s="10" t="s">
        <v>172</v>
      </c>
      <c r="K37" s="10" t="s">
        <v>173</v>
      </c>
      <c r="L37" s="10" t="s">
        <v>174</v>
      </c>
      <c r="M37" s="12" t="s">
        <v>171</v>
      </c>
      <c r="N37" s="9"/>
      <c r="O37" s="9"/>
      <c r="P37" s="9"/>
      <c r="Q37" s="9"/>
      <c r="R37" s="9"/>
      <c r="S37" s="9"/>
      <c r="T37" s="9"/>
      <c r="U37" s="9"/>
      <c r="V37" s="9"/>
      <c r="W37" s="9"/>
    </row>
    <row r="38" spans="1:23" ht="12.75" customHeight="1">
      <c r="A38" s="11"/>
      <c r="B38" s="10" t="s">
        <v>33</v>
      </c>
      <c r="C38" s="10" t="s">
        <v>34</v>
      </c>
      <c r="D38" s="10" t="s">
        <v>144</v>
      </c>
      <c r="E38" s="10">
        <v>9</v>
      </c>
      <c r="F38" s="10" t="s">
        <v>36</v>
      </c>
      <c r="G38" s="10" t="s">
        <v>37</v>
      </c>
      <c r="H38" s="10" t="s">
        <v>145</v>
      </c>
      <c r="I38" s="10" t="s">
        <v>167</v>
      </c>
      <c r="J38" s="10" t="s">
        <v>175</v>
      </c>
      <c r="K38" s="10" t="s">
        <v>176</v>
      </c>
      <c r="L38" s="10" t="s">
        <v>177</v>
      </c>
      <c r="M38" s="12" t="s">
        <v>178</v>
      </c>
      <c r="N38" s="9"/>
      <c r="O38" s="9"/>
      <c r="P38" s="9"/>
      <c r="Q38" s="9"/>
      <c r="R38" s="9"/>
      <c r="S38" s="9"/>
      <c r="T38" s="9"/>
      <c r="U38" s="9"/>
      <c r="V38" s="9"/>
      <c r="W38" s="9"/>
    </row>
    <row r="39" spans="1:23" ht="12.75" customHeight="1">
      <c r="A39" s="11"/>
      <c r="B39" s="10" t="s">
        <v>33</v>
      </c>
      <c r="C39" s="10" t="s">
        <v>34</v>
      </c>
      <c r="D39" s="10" t="s">
        <v>144</v>
      </c>
      <c r="E39" s="10">
        <v>10</v>
      </c>
      <c r="F39" s="10" t="s">
        <v>36</v>
      </c>
      <c r="G39" s="10" t="s">
        <v>37</v>
      </c>
      <c r="H39" s="10" t="s">
        <v>145</v>
      </c>
      <c r="I39" s="10" t="s">
        <v>167</v>
      </c>
      <c r="J39" s="10" t="s">
        <v>179</v>
      </c>
      <c r="K39" s="10" t="s">
        <v>180</v>
      </c>
      <c r="L39" s="10" t="s">
        <v>181</v>
      </c>
      <c r="M39" s="12" t="s">
        <v>182</v>
      </c>
      <c r="N39" s="9"/>
      <c r="O39" s="9"/>
      <c r="P39" s="9"/>
      <c r="Q39" s="9"/>
      <c r="R39" s="9"/>
      <c r="S39" s="9"/>
      <c r="T39" s="9"/>
      <c r="U39" s="9"/>
      <c r="V39" s="9"/>
      <c r="W39" s="9"/>
    </row>
    <row r="40" spans="1:23" ht="12.75" customHeight="1">
      <c r="A40" s="11"/>
      <c r="B40" s="10" t="s">
        <v>33</v>
      </c>
      <c r="C40" s="10" t="s">
        <v>34</v>
      </c>
      <c r="D40" s="10" t="s">
        <v>144</v>
      </c>
      <c r="E40" s="10">
        <v>11</v>
      </c>
      <c r="F40" s="10" t="s">
        <v>36</v>
      </c>
      <c r="G40" s="10" t="s">
        <v>37</v>
      </c>
      <c r="H40" s="10" t="s">
        <v>145</v>
      </c>
      <c r="I40" s="10" t="s">
        <v>167</v>
      </c>
      <c r="J40" s="10" t="s">
        <v>183</v>
      </c>
      <c r="K40" s="10" t="s">
        <v>184</v>
      </c>
      <c r="L40" s="10" t="s">
        <v>185</v>
      </c>
      <c r="M40" s="12" t="s">
        <v>182</v>
      </c>
      <c r="N40" s="9"/>
      <c r="O40" s="9"/>
      <c r="P40" s="9"/>
      <c r="Q40" s="9"/>
      <c r="R40" s="9"/>
      <c r="S40" s="9"/>
      <c r="T40" s="9"/>
      <c r="U40" s="9"/>
      <c r="V40" s="9"/>
      <c r="W40" s="9"/>
    </row>
    <row r="41" spans="1:23" ht="12.75" customHeight="1">
      <c r="A41" s="11"/>
      <c r="B41" s="10" t="s">
        <v>33</v>
      </c>
      <c r="C41" s="10" t="s">
        <v>34</v>
      </c>
      <c r="D41" s="10" t="s">
        <v>144</v>
      </c>
      <c r="E41" s="10">
        <v>12</v>
      </c>
      <c r="F41" s="10" t="s">
        <v>36</v>
      </c>
      <c r="G41" s="10" t="s">
        <v>37</v>
      </c>
      <c r="H41" s="10" t="s">
        <v>145</v>
      </c>
      <c r="I41" s="10" t="s">
        <v>167</v>
      </c>
      <c r="J41" s="10" t="s">
        <v>186</v>
      </c>
      <c r="K41" s="10" t="s">
        <v>184</v>
      </c>
      <c r="L41" s="10" t="s">
        <v>187</v>
      </c>
      <c r="M41" s="12" t="s">
        <v>182</v>
      </c>
      <c r="N41" s="9"/>
      <c r="O41" s="9"/>
      <c r="P41" s="9"/>
      <c r="Q41" s="9"/>
      <c r="R41" s="9"/>
      <c r="S41" s="9"/>
      <c r="T41" s="9"/>
      <c r="U41" s="9"/>
      <c r="V41" s="9"/>
      <c r="W41" s="9"/>
    </row>
    <row r="42" spans="1:23" ht="12.75" customHeight="1">
      <c r="A42" s="11"/>
      <c r="B42" s="10" t="s">
        <v>33</v>
      </c>
      <c r="C42" s="10" t="s">
        <v>34</v>
      </c>
      <c r="D42" s="10" t="s">
        <v>188</v>
      </c>
      <c r="E42" s="10">
        <v>1</v>
      </c>
      <c r="F42" s="10" t="s">
        <v>36</v>
      </c>
      <c r="G42" s="10" t="s">
        <v>37</v>
      </c>
      <c r="H42" s="10" t="s">
        <v>189</v>
      </c>
      <c r="I42" s="10" t="s">
        <v>190</v>
      </c>
      <c r="J42" s="10" t="s">
        <v>191</v>
      </c>
      <c r="K42" s="10" t="s">
        <v>192</v>
      </c>
      <c r="L42" s="10" t="s">
        <v>193</v>
      </c>
      <c r="M42" s="12" t="s">
        <v>194</v>
      </c>
      <c r="N42" s="9"/>
      <c r="O42" s="9"/>
      <c r="P42" s="9"/>
      <c r="Q42" s="9"/>
      <c r="R42" s="9"/>
      <c r="S42" s="9"/>
      <c r="T42" s="9"/>
      <c r="U42" s="9"/>
      <c r="V42" s="9"/>
      <c r="W42" s="9"/>
    </row>
    <row r="43" spans="1:23" ht="12.75" customHeight="1">
      <c r="A43" s="11"/>
      <c r="B43" s="10" t="s">
        <v>33</v>
      </c>
      <c r="C43" s="10" t="s">
        <v>34</v>
      </c>
      <c r="D43" s="10" t="s">
        <v>188</v>
      </c>
      <c r="E43" s="10">
        <v>2</v>
      </c>
      <c r="F43" s="10" t="s">
        <v>36</v>
      </c>
      <c r="G43" s="10" t="s">
        <v>37</v>
      </c>
      <c r="H43" s="10" t="s">
        <v>189</v>
      </c>
      <c r="I43" s="10" t="s">
        <v>190</v>
      </c>
      <c r="J43" s="10" t="s">
        <v>195</v>
      </c>
      <c r="K43" s="10" t="s">
        <v>196</v>
      </c>
      <c r="L43" s="10" t="s">
        <v>197</v>
      </c>
      <c r="M43" s="12" t="s">
        <v>194</v>
      </c>
      <c r="N43" s="9"/>
      <c r="O43" s="9"/>
      <c r="P43" s="9"/>
      <c r="Q43" s="9"/>
      <c r="R43" s="9"/>
      <c r="S43" s="9"/>
      <c r="T43" s="9"/>
      <c r="U43" s="9"/>
      <c r="V43" s="9"/>
      <c r="W43" s="9"/>
    </row>
    <row r="44" spans="1:23" ht="12.75" customHeight="1">
      <c r="A44" s="11"/>
      <c r="B44" s="10" t="s">
        <v>33</v>
      </c>
      <c r="C44" s="10" t="s">
        <v>34</v>
      </c>
      <c r="D44" s="10" t="s">
        <v>188</v>
      </c>
      <c r="E44" s="10">
        <v>3</v>
      </c>
      <c r="F44" s="10" t="s">
        <v>36</v>
      </c>
      <c r="G44" s="10" t="s">
        <v>37</v>
      </c>
      <c r="H44" s="10" t="s">
        <v>189</v>
      </c>
      <c r="I44" s="10" t="s">
        <v>190</v>
      </c>
      <c r="J44" s="10" t="s">
        <v>198</v>
      </c>
      <c r="K44" s="10" t="s">
        <v>199</v>
      </c>
      <c r="L44" s="10" t="s">
        <v>200</v>
      </c>
      <c r="M44" s="12" t="s">
        <v>194</v>
      </c>
      <c r="N44" s="9"/>
      <c r="O44" s="9"/>
      <c r="P44" s="9"/>
      <c r="Q44" s="9"/>
      <c r="R44" s="9"/>
      <c r="S44" s="9"/>
      <c r="T44" s="9"/>
      <c r="U44" s="9"/>
      <c r="V44" s="9"/>
      <c r="W44" s="9"/>
    </row>
    <row r="45" spans="1:23" ht="12.75" customHeight="1">
      <c r="A45" s="11"/>
      <c r="B45" s="10" t="s">
        <v>33</v>
      </c>
      <c r="C45" s="10" t="s">
        <v>34</v>
      </c>
      <c r="D45" s="10" t="s">
        <v>188</v>
      </c>
      <c r="E45" s="10">
        <v>4</v>
      </c>
      <c r="F45" s="10" t="s">
        <v>36</v>
      </c>
      <c r="G45" s="10" t="s">
        <v>37</v>
      </c>
      <c r="H45" s="10" t="s">
        <v>189</v>
      </c>
      <c r="I45" s="10" t="s">
        <v>190</v>
      </c>
      <c r="J45" s="10" t="s">
        <v>201</v>
      </c>
      <c r="K45" s="10" t="s">
        <v>202</v>
      </c>
      <c r="L45" s="10" t="s">
        <v>203</v>
      </c>
      <c r="M45" s="12" t="s">
        <v>194</v>
      </c>
      <c r="N45" s="9"/>
      <c r="O45" s="9"/>
      <c r="P45" s="9"/>
      <c r="Q45" s="9"/>
      <c r="R45" s="9"/>
      <c r="S45" s="9"/>
      <c r="T45" s="9"/>
      <c r="U45" s="9"/>
      <c r="V45" s="9"/>
      <c r="W45" s="9"/>
    </row>
    <row r="46" spans="1:23" ht="12.75" customHeight="1">
      <c r="A46" s="11"/>
      <c r="B46" s="10" t="s">
        <v>33</v>
      </c>
      <c r="C46" s="10" t="s">
        <v>34</v>
      </c>
      <c r="D46" s="10" t="s">
        <v>188</v>
      </c>
      <c r="E46" s="10">
        <v>5</v>
      </c>
      <c r="F46" s="10" t="s">
        <v>36</v>
      </c>
      <c r="G46" s="10" t="s">
        <v>37</v>
      </c>
      <c r="H46" s="10" t="s">
        <v>189</v>
      </c>
      <c r="I46" s="10" t="s">
        <v>190</v>
      </c>
      <c r="J46" s="10" t="s">
        <v>204</v>
      </c>
      <c r="K46" s="10" t="s">
        <v>205</v>
      </c>
      <c r="L46" s="10" t="s">
        <v>206</v>
      </c>
      <c r="M46" s="12" t="s">
        <v>194</v>
      </c>
      <c r="N46" s="9"/>
      <c r="O46" s="9"/>
      <c r="P46" s="9"/>
      <c r="Q46" s="9"/>
      <c r="R46" s="9"/>
      <c r="S46" s="9"/>
      <c r="T46" s="9"/>
      <c r="U46" s="9"/>
      <c r="V46" s="9"/>
      <c r="W46" s="9"/>
    </row>
    <row r="47" spans="1:23" ht="12.75" customHeight="1">
      <c r="A47" s="11"/>
      <c r="B47" s="10" t="s">
        <v>33</v>
      </c>
      <c r="C47" s="10" t="s">
        <v>34</v>
      </c>
      <c r="D47" s="10" t="s">
        <v>188</v>
      </c>
      <c r="E47" s="10">
        <v>6</v>
      </c>
      <c r="F47" s="10" t="s">
        <v>36</v>
      </c>
      <c r="G47" s="10" t="s">
        <v>37</v>
      </c>
      <c r="H47" s="10" t="s">
        <v>189</v>
      </c>
      <c r="I47" s="10" t="s">
        <v>190</v>
      </c>
      <c r="J47" s="10" t="s">
        <v>207</v>
      </c>
      <c r="K47" s="10" t="s">
        <v>208</v>
      </c>
      <c r="L47" s="10" t="s">
        <v>209</v>
      </c>
      <c r="M47" s="12" t="s">
        <v>210</v>
      </c>
      <c r="N47" s="9"/>
      <c r="O47" s="9"/>
      <c r="P47" s="9"/>
      <c r="Q47" s="9"/>
      <c r="R47" s="9"/>
      <c r="S47" s="9"/>
      <c r="T47" s="9"/>
      <c r="U47" s="9"/>
      <c r="V47" s="9"/>
      <c r="W47" s="9"/>
    </row>
    <row r="48" spans="1:23" ht="12.75" customHeight="1">
      <c r="A48" s="11"/>
      <c r="B48" s="10" t="s">
        <v>33</v>
      </c>
      <c r="C48" s="10" t="s">
        <v>34</v>
      </c>
      <c r="D48" s="10" t="s">
        <v>188</v>
      </c>
      <c r="E48" s="10">
        <v>7</v>
      </c>
      <c r="F48" s="10" t="s">
        <v>36</v>
      </c>
      <c r="G48" s="10" t="s">
        <v>37</v>
      </c>
      <c r="H48" s="10" t="s">
        <v>189</v>
      </c>
      <c r="I48" s="10" t="s">
        <v>190</v>
      </c>
      <c r="J48" s="10" t="s">
        <v>211</v>
      </c>
      <c r="K48" s="10" t="s">
        <v>212</v>
      </c>
      <c r="L48" s="10" t="s">
        <v>213</v>
      </c>
      <c r="M48" s="12" t="s">
        <v>210</v>
      </c>
      <c r="N48" s="9"/>
      <c r="O48" s="9"/>
      <c r="P48" s="9"/>
      <c r="Q48" s="9"/>
      <c r="R48" s="9"/>
      <c r="S48" s="9"/>
      <c r="T48" s="9"/>
      <c r="U48" s="9"/>
      <c r="V48" s="9"/>
      <c r="W48" s="9"/>
    </row>
    <row r="49" spans="1:23" ht="12.75" customHeight="1">
      <c r="A49" s="11"/>
      <c r="B49" s="10" t="s">
        <v>33</v>
      </c>
      <c r="C49" s="10" t="s">
        <v>34</v>
      </c>
      <c r="D49" s="10" t="s">
        <v>188</v>
      </c>
      <c r="E49" s="10">
        <v>8</v>
      </c>
      <c r="F49" s="10" t="s">
        <v>36</v>
      </c>
      <c r="G49" s="10" t="s">
        <v>37</v>
      </c>
      <c r="H49" s="10" t="s">
        <v>189</v>
      </c>
      <c r="I49" s="10" t="s">
        <v>190</v>
      </c>
      <c r="J49" s="10" t="s">
        <v>214</v>
      </c>
      <c r="K49" s="10" t="s">
        <v>212</v>
      </c>
      <c r="L49" s="10" t="s">
        <v>215</v>
      </c>
      <c r="M49" s="12" t="s">
        <v>210</v>
      </c>
      <c r="N49" s="9"/>
      <c r="O49" s="9"/>
      <c r="P49" s="9"/>
      <c r="Q49" s="9"/>
      <c r="R49" s="9"/>
      <c r="S49" s="9"/>
      <c r="T49" s="9"/>
      <c r="U49" s="9"/>
      <c r="V49" s="9"/>
      <c r="W49" s="9"/>
    </row>
    <row r="50" spans="1:23" ht="12.75" customHeight="1">
      <c r="A50" s="11"/>
      <c r="B50" s="10" t="s">
        <v>33</v>
      </c>
      <c r="C50" s="10" t="s">
        <v>34</v>
      </c>
      <c r="D50" s="10" t="s">
        <v>188</v>
      </c>
      <c r="E50" s="10">
        <v>9</v>
      </c>
      <c r="F50" s="10" t="s">
        <v>36</v>
      </c>
      <c r="G50" s="10" t="s">
        <v>37</v>
      </c>
      <c r="H50" s="10" t="s">
        <v>189</v>
      </c>
      <c r="I50" s="10" t="s">
        <v>190</v>
      </c>
      <c r="J50" s="10" t="s">
        <v>216</v>
      </c>
      <c r="K50" s="10" t="s">
        <v>217</v>
      </c>
      <c r="L50" s="10" t="s">
        <v>218</v>
      </c>
      <c r="M50" s="12" t="s">
        <v>219</v>
      </c>
      <c r="N50" s="9"/>
      <c r="O50" s="9"/>
      <c r="P50" s="9"/>
      <c r="Q50" s="9"/>
      <c r="R50" s="9"/>
      <c r="S50" s="9"/>
      <c r="T50" s="9"/>
      <c r="U50" s="9"/>
      <c r="V50" s="9"/>
      <c r="W50" s="9"/>
    </row>
    <row r="51" spans="1:23" ht="12.75" customHeight="1">
      <c r="A51" s="11"/>
      <c r="B51" s="10" t="s">
        <v>33</v>
      </c>
      <c r="C51" s="10" t="s">
        <v>34</v>
      </c>
      <c r="D51" s="10" t="s">
        <v>188</v>
      </c>
      <c r="E51" s="10">
        <v>10</v>
      </c>
      <c r="F51" s="10" t="s">
        <v>36</v>
      </c>
      <c r="G51" s="10" t="s">
        <v>37</v>
      </c>
      <c r="H51" s="10" t="s">
        <v>189</v>
      </c>
      <c r="I51" s="10" t="s">
        <v>190</v>
      </c>
      <c r="J51" s="10" t="s">
        <v>220</v>
      </c>
      <c r="K51" s="10" t="s">
        <v>221</v>
      </c>
      <c r="L51" s="10" t="s">
        <v>222</v>
      </c>
      <c r="M51" s="12" t="s">
        <v>219</v>
      </c>
      <c r="N51" s="9"/>
      <c r="O51" s="9"/>
      <c r="P51" s="9"/>
      <c r="Q51" s="9"/>
      <c r="R51" s="9"/>
      <c r="S51" s="9"/>
      <c r="T51" s="9"/>
      <c r="U51" s="9"/>
      <c r="V51" s="9"/>
      <c r="W51" s="9"/>
    </row>
    <row r="52" spans="1:23" ht="12.75" customHeight="1">
      <c r="A52" s="11"/>
      <c r="B52" s="10" t="s">
        <v>33</v>
      </c>
      <c r="C52" s="10" t="s">
        <v>34</v>
      </c>
      <c r="D52" s="10" t="s">
        <v>188</v>
      </c>
      <c r="E52" s="10">
        <v>11</v>
      </c>
      <c r="F52" s="10" t="s">
        <v>36</v>
      </c>
      <c r="G52" s="10" t="s">
        <v>37</v>
      </c>
      <c r="H52" s="10" t="s">
        <v>189</v>
      </c>
      <c r="I52" s="10" t="s">
        <v>223</v>
      </c>
      <c r="J52" s="10" t="s">
        <v>224</v>
      </c>
      <c r="K52" s="10" t="s">
        <v>225</v>
      </c>
      <c r="L52" s="10" t="s">
        <v>222</v>
      </c>
      <c r="M52" s="12" t="s">
        <v>219</v>
      </c>
      <c r="N52" s="9"/>
      <c r="O52" s="9"/>
      <c r="P52" s="9"/>
      <c r="Q52" s="9"/>
      <c r="R52" s="9"/>
      <c r="S52" s="9"/>
      <c r="T52" s="9"/>
      <c r="U52" s="9"/>
      <c r="V52" s="9"/>
      <c r="W52" s="9"/>
    </row>
    <row r="53" spans="1:23" ht="12.75" customHeight="1">
      <c r="A53" s="11"/>
      <c r="B53" s="10" t="s">
        <v>33</v>
      </c>
      <c r="C53" s="10" t="s">
        <v>34</v>
      </c>
      <c r="D53" s="10" t="s">
        <v>188</v>
      </c>
      <c r="E53" s="10">
        <v>12</v>
      </c>
      <c r="F53" s="10" t="s">
        <v>36</v>
      </c>
      <c r="G53" s="10" t="s">
        <v>37</v>
      </c>
      <c r="H53" s="10" t="s">
        <v>226</v>
      </c>
      <c r="I53" s="10" t="s">
        <v>223</v>
      </c>
      <c r="J53" s="10" t="s">
        <v>227</v>
      </c>
      <c r="K53" s="10" t="s">
        <v>228</v>
      </c>
      <c r="L53" s="10" t="s">
        <v>229</v>
      </c>
      <c r="M53" s="12" t="s">
        <v>230</v>
      </c>
      <c r="N53" s="9"/>
      <c r="O53" s="9"/>
      <c r="P53" s="9"/>
      <c r="Q53" s="9"/>
      <c r="R53" s="9"/>
      <c r="S53" s="9"/>
      <c r="T53" s="9"/>
      <c r="U53" s="9"/>
      <c r="V53" s="9"/>
      <c r="W53" s="9"/>
    </row>
  </sheetData>
  <autoFilter ref="A1:W53"/>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sheetPr>
    <tabColor rgb="FFFFBFFC"/>
  </sheetPr>
  <dimension ref="A1:T54"/>
  <sheetViews>
    <sheetView workbookViewId="0">
      <pane ySplit="1" topLeftCell="A2" activePane="bottomLeft" state="frozen"/>
      <selection pane="bottomLeft" activeCell="B3" sqref="B3"/>
    </sheetView>
  </sheetViews>
  <sheetFormatPr defaultColWidth="12.5703125" defaultRowHeight="15" customHeight="1"/>
  <cols>
    <col min="1" max="1" width="18.140625" customWidth="1"/>
    <col min="2" max="2" width="8.5703125" customWidth="1"/>
    <col min="3" max="3" width="8.42578125" customWidth="1"/>
    <col min="4" max="4" width="12.28515625" customWidth="1"/>
    <col min="5" max="5" width="9.140625" customWidth="1"/>
    <col min="6" max="6" width="15.140625" customWidth="1"/>
    <col min="7" max="7" width="16.42578125" customWidth="1"/>
    <col min="8" max="8" width="58.42578125" customWidth="1"/>
    <col min="9" max="9" width="21.140625" customWidth="1"/>
    <col min="10" max="10" width="22.85546875" customWidth="1"/>
    <col min="11" max="11" width="36.7109375" customWidth="1"/>
    <col min="12" max="13" width="75.140625" customWidth="1"/>
    <col min="14" max="20" width="9.140625" hidden="1" customWidth="1"/>
  </cols>
  <sheetData>
    <row r="1" spans="1:20" ht="27" customHeight="1">
      <c r="A1" s="13" t="s">
        <v>20</v>
      </c>
      <c r="B1" s="14" t="s">
        <v>21</v>
      </c>
      <c r="C1" s="13" t="s">
        <v>22</v>
      </c>
      <c r="D1" s="14" t="s">
        <v>23</v>
      </c>
      <c r="E1" s="14" t="s">
        <v>24</v>
      </c>
      <c r="F1" s="14" t="s">
        <v>25</v>
      </c>
      <c r="G1" s="14" t="s">
        <v>26</v>
      </c>
      <c r="H1" s="14" t="s">
        <v>27</v>
      </c>
      <c r="I1" s="14" t="s">
        <v>28</v>
      </c>
      <c r="J1" s="13" t="s">
        <v>29</v>
      </c>
      <c r="K1" s="14" t="s">
        <v>30</v>
      </c>
      <c r="L1" s="14" t="s">
        <v>31</v>
      </c>
      <c r="M1" s="7" t="s">
        <v>231</v>
      </c>
      <c r="N1" s="15"/>
      <c r="O1" s="15"/>
      <c r="P1" s="15"/>
      <c r="Q1" s="15"/>
      <c r="R1" s="15"/>
      <c r="S1" s="15"/>
      <c r="T1" s="15"/>
    </row>
    <row r="2" spans="1:20" ht="102">
      <c r="A2" s="9"/>
      <c r="B2" s="9" t="s">
        <v>33</v>
      </c>
      <c r="C2" s="9" t="s">
        <v>34</v>
      </c>
      <c r="D2" s="9" t="s">
        <v>35</v>
      </c>
      <c r="E2" s="9">
        <v>1</v>
      </c>
      <c r="F2" s="9" t="s">
        <v>36</v>
      </c>
      <c r="G2" s="9" t="s">
        <v>232</v>
      </c>
      <c r="H2" s="9" t="s">
        <v>233</v>
      </c>
      <c r="I2" s="9" t="s">
        <v>234</v>
      </c>
      <c r="J2" s="9" t="s">
        <v>235</v>
      </c>
      <c r="K2" s="9" t="s">
        <v>236</v>
      </c>
      <c r="L2" s="9" t="s">
        <v>237</v>
      </c>
      <c r="M2" s="10" t="s">
        <v>238</v>
      </c>
      <c r="N2" s="16"/>
      <c r="O2" s="16"/>
      <c r="P2" s="16"/>
      <c r="Q2" s="16"/>
      <c r="R2" s="16"/>
      <c r="S2" s="16"/>
      <c r="T2" s="16"/>
    </row>
    <row r="3" spans="1:20" ht="76.5">
      <c r="A3" s="9"/>
      <c r="B3" s="9" t="s">
        <v>33</v>
      </c>
      <c r="C3" s="9" t="s">
        <v>34</v>
      </c>
      <c r="D3" s="9" t="s">
        <v>35</v>
      </c>
      <c r="E3" s="9">
        <v>2</v>
      </c>
      <c r="F3" s="9" t="s">
        <v>36</v>
      </c>
      <c r="G3" s="9" t="s">
        <v>232</v>
      </c>
      <c r="H3" s="9" t="s">
        <v>233</v>
      </c>
      <c r="I3" s="9" t="s">
        <v>234</v>
      </c>
      <c r="J3" s="9" t="s">
        <v>239</v>
      </c>
      <c r="K3" s="9" t="s">
        <v>240</v>
      </c>
      <c r="L3" s="9" t="s">
        <v>241</v>
      </c>
      <c r="M3" s="10" t="s">
        <v>238</v>
      </c>
      <c r="N3" s="16"/>
      <c r="O3" s="16"/>
      <c r="P3" s="16"/>
      <c r="Q3" s="16"/>
      <c r="R3" s="16"/>
      <c r="S3" s="16"/>
      <c r="T3" s="16"/>
    </row>
    <row r="4" spans="1:20" ht="63.75">
      <c r="A4" s="9"/>
      <c r="B4" s="9" t="s">
        <v>33</v>
      </c>
      <c r="C4" s="9" t="s">
        <v>34</v>
      </c>
      <c r="D4" s="9" t="s">
        <v>35</v>
      </c>
      <c r="E4" s="9">
        <v>3</v>
      </c>
      <c r="F4" s="9" t="s">
        <v>36</v>
      </c>
      <c r="G4" s="9" t="s">
        <v>232</v>
      </c>
      <c r="H4" s="9" t="s">
        <v>242</v>
      </c>
      <c r="I4" s="9" t="s">
        <v>243</v>
      </c>
      <c r="J4" s="9" t="s">
        <v>244</v>
      </c>
      <c r="K4" s="9" t="s">
        <v>245</v>
      </c>
      <c r="L4" s="9" t="s">
        <v>246</v>
      </c>
      <c r="M4" s="10" t="s">
        <v>238</v>
      </c>
      <c r="N4" s="16"/>
      <c r="O4" s="16"/>
      <c r="P4" s="16"/>
      <c r="Q4" s="16"/>
      <c r="R4" s="16"/>
      <c r="S4" s="16"/>
      <c r="T4" s="16"/>
    </row>
    <row r="5" spans="1:20" ht="89.25">
      <c r="A5" s="9"/>
      <c r="B5" s="9" t="s">
        <v>33</v>
      </c>
      <c r="C5" s="9" t="s">
        <v>34</v>
      </c>
      <c r="D5" s="9" t="s">
        <v>35</v>
      </c>
      <c r="E5" s="9">
        <v>4</v>
      </c>
      <c r="F5" s="9" t="s">
        <v>36</v>
      </c>
      <c r="G5" s="9" t="s">
        <v>232</v>
      </c>
      <c r="H5" s="9" t="s">
        <v>242</v>
      </c>
      <c r="I5" s="9" t="s">
        <v>243</v>
      </c>
      <c r="J5" s="9" t="s">
        <v>247</v>
      </c>
      <c r="K5" s="9" t="s">
        <v>248</v>
      </c>
      <c r="L5" s="9" t="s">
        <v>249</v>
      </c>
      <c r="M5" s="10" t="s">
        <v>238</v>
      </c>
      <c r="N5" s="16"/>
      <c r="O5" s="16"/>
      <c r="P5" s="16"/>
      <c r="Q5" s="16"/>
      <c r="R5" s="16"/>
      <c r="S5" s="16"/>
      <c r="T5" s="16"/>
    </row>
    <row r="6" spans="1:20" ht="89.25">
      <c r="A6" s="9"/>
      <c r="B6" s="9" t="s">
        <v>33</v>
      </c>
      <c r="C6" s="9" t="s">
        <v>34</v>
      </c>
      <c r="D6" s="9" t="s">
        <v>35</v>
      </c>
      <c r="E6" s="9">
        <v>5</v>
      </c>
      <c r="F6" s="9" t="s">
        <v>36</v>
      </c>
      <c r="G6" s="9" t="s">
        <v>232</v>
      </c>
      <c r="H6" s="9" t="s">
        <v>242</v>
      </c>
      <c r="I6" s="9" t="s">
        <v>250</v>
      </c>
      <c r="J6" s="9" t="s">
        <v>251</v>
      </c>
      <c r="K6" s="9" t="s">
        <v>252</v>
      </c>
      <c r="L6" s="9" t="s">
        <v>253</v>
      </c>
      <c r="M6" s="10" t="s">
        <v>254</v>
      </c>
      <c r="N6" s="16"/>
      <c r="O6" s="16"/>
      <c r="P6" s="16"/>
      <c r="Q6" s="16"/>
      <c r="R6" s="16"/>
      <c r="S6" s="16"/>
      <c r="T6" s="16"/>
    </row>
    <row r="7" spans="1:20" ht="89.25">
      <c r="A7" s="9"/>
      <c r="B7" s="9" t="s">
        <v>33</v>
      </c>
      <c r="C7" s="9" t="s">
        <v>34</v>
      </c>
      <c r="D7" s="9" t="s">
        <v>35</v>
      </c>
      <c r="E7" s="9">
        <v>6</v>
      </c>
      <c r="F7" s="9" t="s">
        <v>36</v>
      </c>
      <c r="G7" s="9" t="s">
        <v>232</v>
      </c>
      <c r="H7" s="9" t="s">
        <v>242</v>
      </c>
      <c r="I7" s="9" t="s">
        <v>255</v>
      </c>
      <c r="J7" s="9" t="s">
        <v>256</v>
      </c>
      <c r="K7" s="9" t="s">
        <v>257</v>
      </c>
      <c r="L7" s="9" t="s">
        <v>258</v>
      </c>
      <c r="M7" s="10" t="s">
        <v>254</v>
      </c>
      <c r="N7" s="16"/>
      <c r="O7" s="16"/>
      <c r="P7" s="16"/>
      <c r="Q7" s="16"/>
      <c r="R7" s="16"/>
      <c r="S7" s="16"/>
      <c r="T7" s="16"/>
    </row>
    <row r="8" spans="1:20" ht="89.25">
      <c r="A8" s="9"/>
      <c r="B8" s="9" t="s">
        <v>33</v>
      </c>
      <c r="C8" s="9" t="s">
        <v>34</v>
      </c>
      <c r="D8" s="9" t="s">
        <v>35</v>
      </c>
      <c r="E8" s="9">
        <v>7</v>
      </c>
      <c r="F8" s="9" t="s">
        <v>36</v>
      </c>
      <c r="G8" s="9" t="s">
        <v>232</v>
      </c>
      <c r="H8" s="9" t="s">
        <v>259</v>
      </c>
      <c r="I8" s="9" t="s">
        <v>260</v>
      </c>
      <c r="J8" s="9" t="s">
        <v>261</v>
      </c>
      <c r="K8" s="9" t="s">
        <v>262</v>
      </c>
      <c r="L8" s="9" t="s">
        <v>263</v>
      </c>
      <c r="M8" s="10" t="s">
        <v>254</v>
      </c>
      <c r="N8" s="16"/>
      <c r="O8" s="16"/>
      <c r="P8" s="16"/>
      <c r="Q8" s="16"/>
      <c r="R8" s="16"/>
      <c r="S8" s="16"/>
      <c r="T8" s="16"/>
    </row>
    <row r="9" spans="1:20" ht="89.25">
      <c r="A9" s="9"/>
      <c r="B9" s="9" t="s">
        <v>33</v>
      </c>
      <c r="C9" s="9" t="s">
        <v>34</v>
      </c>
      <c r="D9" s="9" t="s">
        <v>35</v>
      </c>
      <c r="E9" s="9">
        <v>8</v>
      </c>
      <c r="F9" s="9" t="s">
        <v>36</v>
      </c>
      <c r="G9" s="9" t="s">
        <v>232</v>
      </c>
      <c r="H9" s="9" t="s">
        <v>259</v>
      </c>
      <c r="I9" s="9" t="s">
        <v>260</v>
      </c>
      <c r="J9" s="9" t="s">
        <v>264</v>
      </c>
      <c r="K9" s="9" t="s">
        <v>265</v>
      </c>
      <c r="L9" s="9" t="s">
        <v>266</v>
      </c>
      <c r="M9" s="10" t="s">
        <v>254</v>
      </c>
      <c r="N9" s="16"/>
      <c r="O9" s="16"/>
      <c r="P9" s="16"/>
      <c r="Q9" s="16"/>
      <c r="R9" s="16"/>
      <c r="S9" s="16"/>
      <c r="T9" s="16"/>
    </row>
    <row r="10" spans="1:20" ht="76.5">
      <c r="A10" s="9"/>
      <c r="B10" s="9" t="s">
        <v>33</v>
      </c>
      <c r="C10" s="9" t="s">
        <v>34</v>
      </c>
      <c r="D10" s="9" t="s">
        <v>35</v>
      </c>
      <c r="E10" s="9">
        <v>9</v>
      </c>
      <c r="F10" s="9" t="s">
        <v>36</v>
      </c>
      <c r="G10" s="9" t="s">
        <v>232</v>
      </c>
      <c r="H10" s="9" t="s">
        <v>259</v>
      </c>
      <c r="I10" s="9" t="s">
        <v>267</v>
      </c>
      <c r="J10" s="9" t="s">
        <v>268</v>
      </c>
      <c r="K10" s="9" t="s">
        <v>269</v>
      </c>
      <c r="L10" s="9" t="s">
        <v>270</v>
      </c>
      <c r="M10" s="10" t="s">
        <v>271</v>
      </c>
      <c r="N10" s="16"/>
      <c r="O10" s="16"/>
      <c r="P10" s="16"/>
      <c r="Q10" s="16"/>
      <c r="R10" s="16"/>
      <c r="S10" s="16"/>
      <c r="T10" s="16"/>
    </row>
    <row r="11" spans="1:20" ht="63.75">
      <c r="A11" s="9"/>
      <c r="B11" s="9" t="s">
        <v>33</v>
      </c>
      <c r="C11" s="9" t="s">
        <v>34</v>
      </c>
      <c r="D11" s="9" t="s">
        <v>35</v>
      </c>
      <c r="E11" s="9">
        <v>10</v>
      </c>
      <c r="F11" s="9" t="s">
        <v>36</v>
      </c>
      <c r="G11" s="9" t="s">
        <v>232</v>
      </c>
      <c r="H11" s="9" t="s">
        <v>259</v>
      </c>
      <c r="I11" s="9" t="s">
        <v>267</v>
      </c>
      <c r="J11" s="9" t="s">
        <v>272</v>
      </c>
      <c r="K11" s="9" t="s">
        <v>273</v>
      </c>
      <c r="L11" s="9" t="s">
        <v>274</v>
      </c>
      <c r="M11" s="10" t="s">
        <v>271</v>
      </c>
      <c r="N11" s="16"/>
      <c r="O11" s="16"/>
      <c r="P11" s="16"/>
      <c r="Q11" s="16"/>
      <c r="R11" s="16"/>
      <c r="S11" s="16"/>
      <c r="T11" s="16"/>
    </row>
    <row r="12" spans="1:20" ht="89.25">
      <c r="A12" s="9"/>
      <c r="B12" s="9" t="s">
        <v>33</v>
      </c>
      <c r="C12" s="9" t="s">
        <v>34</v>
      </c>
      <c r="D12" s="9" t="s">
        <v>35</v>
      </c>
      <c r="E12" s="9">
        <v>11</v>
      </c>
      <c r="F12" s="9" t="s">
        <v>36</v>
      </c>
      <c r="G12" s="9" t="s">
        <v>232</v>
      </c>
      <c r="H12" s="9" t="s">
        <v>275</v>
      </c>
      <c r="I12" s="9" t="s">
        <v>276</v>
      </c>
      <c r="J12" s="9" t="s">
        <v>277</v>
      </c>
      <c r="K12" s="9" t="s">
        <v>278</v>
      </c>
      <c r="L12" s="9" t="s">
        <v>279</v>
      </c>
      <c r="M12" s="10" t="s">
        <v>280</v>
      </c>
      <c r="N12" s="16"/>
      <c r="O12" s="16"/>
      <c r="P12" s="16"/>
      <c r="Q12" s="16"/>
      <c r="R12" s="16"/>
      <c r="S12" s="16"/>
      <c r="T12" s="16"/>
    </row>
    <row r="13" spans="1:20" ht="89.25">
      <c r="A13" s="9"/>
      <c r="B13" s="9" t="s">
        <v>33</v>
      </c>
      <c r="C13" s="9" t="s">
        <v>34</v>
      </c>
      <c r="D13" s="9" t="s">
        <v>35</v>
      </c>
      <c r="E13" s="9">
        <v>12</v>
      </c>
      <c r="F13" s="9" t="s">
        <v>36</v>
      </c>
      <c r="G13" s="9" t="s">
        <v>232</v>
      </c>
      <c r="H13" s="9" t="s">
        <v>275</v>
      </c>
      <c r="I13" s="9" t="s">
        <v>276</v>
      </c>
      <c r="J13" s="9" t="s">
        <v>281</v>
      </c>
      <c r="K13" s="9" t="s">
        <v>282</v>
      </c>
      <c r="L13" s="9" t="s">
        <v>283</v>
      </c>
      <c r="M13" s="10" t="s">
        <v>280</v>
      </c>
      <c r="N13" s="16"/>
      <c r="O13" s="16"/>
      <c r="P13" s="16"/>
      <c r="Q13" s="16"/>
      <c r="R13" s="16"/>
      <c r="S13" s="16"/>
      <c r="T13" s="16"/>
    </row>
    <row r="14" spans="1:20" ht="76.5">
      <c r="A14" s="9"/>
      <c r="B14" s="9" t="s">
        <v>33</v>
      </c>
      <c r="C14" s="9" t="s">
        <v>34</v>
      </c>
      <c r="D14" s="9" t="s">
        <v>35</v>
      </c>
      <c r="E14" s="9">
        <v>13</v>
      </c>
      <c r="F14" s="9" t="s">
        <v>36</v>
      </c>
      <c r="G14" s="9" t="s">
        <v>232</v>
      </c>
      <c r="H14" s="9" t="s">
        <v>284</v>
      </c>
      <c r="I14" s="9" t="s">
        <v>285</v>
      </c>
      <c r="J14" s="9" t="s">
        <v>232</v>
      </c>
      <c r="K14" s="9" t="s">
        <v>286</v>
      </c>
      <c r="L14" s="9" t="s">
        <v>287</v>
      </c>
      <c r="M14" s="11"/>
      <c r="N14" s="16"/>
      <c r="O14" s="16"/>
      <c r="P14" s="16"/>
      <c r="Q14" s="16"/>
      <c r="R14" s="16"/>
      <c r="S14" s="16"/>
      <c r="T14" s="16"/>
    </row>
    <row r="15" spans="1:20" ht="114.75">
      <c r="A15" s="9"/>
      <c r="B15" s="9" t="s">
        <v>33</v>
      </c>
      <c r="C15" s="9" t="s">
        <v>34</v>
      </c>
      <c r="D15" s="9" t="s">
        <v>35</v>
      </c>
      <c r="E15" s="9">
        <v>14</v>
      </c>
      <c r="F15" s="9" t="s">
        <v>36</v>
      </c>
      <c r="G15" s="9" t="s">
        <v>232</v>
      </c>
      <c r="H15" s="9" t="s">
        <v>284</v>
      </c>
      <c r="I15" s="9" t="s">
        <v>285</v>
      </c>
      <c r="J15" s="9" t="s">
        <v>288</v>
      </c>
      <c r="K15" s="9" t="s">
        <v>289</v>
      </c>
      <c r="L15" s="9" t="s">
        <v>290</v>
      </c>
      <c r="M15" s="11"/>
      <c r="N15" s="16"/>
      <c r="O15" s="16"/>
      <c r="P15" s="16"/>
      <c r="Q15" s="16"/>
      <c r="R15" s="16"/>
      <c r="S15" s="16"/>
      <c r="T15" s="16"/>
    </row>
    <row r="16" spans="1:20" ht="12.75">
      <c r="A16" s="9"/>
      <c r="B16" s="9"/>
      <c r="C16" s="9"/>
      <c r="D16" s="9"/>
      <c r="E16" s="9"/>
      <c r="F16" s="9"/>
      <c r="G16" s="9"/>
      <c r="H16" s="9"/>
      <c r="I16" s="9"/>
      <c r="J16" s="9"/>
      <c r="K16" s="9"/>
      <c r="L16" s="9"/>
      <c r="M16" s="11"/>
      <c r="N16" s="16"/>
      <c r="O16" s="16"/>
      <c r="P16" s="16"/>
      <c r="Q16" s="16"/>
      <c r="R16" s="16"/>
      <c r="S16" s="16"/>
      <c r="T16" s="16"/>
    </row>
    <row r="17" spans="1:20" ht="89.25">
      <c r="A17" s="9"/>
      <c r="B17" s="9" t="s">
        <v>33</v>
      </c>
      <c r="C17" s="9" t="s">
        <v>34</v>
      </c>
      <c r="D17" s="9" t="s">
        <v>90</v>
      </c>
      <c r="E17" s="9">
        <v>1</v>
      </c>
      <c r="F17" s="9" t="s">
        <v>36</v>
      </c>
      <c r="G17" s="9" t="s">
        <v>291</v>
      </c>
      <c r="H17" s="9" t="s">
        <v>292</v>
      </c>
      <c r="I17" s="9" t="s">
        <v>293</v>
      </c>
      <c r="J17" s="9" t="s">
        <v>294</v>
      </c>
      <c r="K17" s="9" t="s">
        <v>295</v>
      </c>
      <c r="L17" s="9" t="s">
        <v>296</v>
      </c>
      <c r="M17" s="10" t="s">
        <v>294</v>
      </c>
      <c r="N17" s="16"/>
      <c r="O17" s="16"/>
      <c r="P17" s="16"/>
      <c r="Q17" s="16"/>
      <c r="R17" s="16"/>
      <c r="S17" s="16"/>
      <c r="T17" s="16"/>
    </row>
    <row r="18" spans="1:20" ht="102">
      <c r="A18" s="9"/>
      <c r="B18" s="9" t="s">
        <v>33</v>
      </c>
      <c r="C18" s="9" t="s">
        <v>34</v>
      </c>
      <c r="D18" s="9" t="s">
        <v>90</v>
      </c>
      <c r="E18" s="9">
        <v>2</v>
      </c>
      <c r="F18" s="9" t="s">
        <v>36</v>
      </c>
      <c r="G18" s="9" t="s">
        <v>291</v>
      </c>
      <c r="H18" s="9" t="s">
        <v>292</v>
      </c>
      <c r="I18" s="9" t="s">
        <v>293</v>
      </c>
      <c r="J18" s="9" t="s">
        <v>297</v>
      </c>
      <c r="K18" s="9" t="s">
        <v>298</v>
      </c>
      <c r="L18" s="9" t="s">
        <v>299</v>
      </c>
      <c r="M18" s="10" t="s">
        <v>294</v>
      </c>
      <c r="N18" s="16"/>
      <c r="O18" s="16"/>
      <c r="P18" s="16"/>
      <c r="Q18" s="16"/>
      <c r="R18" s="16"/>
      <c r="S18" s="16"/>
      <c r="T18" s="16"/>
    </row>
    <row r="19" spans="1:20" ht="102">
      <c r="A19" s="9"/>
      <c r="B19" s="9" t="s">
        <v>33</v>
      </c>
      <c r="C19" s="9" t="s">
        <v>34</v>
      </c>
      <c r="D19" s="9" t="s">
        <v>90</v>
      </c>
      <c r="E19" s="9">
        <v>3</v>
      </c>
      <c r="F19" s="9" t="s">
        <v>36</v>
      </c>
      <c r="G19" s="9" t="s">
        <v>291</v>
      </c>
      <c r="H19" s="9" t="s">
        <v>300</v>
      </c>
      <c r="I19" s="9" t="s">
        <v>301</v>
      </c>
      <c r="J19" s="9" t="s">
        <v>302</v>
      </c>
      <c r="K19" s="9" t="s">
        <v>303</v>
      </c>
      <c r="L19" s="9" t="s">
        <v>304</v>
      </c>
      <c r="M19" s="10" t="s">
        <v>294</v>
      </c>
      <c r="N19" s="16"/>
      <c r="O19" s="16"/>
      <c r="P19" s="16"/>
      <c r="Q19" s="16"/>
      <c r="R19" s="16"/>
      <c r="S19" s="16"/>
      <c r="T19" s="16"/>
    </row>
    <row r="20" spans="1:20" ht="102">
      <c r="A20" s="9"/>
      <c r="B20" s="9" t="s">
        <v>33</v>
      </c>
      <c r="C20" s="9" t="s">
        <v>34</v>
      </c>
      <c r="D20" s="9" t="s">
        <v>90</v>
      </c>
      <c r="E20" s="9">
        <v>4</v>
      </c>
      <c r="F20" s="9" t="s">
        <v>36</v>
      </c>
      <c r="G20" s="9" t="s">
        <v>291</v>
      </c>
      <c r="H20" s="9" t="s">
        <v>300</v>
      </c>
      <c r="I20" s="9" t="s">
        <v>301</v>
      </c>
      <c r="J20" s="9" t="s">
        <v>305</v>
      </c>
      <c r="K20" s="9" t="s">
        <v>306</v>
      </c>
      <c r="L20" s="9" t="s">
        <v>307</v>
      </c>
      <c r="M20" s="10" t="s">
        <v>294</v>
      </c>
      <c r="N20" s="16"/>
      <c r="O20" s="16"/>
      <c r="P20" s="16"/>
      <c r="Q20" s="16"/>
      <c r="R20" s="16"/>
      <c r="S20" s="16"/>
      <c r="T20" s="16"/>
    </row>
    <row r="21" spans="1:20" ht="76.5">
      <c r="A21" s="9"/>
      <c r="B21" s="9" t="s">
        <v>33</v>
      </c>
      <c r="C21" s="9" t="s">
        <v>34</v>
      </c>
      <c r="D21" s="9" t="s">
        <v>90</v>
      </c>
      <c r="E21" s="9">
        <v>5</v>
      </c>
      <c r="F21" s="9" t="s">
        <v>36</v>
      </c>
      <c r="G21" s="9" t="s">
        <v>291</v>
      </c>
      <c r="H21" s="9" t="s">
        <v>300</v>
      </c>
      <c r="I21" s="9" t="s">
        <v>308</v>
      </c>
      <c r="J21" s="9" t="s">
        <v>309</v>
      </c>
      <c r="K21" s="9" t="s">
        <v>310</v>
      </c>
      <c r="L21" s="9" t="s">
        <v>311</v>
      </c>
      <c r="M21" s="10" t="s">
        <v>312</v>
      </c>
      <c r="N21" s="16"/>
      <c r="O21" s="16"/>
      <c r="P21" s="16"/>
      <c r="Q21" s="16"/>
      <c r="R21" s="16"/>
      <c r="S21" s="16"/>
      <c r="T21" s="16"/>
    </row>
    <row r="22" spans="1:20" ht="76.5">
      <c r="A22" s="9"/>
      <c r="B22" s="9" t="s">
        <v>33</v>
      </c>
      <c r="C22" s="9" t="s">
        <v>34</v>
      </c>
      <c r="D22" s="9" t="s">
        <v>90</v>
      </c>
      <c r="E22" s="9">
        <v>6</v>
      </c>
      <c r="F22" s="9" t="s">
        <v>36</v>
      </c>
      <c r="G22" s="9" t="s">
        <v>291</v>
      </c>
      <c r="H22" s="9" t="s">
        <v>300</v>
      </c>
      <c r="I22" s="9" t="s">
        <v>308</v>
      </c>
      <c r="J22" s="9" t="s">
        <v>313</v>
      </c>
      <c r="K22" s="9" t="s">
        <v>314</v>
      </c>
      <c r="L22" s="9" t="s">
        <v>315</v>
      </c>
      <c r="M22" s="10" t="s">
        <v>312</v>
      </c>
      <c r="N22" s="16"/>
      <c r="O22" s="16"/>
      <c r="P22" s="16"/>
      <c r="Q22" s="16"/>
      <c r="R22" s="16"/>
      <c r="S22" s="16"/>
      <c r="T22" s="16"/>
    </row>
    <row r="23" spans="1:20" ht="89.25">
      <c r="A23" s="9"/>
      <c r="B23" s="9" t="s">
        <v>33</v>
      </c>
      <c r="C23" s="9" t="s">
        <v>34</v>
      </c>
      <c r="D23" s="9" t="s">
        <v>90</v>
      </c>
      <c r="E23" s="9">
        <v>7</v>
      </c>
      <c r="F23" s="9" t="s">
        <v>36</v>
      </c>
      <c r="G23" s="9" t="s">
        <v>291</v>
      </c>
      <c r="H23" s="9" t="s">
        <v>300</v>
      </c>
      <c r="I23" s="9" t="s">
        <v>316</v>
      </c>
      <c r="J23" s="9" t="s">
        <v>317</v>
      </c>
      <c r="K23" s="9" t="s">
        <v>318</v>
      </c>
      <c r="L23" s="9" t="s">
        <v>319</v>
      </c>
      <c r="M23" s="10" t="s">
        <v>312</v>
      </c>
      <c r="N23" s="16"/>
      <c r="O23" s="16"/>
      <c r="P23" s="16"/>
      <c r="Q23" s="16"/>
      <c r="R23" s="16"/>
      <c r="S23" s="16"/>
      <c r="T23" s="16"/>
    </row>
    <row r="24" spans="1:20" ht="89.25">
      <c r="A24" s="9"/>
      <c r="B24" s="9" t="s">
        <v>33</v>
      </c>
      <c r="C24" s="9" t="s">
        <v>34</v>
      </c>
      <c r="D24" s="9" t="s">
        <v>90</v>
      </c>
      <c r="E24" s="9">
        <v>8</v>
      </c>
      <c r="F24" s="9" t="s">
        <v>36</v>
      </c>
      <c r="G24" s="9" t="s">
        <v>291</v>
      </c>
      <c r="H24" s="9" t="s">
        <v>300</v>
      </c>
      <c r="I24" s="9" t="s">
        <v>316</v>
      </c>
      <c r="J24" s="9" t="s">
        <v>320</v>
      </c>
      <c r="K24" s="9" t="s">
        <v>321</v>
      </c>
      <c r="L24" s="9" t="s">
        <v>322</v>
      </c>
      <c r="M24" s="10" t="s">
        <v>312</v>
      </c>
      <c r="N24" s="16"/>
      <c r="O24" s="16"/>
      <c r="P24" s="16"/>
      <c r="Q24" s="16"/>
      <c r="R24" s="16"/>
      <c r="S24" s="16"/>
      <c r="T24" s="16"/>
    </row>
    <row r="25" spans="1:20" ht="89.25">
      <c r="A25" s="9"/>
      <c r="B25" s="9" t="s">
        <v>33</v>
      </c>
      <c r="C25" s="9" t="s">
        <v>34</v>
      </c>
      <c r="D25" s="9" t="s">
        <v>90</v>
      </c>
      <c r="E25" s="9">
        <v>9</v>
      </c>
      <c r="F25" s="9" t="s">
        <v>36</v>
      </c>
      <c r="G25" s="9" t="s">
        <v>291</v>
      </c>
      <c r="H25" s="9" t="s">
        <v>323</v>
      </c>
      <c r="I25" s="9" t="s">
        <v>324</v>
      </c>
      <c r="J25" s="9" t="s">
        <v>325</v>
      </c>
      <c r="K25" s="9" t="s">
        <v>326</v>
      </c>
      <c r="L25" s="9" t="s">
        <v>327</v>
      </c>
      <c r="M25" s="10" t="s">
        <v>328</v>
      </c>
      <c r="N25" s="16"/>
      <c r="O25" s="16"/>
      <c r="P25" s="16"/>
      <c r="Q25" s="16"/>
      <c r="R25" s="16"/>
      <c r="S25" s="16"/>
      <c r="T25" s="16"/>
    </row>
    <row r="26" spans="1:20" ht="89.25">
      <c r="A26" s="9"/>
      <c r="B26" s="9" t="s">
        <v>33</v>
      </c>
      <c r="C26" s="9" t="s">
        <v>34</v>
      </c>
      <c r="D26" s="9" t="s">
        <v>90</v>
      </c>
      <c r="E26" s="9">
        <v>10</v>
      </c>
      <c r="F26" s="9" t="s">
        <v>36</v>
      </c>
      <c r="G26" s="9" t="s">
        <v>291</v>
      </c>
      <c r="H26" s="9" t="s">
        <v>329</v>
      </c>
      <c r="I26" s="9" t="s">
        <v>324</v>
      </c>
      <c r="J26" s="9" t="s">
        <v>330</v>
      </c>
      <c r="K26" s="9" t="s">
        <v>331</v>
      </c>
      <c r="L26" s="9" t="s">
        <v>332</v>
      </c>
      <c r="M26" s="10" t="s">
        <v>328</v>
      </c>
      <c r="N26" s="16"/>
      <c r="O26" s="16"/>
      <c r="P26" s="16"/>
      <c r="Q26" s="16"/>
      <c r="R26" s="16"/>
      <c r="S26" s="16"/>
      <c r="T26" s="16"/>
    </row>
    <row r="27" spans="1:20" ht="89.25">
      <c r="A27" s="9"/>
      <c r="B27" s="9" t="s">
        <v>33</v>
      </c>
      <c r="C27" s="9" t="s">
        <v>34</v>
      </c>
      <c r="D27" s="9" t="s">
        <v>90</v>
      </c>
      <c r="E27" s="9">
        <v>11</v>
      </c>
      <c r="F27" s="9" t="s">
        <v>36</v>
      </c>
      <c r="G27" s="9" t="s">
        <v>291</v>
      </c>
      <c r="H27" s="9" t="s">
        <v>333</v>
      </c>
      <c r="I27" s="9" t="s">
        <v>334</v>
      </c>
      <c r="J27" s="9" t="s">
        <v>335</v>
      </c>
      <c r="K27" s="9" t="s">
        <v>336</v>
      </c>
      <c r="L27" s="9" t="s">
        <v>337</v>
      </c>
      <c r="M27" s="10" t="s">
        <v>328</v>
      </c>
      <c r="N27" s="16"/>
      <c r="O27" s="16"/>
      <c r="P27" s="16"/>
      <c r="Q27" s="16"/>
      <c r="R27" s="16"/>
      <c r="S27" s="16"/>
      <c r="T27" s="16"/>
    </row>
    <row r="28" spans="1:20" ht="89.25">
      <c r="A28" s="9"/>
      <c r="B28" s="9" t="s">
        <v>33</v>
      </c>
      <c r="C28" s="9" t="s">
        <v>34</v>
      </c>
      <c r="D28" s="9" t="s">
        <v>90</v>
      </c>
      <c r="E28" s="9">
        <v>12</v>
      </c>
      <c r="F28" s="9" t="s">
        <v>36</v>
      </c>
      <c r="G28" s="9" t="s">
        <v>291</v>
      </c>
      <c r="H28" s="9" t="s">
        <v>338</v>
      </c>
      <c r="I28" s="9" t="s">
        <v>334</v>
      </c>
      <c r="J28" s="9" t="s">
        <v>339</v>
      </c>
      <c r="K28" s="9" t="s">
        <v>340</v>
      </c>
      <c r="L28" s="9" t="s">
        <v>341</v>
      </c>
      <c r="M28" s="10" t="s">
        <v>328</v>
      </c>
      <c r="N28" s="16"/>
      <c r="O28" s="16"/>
      <c r="P28" s="16"/>
      <c r="Q28" s="16"/>
      <c r="R28" s="16"/>
      <c r="S28" s="16"/>
      <c r="T28" s="16"/>
    </row>
    <row r="29" spans="1:20" ht="76.5">
      <c r="A29" s="9" t="s">
        <v>342</v>
      </c>
      <c r="B29" s="9" t="s">
        <v>33</v>
      </c>
      <c r="C29" s="9" t="s">
        <v>34</v>
      </c>
      <c r="D29" s="9" t="s">
        <v>90</v>
      </c>
      <c r="E29" s="9">
        <v>13</v>
      </c>
      <c r="F29" s="9" t="s">
        <v>36</v>
      </c>
      <c r="G29" s="9" t="s">
        <v>291</v>
      </c>
      <c r="H29" s="9" t="s">
        <v>284</v>
      </c>
      <c r="I29" s="9" t="s">
        <v>285</v>
      </c>
      <c r="J29" s="9" t="s">
        <v>291</v>
      </c>
      <c r="K29" s="9" t="s">
        <v>343</v>
      </c>
      <c r="L29" s="9" t="s">
        <v>344</v>
      </c>
      <c r="M29" s="10" t="s">
        <v>328</v>
      </c>
      <c r="N29" s="16"/>
      <c r="O29" s="16"/>
      <c r="P29" s="16"/>
      <c r="Q29" s="16"/>
      <c r="R29" s="16"/>
      <c r="S29" s="16"/>
      <c r="T29" s="16"/>
    </row>
    <row r="30" spans="1:20" ht="114.75">
      <c r="A30" s="9" t="s">
        <v>342</v>
      </c>
      <c r="B30" s="9" t="s">
        <v>33</v>
      </c>
      <c r="C30" s="9" t="s">
        <v>34</v>
      </c>
      <c r="D30" s="9" t="s">
        <v>90</v>
      </c>
      <c r="E30" s="9">
        <v>14</v>
      </c>
      <c r="F30" s="9" t="s">
        <v>36</v>
      </c>
      <c r="G30" s="9" t="s">
        <v>291</v>
      </c>
      <c r="H30" s="9" t="s">
        <v>284</v>
      </c>
      <c r="I30" s="9" t="s">
        <v>285</v>
      </c>
      <c r="J30" s="9" t="s">
        <v>345</v>
      </c>
      <c r="K30" s="9" t="s">
        <v>289</v>
      </c>
      <c r="L30" s="9" t="s">
        <v>346</v>
      </c>
      <c r="M30" s="11"/>
      <c r="N30" s="16"/>
      <c r="O30" s="16"/>
      <c r="P30" s="16"/>
      <c r="Q30" s="16"/>
      <c r="R30" s="16"/>
      <c r="S30" s="16"/>
      <c r="T30" s="16"/>
    </row>
    <row r="31" spans="1:20" ht="89.25">
      <c r="A31" s="16"/>
      <c r="B31" s="17" t="s">
        <v>33</v>
      </c>
      <c r="C31" s="17" t="s">
        <v>34</v>
      </c>
      <c r="D31" s="17" t="s">
        <v>144</v>
      </c>
      <c r="E31" s="17">
        <v>1</v>
      </c>
      <c r="F31" s="17" t="s">
        <v>36</v>
      </c>
      <c r="G31" s="17" t="s">
        <v>347</v>
      </c>
      <c r="H31" s="17" t="s">
        <v>348</v>
      </c>
      <c r="I31" s="17" t="s">
        <v>349</v>
      </c>
      <c r="J31" s="17" t="s">
        <v>350</v>
      </c>
      <c r="K31" s="17" t="s">
        <v>351</v>
      </c>
      <c r="L31" s="17" t="s">
        <v>352</v>
      </c>
      <c r="M31" s="12" t="s">
        <v>353</v>
      </c>
      <c r="N31" s="16"/>
      <c r="O31" s="16"/>
      <c r="P31" s="16"/>
      <c r="Q31" s="16"/>
      <c r="R31" s="16"/>
      <c r="S31" s="16"/>
      <c r="T31" s="16"/>
    </row>
    <row r="32" spans="1:20" ht="89.25">
      <c r="A32" s="16"/>
      <c r="B32" s="17" t="s">
        <v>33</v>
      </c>
      <c r="C32" s="17" t="s">
        <v>34</v>
      </c>
      <c r="D32" s="17" t="s">
        <v>144</v>
      </c>
      <c r="E32" s="17">
        <v>2</v>
      </c>
      <c r="F32" s="17" t="s">
        <v>36</v>
      </c>
      <c r="G32" s="17" t="s">
        <v>347</v>
      </c>
      <c r="H32" s="17" t="s">
        <v>348</v>
      </c>
      <c r="I32" s="17" t="s">
        <v>349</v>
      </c>
      <c r="J32" s="17" t="s">
        <v>354</v>
      </c>
      <c r="K32" s="17" t="s">
        <v>355</v>
      </c>
      <c r="L32" s="17" t="s">
        <v>356</v>
      </c>
      <c r="M32" s="12" t="s">
        <v>353</v>
      </c>
      <c r="N32" s="16"/>
      <c r="O32" s="16"/>
      <c r="P32" s="16"/>
      <c r="Q32" s="16"/>
      <c r="R32" s="16"/>
      <c r="S32" s="16"/>
      <c r="T32" s="16"/>
    </row>
    <row r="33" spans="1:20" ht="76.5">
      <c r="A33" s="16"/>
      <c r="B33" s="17" t="s">
        <v>33</v>
      </c>
      <c r="C33" s="17" t="s">
        <v>34</v>
      </c>
      <c r="D33" s="17" t="s">
        <v>144</v>
      </c>
      <c r="E33" s="17">
        <v>3</v>
      </c>
      <c r="F33" s="17" t="s">
        <v>36</v>
      </c>
      <c r="G33" s="17" t="s">
        <v>347</v>
      </c>
      <c r="H33" s="17" t="s">
        <v>348</v>
      </c>
      <c r="I33" s="17" t="s">
        <v>357</v>
      </c>
      <c r="J33" s="17" t="s">
        <v>358</v>
      </c>
      <c r="K33" s="17" t="s">
        <v>359</v>
      </c>
      <c r="L33" s="17" t="s">
        <v>360</v>
      </c>
      <c r="M33" s="12" t="s">
        <v>353</v>
      </c>
      <c r="N33" s="16"/>
      <c r="O33" s="16"/>
      <c r="P33" s="16"/>
      <c r="Q33" s="16"/>
      <c r="R33" s="16"/>
      <c r="S33" s="16"/>
      <c r="T33" s="16"/>
    </row>
    <row r="34" spans="1:20" ht="89.25">
      <c r="A34" s="16"/>
      <c r="B34" s="17" t="s">
        <v>33</v>
      </c>
      <c r="C34" s="17" t="s">
        <v>34</v>
      </c>
      <c r="D34" s="17" t="s">
        <v>144</v>
      </c>
      <c r="E34" s="17">
        <v>4</v>
      </c>
      <c r="F34" s="17" t="s">
        <v>36</v>
      </c>
      <c r="G34" s="17" t="s">
        <v>347</v>
      </c>
      <c r="H34" s="17" t="s">
        <v>348</v>
      </c>
      <c r="I34" s="17" t="s">
        <v>357</v>
      </c>
      <c r="J34" s="17" t="s">
        <v>361</v>
      </c>
      <c r="K34" s="17" t="s">
        <v>362</v>
      </c>
      <c r="L34" s="17" t="s">
        <v>363</v>
      </c>
      <c r="M34" s="12" t="s">
        <v>353</v>
      </c>
      <c r="N34" s="16"/>
      <c r="O34" s="16"/>
      <c r="P34" s="16"/>
      <c r="Q34" s="16"/>
      <c r="R34" s="16"/>
      <c r="S34" s="16"/>
      <c r="T34" s="16"/>
    </row>
    <row r="35" spans="1:20" ht="76.5">
      <c r="A35" s="16"/>
      <c r="B35" s="17" t="s">
        <v>33</v>
      </c>
      <c r="C35" s="17" t="s">
        <v>34</v>
      </c>
      <c r="D35" s="17" t="s">
        <v>144</v>
      </c>
      <c r="E35" s="17">
        <v>5</v>
      </c>
      <c r="F35" s="17" t="s">
        <v>36</v>
      </c>
      <c r="G35" s="17" t="s">
        <v>347</v>
      </c>
      <c r="H35" s="17" t="s">
        <v>364</v>
      </c>
      <c r="I35" s="17" t="s">
        <v>365</v>
      </c>
      <c r="J35" s="17" t="s">
        <v>366</v>
      </c>
      <c r="K35" s="17" t="s">
        <v>367</v>
      </c>
      <c r="L35" s="17" t="s">
        <v>368</v>
      </c>
      <c r="M35" s="12" t="s">
        <v>369</v>
      </c>
      <c r="N35" s="16"/>
      <c r="O35" s="16"/>
      <c r="P35" s="16"/>
      <c r="Q35" s="16"/>
      <c r="R35" s="16"/>
      <c r="S35" s="16"/>
      <c r="T35" s="16"/>
    </row>
    <row r="36" spans="1:20" ht="89.25">
      <c r="A36" s="16"/>
      <c r="B36" s="17" t="s">
        <v>33</v>
      </c>
      <c r="C36" s="17" t="s">
        <v>34</v>
      </c>
      <c r="D36" s="17" t="s">
        <v>144</v>
      </c>
      <c r="E36" s="17">
        <v>6</v>
      </c>
      <c r="F36" s="17" t="s">
        <v>36</v>
      </c>
      <c r="G36" s="17" t="s">
        <v>347</v>
      </c>
      <c r="H36" s="17" t="s">
        <v>364</v>
      </c>
      <c r="I36" s="17" t="s">
        <v>365</v>
      </c>
      <c r="J36" s="17" t="s">
        <v>370</v>
      </c>
      <c r="K36" s="17" t="s">
        <v>371</v>
      </c>
      <c r="L36" s="17" t="s">
        <v>372</v>
      </c>
      <c r="M36" s="12" t="s">
        <v>369</v>
      </c>
      <c r="N36" s="16"/>
      <c r="O36" s="16"/>
      <c r="P36" s="16"/>
      <c r="Q36" s="16"/>
      <c r="R36" s="16"/>
      <c r="S36" s="16"/>
      <c r="T36" s="16"/>
    </row>
    <row r="37" spans="1:20" ht="89.25">
      <c r="A37" s="16"/>
      <c r="B37" s="17" t="s">
        <v>33</v>
      </c>
      <c r="C37" s="17" t="s">
        <v>34</v>
      </c>
      <c r="D37" s="17" t="s">
        <v>144</v>
      </c>
      <c r="E37" s="17">
        <v>7</v>
      </c>
      <c r="F37" s="17" t="s">
        <v>36</v>
      </c>
      <c r="G37" s="17" t="s">
        <v>347</v>
      </c>
      <c r="H37" s="17" t="s">
        <v>364</v>
      </c>
      <c r="I37" s="17" t="s">
        <v>373</v>
      </c>
      <c r="J37" s="17" t="s">
        <v>374</v>
      </c>
      <c r="K37" s="17" t="s">
        <v>375</v>
      </c>
      <c r="L37" s="17" t="s">
        <v>376</v>
      </c>
      <c r="M37" s="12" t="s">
        <v>369</v>
      </c>
      <c r="N37" s="16"/>
      <c r="O37" s="16"/>
      <c r="P37" s="16"/>
      <c r="Q37" s="16"/>
      <c r="R37" s="16"/>
      <c r="S37" s="16"/>
      <c r="T37" s="16"/>
    </row>
    <row r="38" spans="1:20" ht="102">
      <c r="A38" s="16"/>
      <c r="B38" s="17" t="s">
        <v>33</v>
      </c>
      <c r="C38" s="17" t="s">
        <v>34</v>
      </c>
      <c r="D38" s="17" t="s">
        <v>144</v>
      </c>
      <c r="E38" s="17">
        <v>8</v>
      </c>
      <c r="F38" s="17" t="s">
        <v>36</v>
      </c>
      <c r="G38" s="17" t="s">
        <v>347</v>
      </c>
      <c r="H38" s="17" t="s">
        <v>364</v>
      </c>
      <c r="I38" s="17" t="s">
        <v>373</v>
      </c>
      <c r="J38" s="17" t="s">
        <v>377</v>
      </c>
      <c r="K38" s="17" t="s">
        <v>378</v>
      </c>
      <c r="L38" s="17" t="s">
        <v>379</v>
      </c>
      <c r="M38" s="12" t="s">
        <v>369</v>
      </c>
      <c r="N38" s="16"/>
      <c r="O38" s="16"/>
      <c r="P38" s="16"/>
      <c r="Q38" s="16"/>
      <c r="R38" s="16"/>
      <c r="S38" s="16"/>
      <c r="T38" s="16"/>
    </row>
    <row r="39" spans="1:20" ht="89.25">
      <c r="A39" s="16"/>
      <c r="B39" s="17" t="s">
        <v>33</v>
      </c>
      <c r="C39" s="17" t="s">
        <v>34</v>
      </c>
      <c r="D39" s="17" t="s">
        <v>144</v>
      </c>
      <c r="E39" s="17">
        <v>9</v>
      </c>
      <c r="F39" s="17" t="s">
        <v>36</v>
      </c>
      <c r="G39" s="17" t="s">
        <v>347</v>
      </c>
      <c r="H39" s="17" t="s">
        <v>380</v>
      </c>
      <c r="I39" s="17" t="s">
        <v>381</v>
      </c>
      <c r="J39" s="17" t="s">
        <v>382</v>
      </c>
      <c r="K39" s="17" t="s">
        <v>383</v>
      </c>
      <c r="L39" s="17" t="s">
        <v>384</v>
      </c>
      <c r="M39" s="12" t="s">
        <v>369</v>
      </c>
      <c r="N39" s="16"/>
      <c r="O39" s="16"/>
      <c r="P39" s="16"/>
      <c r="Q39" s="16"/>
      <c r="R39" s="16"/>
      <c r="S39" s="16"/>
      <c r="T39" s="16"/>
    </row>
    <row r="40" spans="1:20" ht="89.25">
      <c r="A40" s="16"/>
      <c r="B40" s="17" t="s">
        <v>33</v>
      </c>
      <c r="C40" s="17" t="s">
        <v>34</v>
      </c>
      <c r="D40" s="17" t="s">
        <v>144</v>
      </c>
      <c r="E40" s="17">
        <v>10</v>
      </c>
      <c r="F40" s="17" t="s">
        <v>36</v>
      </c>
      <c r="G40" s="17" t="s">
        <v>347</v>
      </c>
      <c r="H40" s="17" t="s">
        <v>380</v>
      </c>
      <c r="I40" s="17" t="s">
        <v>381</v>
      </c>
      <c r="J40" s="17" t="s">
        <v>385</v>
      </c>
      <c r="K40" s="17" t="s">
        <v>386</v>
      </c>
      <c r="L40" s="17" t="s">
        <v>387</v>
      </c>
      <c r="M40" s="12" t="s">
        <v>369</v>
      </c>
      <c r="N40" s="16"/>
      <c r="O40" s="16"/>
      <c r="P40" s="16"/>
      <c r="Q40" s="16"/>
      <c r="R40" s="16"/>
      <c r="S40" s="16"/>
      <c r="T40" s="16"/>
    </row>
    <row r="41" spans="1:20" ht="76.5">
      <c r="A41" s="16"/>
      <c r="B41" s="17" t="s">
        <v>33</v>
      </c>
      <c r="C41" s="17" t="s">
        <v>34</v>
      </c>
      <c r="D41" s="17" t="s">
        <v>144</v>
      </c>
      <c r="E41" s="17">
        <v>11</v>
      </c>
      <c r="F41" s="17" t="s">
        <v>36</v>
      </c>
      <c r="G41" s="17" t="s">
        <v>347</v>
      </c>
      <c r="H41" s="17" t="s">
        <v>284</v>
      </c>
      <c r="I41" s="17" t="s">
        <v>285</v>
      </c>
      <c r="J41" s="17" t="s">
        <v>347</v>
      </c>
      <c r="K41" s="17" t="s">
        <v>286</v>
      </c>
      <c r="L41" s="17" t="s">
        <v>344</v>
      </c>
      <c r="M41" s="11"/>
      <c r="N41" s="16"/>
      <c r="O41" s="16"/>
      <c r="P41" s="16"/>
      <c r="Q41" s="16"/>
      <c r="R41" s="16"/>
      <c r="S41" s="16"/>
      <c r="T41" s="16"/>
    </row>
    <row r="42" spans="1:20" ht="114.75">
      <c r="A42" s="16"/>
      <c r="B42" s="17" t="s">
        <v>33</v>
      </c>
      <c r="C42" s="17" t="s">
        <v>34</v>
      </c>
      <c r="D42" s="17" t="s">
        <v>144</v>
      </c>
      <c r="E42" s="17">
        <v>12</v>
      </c>
      <c r="F42" s="17" t="s">
        <v>36</v>
      </c>
      <c r="G42" s="17" t="s">
        <v>347</v>
      </c>
      <c r="H42" s="17" t="s">
        <v>284</v>
      </c>
      <c r="I42" s="17" t="s">
        <v>285</v>
      </c>
      <c r="J42" s="17" t="s">
        <v>388</v>
      </c>
      <c r="K42" s="17" t="s">
        <v>289</v>
      </c>
      <c r="L42" s="17" t="s">
        <v>389</v>
      </c>
      <c r="M42" s="11"/>
      <c r="N42" s="16"/>
      <c r="O42" s="16"/>
      <c r="P42" s="16"/>
      <c r="Q42" s="16"/>
      <c r="R42" s="16"/>
      <c r="S42" s="16"/>
      <c r="T42" s="16"/>
    </row>
    <row r="43" spans="1:20" ht="102">
      <c r="A43" s="16"/>
      <c r="B43" s="17" t="s">
        <v>33</v>
      </c>
      <c r="C43" s="17" t="s">
        <v>34</v>
      </c>
      <c r="D43" s="17" t="s">
        <v>188</v>
      </c>
      <c r="E43" s="17">
        <v>1</v>
      </c>
      <c r="F43" s="17" t="s">
        <v>36</v>
      </c>
      <c r="G43" s="17" t="s">
        <v>390</v>
      </c>
      <c r="H43" s="17" t="s">
        <v>391</v>
      </c>
      <c r="I43" s="17" t="s">
        <v>392</v>
      </c>
      <c r="J43" s="17" t="s">
        <v>393</v>
      </c>
      <c r="K43" s="17" t="s">
        <v>394</v>
      </c>
      <c r="L43" s="17" t="s">
        <v>395</v>
      </c>
      <c r="M43" s="12" t="s">
        <v>396</v>
      </c>
      <c r="N43" s="16"/>
      <c r="O43" s="16"/>
      <c r="P43" s="16"/>
      <c r="Q43" s="16"/>
      <c r="R43" s="16"/>
      <c r="S43" s="16"/>
      <c r="T43" s="16"/>
    </row>
    <row r="44" spans="1:20" ht="89.25">
      <c r="A44" s="16"/>
      <c r="B44" s="17" t="s">
        <v>33</v>
      </c>
      <c r="C44" s="17" t="s">
        <v>34</v>
      </c>
      <c r="D44" s="17" t="s">
        <v>188</v>
      </c>
      <c r="E44" s="17">
        <v>2</v>
      </c>
      <c r="F44" s="17" t="s">
        <v>36</v>
      </c>
      <c r="G44" s="17" t="s">
        <v>390</v>
      </c>
      <c r="H44" s="17" t="s">
        <v>391</v>
      </c>
      <c r="I44" s="17" t="s">
        <v>392</v>
      </c>
      <c r="J44" s="17" t="s">
        <v>397</v>
      </c>
      <c r="K44" s="17" t="s">
        <v>398</v>
      </c>
      <c r="L44" s="17" t="s">
        <v>399</v>
      </c>
      <c r="M44" s="12" t="s">
        <v>396</v>
      </c>
      <c r="N44" s="16"/>
      <c r="O44" s="16"/>
      <c r="P44" s="16"/>
      <c r="Q44" s="16"/>
      <c r="R44" s="16"/>
      <c r="S44" s="16"/>
      <c r="T44" s="16"/>
    </row>
    <row r="45" spans="1:20" ht="89.25">
      <c r="A45" s="16"/>
      <c r="B45" s="17" t="s">
        <v>33</v>
      </c>
      <c r="C45" s="17" t="s">
        <v>34</v>
      </c>
      <c r="D45" s="17" t="s">
        <v>188</v>
      </c>
      <c r="E45" s="17">
        <v>3</v>
      </c>
      <c r="F45" s="17" t="s">
        <v>36</v>
      </c>
      <c r="G45" s="17" t="s">
        <v>390</v>
      </c>
      <c r="H45" s="17" t="s">
        <v>400</v>
      </c>
      <c r="I45" s="17" t="s">
        <v>401</v>
      </c>
      <c r="J45" s="17" t="s">
        <v>402</v>
      </c>
      <c r="K45" s="17" t="s">
        <v>403</v>
      </c>
      <c r="L45" s="17" t="s">
        <v>404</v>
      </c>
      <c r="M45" s="12" t="s">
        <v>405</v>
      </c>
      <c r="N45" s="16"/>
      <c r="O45" s="16"/>
      <c r="P45" s="16"/>
      <c r="Q45" s="16"/>
      <c r="R45" s="16"/>
      <c r="S45" s="16"/>
      <c r="T45" s="16"/>
    </row>
    <row r="46" spans="1:20" ht="89.25">
      <c r="A46" s="16"/>
      <c r="B46" s="17" t="s">
        <v>33</v>
      </c>
      <c r="C46" s="17" t="s">
        <v>34</v>
      </c>
      <c r="D46" s="17" t="s">
        <v>188</v>
      </c>
      <c r="E46" s="17">
        <v>4</v>
      </c>
      <c r="F46" s="17" t="s">
        <v>36</v>
      </c>
      <c r="G46" s="17" t="s">
        <v>390</v>
      </c>
      <c r="H46" s="17" t="s">
        <v>400</v>
      </c>
      <c r="I46" s="17" t="s">
        <v>401</v>
      </c>
      <c r="J46" s="17" t="s">
        <v>406</v>
      </c>
      <c r="K46" s="17" t="s">
        <v>407</v>
      </c>
      <c r="L46" s="17" t="s">
        <v>408</v>
      </c>
      <c r="M46" s="12" t="s">
        <v>405</v>
      </c>
      <c r="N46" s="16"/>
      <c r="O46" s="16"/>
      <c r="P46" s="16"/>
      <c r="Q46" s="16"/>
      <c r="R46" s="16"/>
      <c r="S46" s="16"/>
      <c r="T46" s="16"/>
    </row>
    <row r="47" spans="1:20" ht="89.25">
      <c r="A47" s="16"/>
      <c r="B47" s="17" t="s">
        <v>33</v>
      </c>
      <c r="C47" s="17" t="s">
        <v>34</v>
      </c>
      <c r="D47" s="17" t="s">
        <v>188</v>
      </c>
      <c r="E47" s="17">
        <v>5</v>
      </c>
      <c r="F47" s="17" t="s">
        <v>36</v>
      </c>
      <c r="G47" s="17" t="s">
        <v>390</v>
      </c>
      <c r="H47" s="17" t="s">
        <v>400</v>
      </c>
      <c r="I47" s="17" t="s">
        <v>409</v>
      </c>
      <c r="J47" s="17" t="s">
        <v>410</v>
      </c>
      <c r="K47" s="17" t="s">
        <v>411</v>
      </c>
      <c r="L47" s="17" t="s">
        <v>412</v>
      </c>
      <c r="M47" s="12" t="s">
        <v>413</v>
      </c>
      <c r="N47" s="16"/>
      <c r="O47" s="16"/>
      <c r="P47" s="16"/>
      <c r="Q47" s="16"/>
      <c r="R47" s="16"/>
      <c r="S47" s="16"/>
      <c r="T47" s="16"/>
    </row>
    <row r="48" spans="1:20" ht="89.25">
      <c r="A48" s="16"/>
      <c r="B48" s="17" t="s">
        <v>33</v>
      </c>
      <c r="C48" s="17" t="s">
        <v>34</v>
      </c>
      <c r="D48" s="17" t="s">
        <v>188</v>
      </c>
      <c r="E48" s="17">
        <v>6</v>
      </c>
      <c r="F48" s="17" t="s">
        <v>36</v>
      </c>
      <c r="G48" s="17" t="s">
        <v>390</v>
      </c>
      <c r="H48" s="17" t="s">
        <v>400</v>
      </c>
      <c r="I48" s="17" t="s">
        <v>409</v>
      </c>
      <c r="J48" s="17" t="s">
        <v>414</v>
      </c>
      <c r="K48" s="17" t="s">
        <v>415</v>
      </c>
      <c r="L48" s="17" t="s">
        <v>416</v>
      </c>
      <c r="M48" s="12" t="s">
        <v>413</v>
      </c>
      <c r="N48" s="16"/>
      <c r="O48" s="16"/>
      <c r="P48" s="16"/>
      <c r="Q48" s="16"/>
      <c r="R48" s="16"/>
      <c r="S48" s="16"/>
      <c r="T48" s="16"/>
    </row>
    <row r="49" spans="1:20" ht="89.25">
      <c r="A49" s="16"/>
      <c r="B49" s="17" t="s">
        <v>33</v>
      </c>
      <c r="C49" s="17" t="s">
        <v>34</v>
      </c>
      <c r="D49" s="17" t="s">
        <v>188</v>
      </c>
      <c r="E49" s="17">
        <v>7</v>
      </c>
      <c r="F49" s="17" t="s">
        <v>36</v>
      </c>
      <c r="G49" s="17" t="s">
        <v>390</v>
      </c>
      <c r="H49" s="17" t="s">
        <v>417</v>
      </c>
      <c r="I49" s="17" t="s">
        <v>418</v>
      </c>
      <c r="J49" s="17" t="s">
        <v>419</v>
      </c>
      <c r="K49" s="17" t="s">
        <v>420</v>
      </c>
      <c r="L49" s="17" t="s">
        <v>421</v>
      </c>
      <c r="M49" s="12" t="s">
        <v>413</v>
      </c>
      <c r="N49" s="16"/>
      <c r="O49" s="16"/>
      <c r="P49" s="16"/>
      <c r="Q49" s="16"/>
      <c r="R49" s="16"/>
      <c r="S49" s="16"/>
      <c r="T49" s="16"/>
    </row>
    <row r="50" spans="1:20" ht="76.5">
      <c r="A50" s="16"/>
      <c r="B50" s="17" t="s">
        <v>33</v>
      </c>
      <c r="C50" s="17" t="s">
        <v>34</v>
      </c>
      <c r="D50" s="17" t="s">
        <v>188</v>
      </c>
      <c r="E50" s="17">
        <v>8</v>
      </c>
      <c r="F50" s="17" t="s">
        <v>36</v>
      </c>
      <c r="G50" s="17" t="s">
        <v>390</v>
      </c>
      <c r="H50" s="17" t="s">
        <v>417</v>
      </c>
      <c r="I50" s="17" t="s">
        <v>418</v>
      </c>
      <c r="J50" s="17" t="s">
        <v>422</v>
      </c>
      <c r="K50" s="17" t="s">
        <v>423</v>
      </c>
      <c r="L50" s="17" t="s">
        <v>424</v>
      </c>
      <c r="M50" s="12" t="s">
        <v>413</v>
      </c>
      <c r="N50" s="16"/>
      <c r="O50" s="16"/>
      <c r="P50" s="16"/>
      <c r="Q50" s="16"/>
      <c r="R50" s="16"/>
      <c r="S50" s="16"/>
      <c r="T50" s="16"/>
    </row>
    <row r="51" spans="1:20" ht="102">
      <c r="A51" s="16"/>
      <c r="B51" s="17" t="s">
        <v>33</v>
      </c>
      <c r="C51" s="17" t="s">
        <v>34</v>
      </c>
      <c r="D51" s="17" t="s">
        <v>188</v>
      </c>
      <c r="E51" s="17">
        <v>9</v>
      </c>
      <c r="F51" s="17" t="s">
        <v>36</v>
      </c>
      <c r="G51" s="17" t="s">
        <v>390</v>
      </c>
      <c r="H51" s="17" t="s">
        <v>425</v>
      </c>
      <c r="I51" s="17" t="s">
        <v>426</v>
      </c>
      <c r="J51" s="17" t="s">
        <v>427</v>
      </c>
      <c r="K51" s="17" t="s">
        <v>428</v>
      </c>
      <c r="L51" s="17" t="s">
        <v>429</v>
      </c>
      <c r="M51" s="12" t="s">
        <v>430</v>
      </c>
      <c r="N51" s="16"/>
      <c r="O51" s="16"/>
      <c r="P51" s="16"/>
      <c r="Q51" s="16"/>
      <c r="R51" s="16"/>
      <c r="S51" s="16"/>
      <c r="T51" s="16"/>
    </row>
    <row r="52" spans="1:20" ht="89.25">
      <c r="A52" s="16"/>
      <c r="B52" s="17" t="s">
        <v>33</v>
      </c>
      <c r="C52" s="17" t="s">
        <v>34</v>
      </c>
      <c r="D52" s="17" t="s">
        <v>188</v>
      </c>
      <c r="E52" s="17">
        <v>10</v>
      </c>
      <c r="F52" s="17" t="s">
        <v>36</v>
      </c>
      <c r="G52" s="17" t="s">
        <v>390</v>
      </c>
      <c r="H52" s="17" t="s">
        <v>425</v>
      </c>
      <c r="I52" s="17" t="s">
        <v>426</v>
      </c>
      <c r="J52" s="17" t="s">
        <v>431</v>
      </c>
      <c r="K52" s="17" t="s">
        <v>432</v>
      </c>
      <c r="L52" s="17" t="s">
        <v>433</v>
      </c>
      <c r="M52" s="12" t="s">
        <v>430</v>
      </c>
      <c r="N52" s="16"/>
      <c r="O52" s="16"/>
      <c r="P52" s="16"/>
      <c r="Q52" s="16"/>
      <c r="R52" s="16"/>
      <c r="S52" s="16"/>
      <c r="T52" s="16"/>
    </row>
    <row r="53" spans="1:20" ht="76.5">
      <c r="A53" s="16"/>
      <c r="B53" s="17" t="s">
        <v>33</v>
      </c>
      <c r="C53" s="17" t="s">
        <v>34</v>
      </c>
      <c r="D53" s="17" t="s">
        <v>188</v>
      </c>
      <c r="E53" s="17">
        <v>11</v>
      </c>
      <c r="F53" s="17" t="s">
        <v>36</v>
      </c>
      <c r="G53" s="17" t="s">
        <v>390</v>
      </c>
      <c r="H53" s="17" t="s">
        <v>284</v>
      </c>
      <c r="I53" s="17" t="s">
        <v>285</v>
      </c>
      <c r="J53" s="17" t="s">
        <v>434</v>
      </c>
      <c r="K53" s="17" t="s">
        <v>286</v>
      </c>
      <c r="L53" s="17" t="s">
        <v>435</v>
      </c>
      <c r="M53" s="11"/>
      <c r="N53" s="16"/>
      <c r="O53" s="16"/>
      <c r="P53" s="16"/>
      <c r="Q53" s="16"/>
      <c r="R53" s="16"/>
      <c r="S53" s="16"/>
      <c r="T53" s="16"/>
    </row>
    <row r="54" spans="1:20" ht="114.75">
      <c r="A54" s="16"/>
      <c r="B54" s="17" t="s">
        <v>33</v>
      </c>
      <c r="C54" s="17" t="s">
        <v>34</v>
      </c>
      <c r="D54" s="17" t="s">
        <v>188</v>
      </c>
      <c r="E54" s="17">
        <v>12</v>
      </c>
      <c r="F54" s="17" t="s">
        <v>36</v>
      </c>
      <c r="G54" s="17" t="s">
        <v>390</v>
      </c>
      <c r="H54" s="17" t="s">
        <v>284</v>
      </c>
      <c r="I54" s="17" t="s">
        <v>285</v>
      </c>
      <c r="J54" s="17" t="s">
        <v>436</v>
      </c>
      <c r="K54" s="17" t="s">
        <v>289</v>
      </c>
      <c r="L54" s="17" t="s">
        <v>389</v>
      </c>
      <c r="M54" s="11"/>
      <c r="N54" s="16"/>
      <c r="O54" s="16"/>
      <c r="P54" s="16"/>
      <c r="Q54" s="16"/>
      <c r="R54" s="16"/>
      <c r="S54" s="16"/>
      <c r="T54" s="16"/>
    </row>
  </sheetData>
  <autoFilter ref="A1:T15"/>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sheetPr>
    <tabColor rgb="FFFFBFFC"/>
  </sheetPr>
  <dimension ref="A1:M53"/>
  <sheetViews>
    <sheetView workbookViewId="0">
      <pane ySplit="1" topLeftCell="A2" activePane="bottomLeft" state="frozen"/>
      <selection pane="bottomLeft" activeCell="B3" sqref="B3"/>
    </sheetView>
  </sheetViews>
  <sheetFormatPr defaultColWidth="12.5703125" defaultRowHeight="15" customHeight="1"/>
  <cols>
    <col min="1" max="1" width="18" customWidth="1"/>
    <col min="2" max="2" width="11.140625" customWidth="1"/>
    <col min="3" max="3" width="8.42578125" customWidth="1"/>
    <col min="4" max="4" width="12.140625" customWidth="1"/>
    <col min="5" max="5" width="8.140625" customWidth="1"/>
    <col min="6" max="6" width="15.28515625" customWidth="1"/>
    <col min="7" max="7" width="21.140625" customWidth="1"/>
    <col min="8" max="8" width="28.28515625" customWidth="1"/>
    <col min="9" max="9" width="24" customWidth="1"/>
    <col min="10" max="10" width="21.7109375" customWidth="1"/>
    <col min="11" max="11" width="28.42578125" customWidth="1"/>
    <col min="12" max="13" width="50.85546875" customWidth="1"/>
  </cols>
  <sheetData>
    <row r="1" spans="1:13" ht="27" customHeight="1">
      <c r="A1" s="13" t="s">
        <v>20</v>
      </c>
      <c r="B1" s="14" t="s">
        <v>21</v>
      </c>
      <c r="C1" s="13" t="s">
        <v>22</v>
      </c>
      <c r="D1" s="14" t="s">
        <v>23</v>
      </c>
      <c r="E1" s="14" t="s">
        <v>24</v>
      </c>
      <c r="F1" s="14" t="s">
        <v>25</v>
      </c>
      <c r="G1" s="14" t="s">
        <v>26</v>
      </c>
      <c r="H1" s="14" t="s">
        <v>27</v>
      </c>
      <c r="I1" s="14" t="s">
        <v>28</v>
      </c>
      <c r="J1" s="14" t="s">
        <v>29</v>
      </c>
      <c r="K1" s="14" t="s">
        <v>30</v>
      </c>
      <c r="L1" s="14" t="s">
        <v>31</v>
      </c>
      <c r="M1" s="7" t="s">
        <v>437</v>
      </c>
    </row>
    <row r="2" spans="1:13" ht="114.75">
      <c r="A2" s="9"/>
      <c r="B2" s="9" t="s">
        <v>33</v>
      </c>
      <c r="C2" s="9" t="s">
        <v>34</v>
      </c>
      <c r="D2" s="9" t="s">
        <v>35</v>
      </c>
      <c r="E2" s="9">
        <v>1</v>
      </c>
      <c r="F2" s="9" t="s">
        <v>36</v>
      </c>
      <c r="G2" s="9" t="s">
        <v>438</v>
      </c>
      <c r="H2" s="9" t="s">
        <v>439</v>
      </c>
      <c r="I2" s="9" t="s">
        <v>440</v>
      </c>
      <c r="J2" s="9" t="s">
        <v>441</v>
      </c>
      <c r="K2" s="9" t="s">
        <v>442</v>
      </c>
      <c r="L2" s="9" t="s">
        <v>443</v>
      </c>
      <c r="M2" s="12" t="s">
        <v>444</v>
      </c>
    </row>
    <row r="3" spans="1:13" ht="114.75">
      <c r="A3" s="9"/>
      <c r="B3" s="9" t="s">
        <v>33</v>
      </c>
      <c r="C3" s="9" t="s">
        <v>34</v>
      </c>
      <c r="D3" s="9" t="s">
        <v>35</v>
      </c>
      <c r="E3" s="9">
        <v>2</v>
      </c>
      <c r="F3" s="9" t="s">
        <v>36</v>
      </c>
      <c r="G3" s="9" t="s">
        <v>438</v>
      </c>
      <c r="H3" s="9" t="s">
        <v>439</v>
      </c>
      <c r="I3" s="9" t="s">
        <v>440</v>
      </c>
      <c r="J3" s="9" t="s">
        <v>445</v>
      </c>
      <c r="K3" s="9" t="s">
        <v>446</v>
      </c>
      <c r="L3" s="9" t="s">
        <v>447</v>
      </c>
      <c r="M3" s="12" t="s">
        <v>444</v>
      </c>
    </row>
    <row r="4" spans="1:13" ht="114.75">
      <c r="A4" s="9"/>
      <c r="B4" s="9" t="s">
        <v>33</v>
      </c>
      <c r="C4" s="9" t="s">
        <v>34</v>
      </c>
      <c r="D4" s="9" t="s">
        <v>35</v>
      </c>
      <c r="E4" s="9">
        <v>3</v>
      </c>
      <c r="F4" s="9" t="s">
        <v>36</v>
      </c>
      <c r="G4" s="9" t="s">
        <v>438</v>
      </c>
      <c r="H4" s="9" t="s">
        <v>439</v>
      </c>
      <c r="I4" s="9" t="s">
        <v>440</v>
      </c>
      <c r="J4" s="9" t="s">
        <v>448</v>
      </c>
      <c r="K4" s="9" t="s">
        <v>449</v>
      </c>
      <c r="L4" s="9" t="s">
        <v>450</v>
      </c>
      <c r="M4" s="12" t="s">
        <v>444</v>
      </c>
    </row>
    <row r="5" spans="1:13" ht="114.75">
      <c r="A5" s="9"/>
      <c r="B5" s="9" t="s">
        <v>33</v>
      </c>
      <c r="C5" s="9" t="s">
        <v>34</v>
      </c>
      <c r="D5" s="9" t="s">
        <v>35</v>
      </c>
      <c r="E5" s="9">
        <v>4</v>
      </c>
      <c r="F5" s="9" t="s">
        <v>36</v>
      </c>
      <c r="G5" s="9" t="s">
        <v>438</v>
      </c>
      <c r="H5" s="9" t="s">
        <v>439</v>
      </c>
      <c r="I5" s="9" t="s">
        <v>440</v>
      </c>
      <c r="J5" s="9" t="s">
        <v>451</v>
      </c>
      <c r="K5" s="9" t="s">
        <v>452</v>
      </c>
      <c r="L5" s="9" t="s">
        <v>453</v>
      </c>
      <c r="M5" s="12" t="s">
        <v>444</v>
      </c>
    </row>
    <row r="6" spans="1:13" ht="114.75">
      <c r="A6" s="9"/>
      <c r="B6" s="9" t="s">
        <v>33</v>
      </c>
      <c r="C6" s="9" t="s">
        <v>34</v>
      </c>
      <c r="D6" s="9" t="s">
        <v>35</v>
      </c>
      <c r="E6" s="9">
        <v>5</v>
      </c>
      <c r="F6" s="9" t="s">
        <v>36</v>
      </c>
      <c r="G6" s="9" t="s">
        <v>438</v>
      </c>
      <c r="H6" s="9" t="s">
        <v>454</v>
      </c>
      <c r="I6" s="9" t="s">
        <v>440</v>
      </c>
      <c r="J6" s="9" t="s">
        <v>455</v>
      </c>
      <c r="K6" s="9" t="s">
        <v>456</v>
      </c>
      <c r="L6" s="9" t="s">
        <v>457</v>
      </c>
      <c r="M6" s="12" t="s">
        <v>444</v>
      </c>
    </row>
    <row r="7" spans="1:13" ht="127.5">
      <c r="A7" s="9"/>
      <c r="B7" s="9" t="s">
        <v>33</v>
      </c>
      <c r="C7" s="9" t="s">
        <v>34</v>
      </c>
      <c r="D7" s="9" t="s">
        <v>35</v>
      </c>
      <c r="E7" s="9">
        <v>6</v>
      </c>
      <c r="F7" s="9" t="s">
        <v>36</v>
      </c>
      <c r="G7" s="9" t="s">
        <v>438</v>
      </c>
      <c r="H7" s="9" t="s">
        <v>458</v>
      </c>
      <c r="I7" s="9" t="s">
        <v>440</v>
      </c>
      <c r="J7" s="9" t="s">
        <v>459</v>
      </c>
      <c r="K7" s="9" t="s">
        <v>460</v>
      </c>
      <c r="L7" s="9" t="s">
        <v>461</v>
      </c>
      <c r="M7" s="12" t="s">
        <v>444</v>
      </c>
    </row>
    <row r="8" spans="1:13" ht="114.75">
      <c r="A8" s="9"/>
      <c r="B8" s="9" t="s">
        <v>33</v>
      </c>
      <c r="C8" s="9" t="s">
        <v>34</v>
      </c>
      <c r="D8" s="9" t="s">
        <v>35</v>
      </c>
      <c r="E8" s="9">
        <v>7</v>
      </c>
      <c r="F8" s="9" t="s">
        <v>36</v>
      </c>
      <c r="G8" s="9" t="s">
        <v>438</v>
      </c>
      <c r="H8" s="9" t="s">
        <v>439</v>
      </c>
      <c r="I8" s="9" t="s">
        <v>440</v>
      </c>
      <c r="J8" s="9" t="s">
        <v>462</v>
      </c>
      <c r="K8" s="9" t="s">
        <v>463</v>
      </c>
      <c r="L8" s="9" t="s">
        <v>464</v>
      </c>
      <c r="M8" s="12" t="s">
        <v>444</v>
      </c>
    </row>
    <row r="9" spans="1:13" ht="114.75">
      <c r="A9" s="9"/>
      <c r="B9" s="9" t="s">
        <v>33</v>
      </c>
      <c r="C9" s="9" t="s">
        <v>34</v>
      </c>
      <c r="D9" s="9" t="s">
        <v>35</v>
      </c>
      <c r="E9" s="9">
        <v>8</v>
      </c>
      <c r="F9" s="9" t="s">
        <v>36</v>
      </c>
      <c r="G9" s="9" t="s">
        <v>438</v>
      </c>
      <c r="H9" s="9" t="s">
        <v>439</v>
      </c>
      <c r="I9" s="9" t="s">
        <v>440</v>
      </c>
      <c r="J9" s="9" t="s">
        <v>465</v>
      </c>
      <c r="K9" s="9" t="s">
        <v>466</v>
      </c>
      <c r="L9" s="9" t="s">
        <v>467</v>
      </c>
      <c r="M9" s="12" t="s">
        <v>444</v>
      </c>
    </row>
    <row r="10" spans="1:13" ht="114.75">
      <c r="A10" s="9"/>
      <c r="B10" s="9" t="s">
        <v>33</v>
      </c>
      <c r="C10" s="9" t="s">
        <v>34</v>
      </c>
      <c r="D10" s="9" t="s">
        <v>35</v>
      </c>
      <c r="E10" s="9">
        <v>9</v>
      </c>
      <c r="F10" s="9" t="s">
        <v>36</v>
      </c>
      <c r="G10" s="9" t="s">
        <v>438</v>
      </c>
      <c r="H10" s="9" t="s">
        <v>439</v>
      </c>
      <c r="I10" s="9" t="s">
        <v>468</v>
      </c>
      <c r="J10" s="9" t="s">
        <v>469</v>
      </c>
      <c r="K10" s="9" t="s">
        <v>470</v>
      </c>
      <c r="L10" s="9" t="s">
        <v>471</v>
      </c>
      <c r="M10" s="12" t="s">
        <v>472</v>
      </c>
    </row>
    <row r="11" spans="1:13" ht="114.75">
      <c r="A11" s="9"/>
      <c r="B11" s="9" t="s">
        <v>33</v>
      </c>
      <c r="C11" s="9" t="s">
        <v>34</v>
      </c>
      <c r="D11" s="9" t="s">
        <v>35</v>
      </c>
      <c r="E11" s="9">
        <v>10</v>
      </c>
      <c r="F11" s="9" t="s">
        <v>36</v>
      </c>
      <c r="G11" s="9" t="s">
        <v>438</v>
      </c>
      <c r="H11" s="9" t="s">
        <v>473</v>
      </c>
      <c r="I11" s="9" t="s">
        <v>468</v>
      </c>
      <c r="J11" s="9" t="s">
        <v>474</v>
      </c>
      <c r="K11" s="9" t="s">
        <v>475</v>
      </c>
      <c r="L11" s="9" t="s">
        <v>476</v>
      </c>
      <c r="M11" s="12" t="s">
        <v>472</v>
      </c>
    </row>
    <row r="12" spans="1:13" ht="153">
      <c r="A12" s="9"/>
      <c r="B12" s="9" t="s">
        <v>33</v>
      </c>
      <c r="C12" s="9" t="s">
        <v>34</v>
      </c>
      <c r="D12" s="9" t="s">
        <v>35</v>
      </c>
      <c r="E12" s="9">
        <v>11</v>
      </c>
      <c r="F12" s="9" t="s">
        <v>36</v>
      </c>
      <c r="G12" s="9" t="s">
        <v>438</v>
      </c>
      <c r="H12" s="9" t="s">
        <v>477</v>
      </c>
      <c r="I12" s="9" t="s">
        <v>468</v>
      </c>
      <c r="J12" s="18" t="s">
        <v>478</v>
      </c>
      <c r="K12" s="18" t="s">
        <v>479</v>
      </c>
      <c r="L12" s="9" t="s">
        <v>480</v>
      </c>
      <c r="M12" s="12" t="s">
        <v>472</v>
      </c>
    </row>
    <row r="13" spans="1:13" ht="114.75">
      <c r="A13" s="9"/>
      <c r="B13" s="9" t="s">
        <v>33</v>
      </c>
      <c r="C13" s="9" t="s">
        <v>34</v>
      </c>
      <c r="D13" s="9" t="s">
        <v>35</v>
      </c>
      <c r="E13" s="9">
        <v>12</v>
      </c>
      <c r="F13" s="9" t="s">
        <v>36</v>
      </c>
      <c r="G13" s="9" t="s">
        <v>438</v>
      </c>
      <c r="H13" s="9" t="s">
        <v>473</v>
      </c>
      <c r="I13" s="9" t="s">
        <v>468</v>
      </c>
      <c r="J13" s="9" t="s">
        <v>481</v>
      </c>
      <c r="K13" s="9" t="s">
        <v>482</v>
      </c>
      <c r="L13" s="9" t="s">
        <v>483</v>
      </c>
      <c r="M13" s="12" t="s">
        <v>472</v>
      </c>
    </row>
    <row r="14" spans="1:13" ht="114.75">
      <c r="A14" s="9"/>
      <c r="B14" s="9" t="s">
        <v>33</v>
      </c>
      <c r="C14" s="9" t="s">
        <v>34</v>
      </c>
      <c r="D14" s="9" t="s">
        <v>35</v>
      </c>
      <c r="E14" s="9">
        <v>13</v>
      </c>
      <c r="F14" s="9" t="s">
        <v>36</v>
      </c>
      <c r="G14" s="9" t="s">
        <v>438</v>
      </c>
      <c r="H14" s="9" t="s">
        <v>439</v>
      </c>
      <c r="I14" s="9" t="s">
        <v>468</v>
      </c>
      <c r="J14" s="9" t="s">
        <v>484</v>
      </c>
      <c r="K14" s="9" t="s">
        <v>485</v>
      </c>
      <c r="L14" s="9" t="s">
        <v>486</v>
      </c>
      <c r="M14" s="12" t="s">
        <v>472</v>
      </c>
    </row>
    <row r="15" spans="1:13" ht="114.75">
      <c r="A15" s="9"/>
      <c r="B15" s="9" t="s">
        <v>33</v>
      </c>
      <c r="C15" s="9" t="s">
        <v>34</v>
      </c>
      <c r="D15" s="9" t="s">
        <v>35</v>
      </c>
      <c r="E15" s="9">
        <v>14</v>
      </c>
      <c r="F15" s="9" t="s">
        <v>36</v>
      </c>
      <c r="G15" s="9" t="s">
        <v>438</v>
      </c>
      <c r="H15" s="9" t="s">
        <v>454</v>
      </c>
      <c r="I15" s="9" t="s">
        <v>468</v>
      </c>
      <c r="J15" s="9" t="s">
        <v>487</v>
      </c>
      <c r="K15" s="9" t="s">
        <v>488</v>
      </c>
      <c r="L15" s="9" t="s">
        <v>489</v>
      </c>
      <c r="M15" s="12" t="s">
        <v>472</v>
      </c>
    </row>
    <row r="16" spans="1:13" ht="114.75">
      <c r="A16" s="9"/>
      <c r="B16" s="9" t="s">
        <v>33</v>
      </c>
      <c r="C16" s="9" t="s">
        <v>34</v>
      </c>
      <c r="D16" s="9" t="s">
        <v>90</v>
      </c>
      <c r="E16" s="9">
        <v>1</v>
      </c>
      <c r="F16" s="9" t="s">
        <v>36</v>
      </c>
      <c r="G16" s="9" t="s">
        <v>490</v>
      </c>
      <c r="H16" s="9" t="s">
        <v>439</v>
      </c>
      <c r="I16" s="9" t="s">
        <v>490</v>
      </c>
      <c r="J16" s="9" t="s">
        <v>491</v>
      </c>
      <c r="K16" s="9" t="s">
        <v>492</v>
      </c>
      <c r="L16" s="9" t="s">
        <v>493</v>
      </c>
      <c r="M16" s="12" t="s">
        <v>494</v>
      </c>
    </row>
    <row r="17" spans="1:13" ht="102">
      <c r="A17" s="9"/>
      <c r="B17" s="9" t="s">
        <v>33</v>
      </c>
      <c r="C17" s="9" t="s">
        <v>34</v>
      </c>
      <c r="D17" s="9" t="s">
        <v>90</v>
      </c>
      <c r="E17" s="9">
        <v>2</v>
      </c>
      <c r="F17" s="9" t="s">
        <v>36</v>
      </c>
      <c r="G17" s="9" t="s">
        <v>490</v>
      </c>
      <c r="H17" s="9" t="s">
        <v>495</v>
      </c>
      <c r="I17" s="9" t="s">
        <v>490</v>
      </c>
      <c r="J17" s="9" t="s">
        <v>496</v>
      </c>
      <c r="K17" s="9" t="s">
        <v>497</v>
      </c>
      <c r="L17" s="9" t="s">
        <v>498</v>
      </c>
      <c r="M17" s="12" t="s">
        <v>494</v>
      </c>
    </row>
    <row r="18" spans="1:13" ht="102">
      <c r="A18" s="9"/>
      <c r="B18" s="9" t="s">
        <v>33</v>
      </c>
      <c r="C18" s="9" t="s">
        <v>34</v>
      </c>
      <c r="D18" s="9" t="s">
        <v>90</v>
      </c>
      <c r="E18" s="9">
        <v>3</v>
      </c>
      <c r="F18" s="9" t="s">
        <v>36</v>
      </c>
      <c r="G18" s="9" t="s">
        <v>490</v>
      </c>
      <c r="H18" s="9" t="s">
        <v>495</v>
      </c>
      <c r="I18" s="9" t="s">
        <v>490</v>
      </c>
      <c r="J18" s="9" t="s">
        <v>499</v>
      </c>
      <c r="K18" s="9" t="s">
        <v>500</v>
      </c>
      <c r="L18" s="9" t="s">
        <v>501</v>
      </c>
      <c r="M18" s="12" t="s">
        <v>494</v>
      </c>
    </row>
    <row r="19" spans="1:13" ht="102">
      <c r="A19" s="9"/>
      <c r="B19" s="9" t="s">
        <v>33</v>
      </c>
      <c r="C19" s="9" t="s">
        <v>34</v>
      </c>
      <c r="D19" s="9" t="s">
        <v>90</v>
      </c>
      <c r="E19" s="9">
        <v>4</v>
      </c>
      <c r="F19" s="9" t="s">
        <v>36</v>
      </c>
      <c r="G19" s="9" t="s">
        <v>490</v>
      </c>
      <c r="H19" s="9" t="s">
        <v>495</v>
      </c>
      <c r="I19" s="9" t="s">
        <v>490</v>
      </c>
      <c r="J19" s="9" t="s">
        <v>502</v>
      </c>
      <c r="K19" s="9" t="s">
        <v>503</v>
      </c>
      <c r="L19" s="9" t="s">
        <v>504</v>
      </c>
      <c r="M19" s="12" t="s">
        <v>494</v>
      </c>
    </row>
    <row r="20" spans="1:13" ht="102">
      <c r="A20" s="9"/>
      <c r="B20" s="9" t="s">
        <v>33</v>
      </c>
      <c r="C20" s="9" t="s">
        <v>34</v>
      </c>
      <c r="D20" s="9" t="s">
        <v>90</v>
      </c>
      <c r="E20" s="9">
        <v>5</v>
      </c>
      <c r="F20" s="9" t="s">
        <v>36</v>
      </c>
      <c r="G20" s="9" t="s">
        <v>490</v>
      </c>
      <c r="H20" s="9" t="s">
        <v>495</v>
      </c>
      <c r="I20" s="9" t="s">
        <v>490</v>
      </c>
      <c r="J20" s="9" t="s">
        <v>505</v>
      </c>
      <c r="K20" s="9" t="s">
        <v>506</v>
      </c>
      <c r="L20" s="9" t="s">
        <v>507</v>
      </c>
      <c r="M20" s="12" t="s">
        <v>508</v>
      </c>
    </row>
    <row r="21" spans="1:13" ht="102">
      <c r="A21" s="9"/>
      <c r="B21" s="9" t="s">
        <v>33</v>
      </c>
      <c r="C21" s="9" t="s">
        <v>34</v>
      </c>
      <c r="D21" s="9" t="s">
        <v>90</v>
      </c>
      <c r="E21" s="9">
        <v>6</v>
      </c>
      <c r="F21" s="9" t="s">
        <v>36</v>
      </c>
      <c r="G21" s="9" t="s">
        <v>490</v>
      </c>
      <c r="H21" s="9" t="s">
        <v>495</v>
      </c>
      <c r="I21" s="9" t="s">
        <v>490</v>
      </c>
      <c r="J21" s="9" t="s">
        <v>509</v>
      </c>
      <c r="K21" s="9" t="s">
        <v>510</v>
      </c>
      <c r="L21" s="9" t="s">
        <v>511</v>
      </c>
      <c r="M21" s="12" t="s">
        <v>508</v>
      </c>
    </row>
    <row r="22" spans="1:13" ht="102">
      <c r="A22" s="9"/>
      <c r="B22" s="9" t="s">
        <v>33</v>
      </c>
      <c r="C22" s="9" t="s">
        <v>34</v>
      </c>
      <c r="D22" s="9" t="s">
        <v>90</v>
      </c>
      <c r="E22" s="9">
        <v>7</v>
      </c>
      <c r="F22" s="9" t="s">
        <v>36</v>
      </c>
      <c r="G22" s="9" t="s">
        <v>490</v>
      </c>
      <c r="H22" s="9" t="s">
        <v>495</v>
      </c>
      <c r="I22" s="9" t="s">
        <v>490</v>
      </c>
      <c r="J22" s="9" t="s">
        <v>512</v>
      </c>
      <c r="K22" s="9" t="s">
        <v>513</v>
      </c>
      <c r="L22" s="9" t="s">
        <v>514</v>
      </c>
      <c r="M22" s="12" t="s">
        <v>508</v>
      </c>
    </row>
    <row r="23" spans="1:13" ht="102">
      <c r="A23" s="9"/>
      <c r="B23" s="9" t="s">
        <v>33</v>
      </c>
      <c r="C23" s="9" t="s">
        <v>34</v>
      </c>
      <c r="D23" s="9" t="s">
        <v>90</v>
      </c>
      <c r="E23" s="9">
        <v>8</v>
      </c>
      <c r="F23" s="9" t="s">
        <v>36</v>
      </c>
      <c r="G23" s="9" t="s">
        <v>490</v>
      </c>
      <c r="H23" s="9" t="s">
        <v>495</v>
      </c>
      <c r="I23" s="9" t="s">
        <v>490</v>
      </c>
      <c r="J23" s="9" t="s">
        <v>515</v>
      </c>
      <c r="K23" s="9" t="s">
        <v>516</v>
      </c>
      <c r="L23" s="9" t="s">
        <v>517</v>
      </c>
      <c r="M23" s="12" t="s">
        <v>508</v>
      </c>
    </row>
    <row r="24" spans="1:13" ht="102">
      <c r="A24" s="9"/>
      <c r="B24" s="9" t="s">
        <v>33</v>
      </c>
      <c r="C24" s="9" t="s">
        <v>34</v>
      </c>
      <c r="D24" s="9" t="s">
        <v>90</v>
      </c>
      <c r="E24" s="9">
        <v>9</v>
      </c>
      <c r="F24" s="9" t="s">
        <v>36</v>
      </c>
      <c r="G24" s="9" t="s">
        <v>490</v>
      </c>
      <c r="H24" s="9" t="s">
        <v>495</v>
      </c>
      <c r="I24" s="9" t="s">
        <v>490</v>
      </c>
      <c r="J24" s="9" t="s">
        <v>518</v>
      </c>
      <c r="K24" s="9" t="s">
        <v>519</v>
      </c>
      <c r="L24" s="9" t="s">
        <v>520</v>
      </c>
      <c r="M24" s="12" t="s">
        <v>508</v>
      </c>
    </row>
    <row r="25" spans="1:13" ht="102">
      <c r="A25" s="9"/>
      <c r="B25" s="9" t="s">
        <v>33</v>
      </c>
      <c r="C25" s="9" t="s">
        <v>34</v>
      </c>
      <c r="D25" s="9" t="s">
        <v>90</v>
      </c>
      <c r="E25" s="9">
        <v>10</v>
      </c>
      <c r="F25" s="9" t="s">
        <v>36</v>
      </c>
      <c r="G25" s="9" t="s">
        <v>490</v>
      </c>
      <c r="H25" s="9" t="s">
        <v>495</v>
      </c>
      <c r="I25" s="9" t="s">
        <v>521</v>
      </c>
      <c r="J25" s="9" t="s">
        <v>522</v>
      </c>
      <c r="K25" s="9" t="s">
        <v>523</v>
      </c>
      <c r="L25" s="9" t="s">
        <v>524</v>
      </c>
      <c r="M25" s="12" t="s">
        <v>508</v>
      </c>
    </row>
    <row r="26" spans="1:13" ht="153">
      <c r="A26" s="9"/>
      <c r="B26" s="9" t="s">
        <v>33</v>
      </c>
      <c r="C26" s="9" t="s">
        <v>34</v>
      </c>
      <c r="D26" s="9" t="s">
        <v>90</v>
      </c>
      <c r="E26" s="9">
        <v>11</v>
      </c>
      <c r="F26" s="9" t="s">
        <v>36</v>
      </c>
      <c r="G26" s="9" t="s">
        <v>525</v>
      </c>
      <c r="H26" s="9" t="s">
        <v>526</v>
      </c>
      <c r="I26" s="9" t="s">
        <v>527</v>
      </c>
      <c r="J26" s="9" t="s">
        <v>528</v>
      </c>
      <c r="K26" s="9" t="s">
        <v>529</v>
      </c>
      <c r="L26" s="9" t="s">
        <v>530</v>
      </c>
      <c r="M26" s="12" t="s">
        <v>531</v>
      </c>
    </row>
    <row r="27" spans="1:13" ht="153">
      <c r="A27" s="9"/>
      <c r="B27" s="9" t="s">
        <v>33</v>
      </c>
      <c r="C27" s="9" t="s">
        <v>34</v>
      </c>
      <c r="D27" s="9" t="s">
        <v>90</v>
      </c>
      <c r="E27" s="9">
        <v>12</v>
      </c>
      <c r="F27" s="9" t="s">
        <v>36</v>
      </c>
      <c r="G27" s="9" t="s">
        <v>525</v>
      </c>
      <c r="H27" s="9" t="s">
        <v>526</v>
      </c>
      <c r="I27" s="9" t="s">
        <v>527</v>
      </c>
      <c r="J27" s="9" t="s">
        <v>532</v>
      </c>
      <c r="K27" s="9" t="s">
        <v>533</v>
      </c>
      <c r="L27" s="9" t="s">
        <v>534</v>
      </c>
      <c r="M27" s="12" t="s">
        <v>531</v>
      </c>
    </row>
    <row r="28" spans="1:13" ht="153">
      <c r="A28" s="9"/>
      <c r="B28" s="9" t="s">
        <v>33</v>
      </c>
      <c r="C28" s="9" t="s">
        <v>34</v>
      </c>
      <c r="D28" s="9" t="s">
        <v>90</v>
      </c>
      <c r="E28" s="9">
        <v>13</v>
      </c>
      <c r="F28" s="9" t="s">
        <v>36</v>
      </c>
      <c r="G28" s="9" t="s">
        <v>525</v>
      </c>
      <c r="H28" s="9" t="s">
        <v>535</v>
      </c>
      <c r="I28" s="9" t="s">
        <v>527</v>
      </c>
      <c r="J28" s="9" t="s">
        <v>536</v>
      </c>
      <c r="K28" s="9" t="s">
        <v>537</v>
      </c>
      <c r="L28" s="9" t="s">
        <v>538</v>
      </c>
      <c r="M28" s="12" t="s">
        <v>531</v>
      </c>
    </row>
    <row r="29" spans="1:13" ht="153">
      <c r="A29" s="9"/>
      <c r="B29" s="9" t="s">
        <v>33</v>
      </c>
      <c r="C29" s="9" t="s">
        <v>34</v>
      </c>
      <c r="D29" s="9" t="s">
        <v>90</v>
      </c>
      <c r="E29" s="9">
        <v>14</v>
      </c>
      <c r="F29" s="9" t="s">
        <v>36</v>
      </c>
      <c r="G29" s="9" t="s">
        <v>525</v>
      </c>
      <c r="H29" s="9" t="s">
        <v>535</v>
      </c>
      <c r="I29" s="9" t="s">
        <v>527</v>
      </c>
      <c r="J29" s="9" t="s">
        <v>539</v>
      </c>
      <c r="K29" s="9" t="s">
        <v>540</v>
      </c>
      <c r="L29" s="9" t="s">
        <v>541</v>
      </c>
      <c r="M29" s="12" t="s">
        <v>531</v>
      </c>
    </row>
    <row r="30" spans="1:13" ht="114.75">
      <c r="A30" s="9"/>
      <c r="B30" s="17" t="s">
        <v>33</v>
      </c>
      <c r="C30" s="17" t="s">
        <v>34</v>
      </c>
      <c r="D30" s="17" t="s">
        <v>542</v>
      </c>
      <c r="E30" s="17">
        <v>1</v>
      </c>
      <c r="F30" s="17" t="s">
        <v>36</v>
      </c>
      <c r="G30" s="17" t="s">
        <v>543</v>
      </c>
      <c r="H30" s="17" t="s">
        <v>473</v>
      </c>
      <c r="I30" s="17" t="s">
        <v>544</v>
      </c>
      <c r="J30" s="17" t="s">
        <v>545</v>
      </c>
      <c r="K30" s="17" t="s">
        <v>546</v>
      </c>
      <c r="L30" s="17" t="s">
        <v>547</v>
      </c>
      <c r="M30" s="10"/>
    </row>
    <row r="31" spans="1:13" ht="89.25">
      <c r="A31" s="9"/>
      <c r="B31" s="17" t="s">
        <v>33</v>
      </c>
      <c r="C31" s="17" t="s">
        <v>34</v>
      </c>
      <c r="D31" s="17" t="s">
        <v>542</v>
      </c>
      <c r="E31" s="17">
        <v>2</v>
      </c>
      <c r="F31" s="17" t="s">
        <v>36</v>
      </c>
      <c r="G31" s="17" t="s">
        <v>543</v>
      </c>
      <c r="H31" s="17" t="s">
        <v>548</v>
      </c>
      <c r="I31" s="17" t="s">
        <v>544</v>
      </c>
      <c r="J31" s="17" t="s">
        <v>549</v>
      </c>
      <c r="K31" s="17" t="s">
        <v>550</v>
      </c>
      <c r="L31" s="17" t="s">
        <v>551</v>
      </c>
      <c r="M31" s="10"/>
    </row>
    <row r="32" spans="1:13" ht="114.75">
      <c r="A32" s="9"/>
      <c r="B32" s="17" t="s">
        <v>33</v>
      </c>
      <c r="C32" s="17" t="s">
        <v>34</v>
      </c>
      <c r="D32" s="17" t="s">
        <v>542</v>
      </c>
      <c r="E32" s="17">
        <v>3</v>
      </c>
      <c r="F32" s="17" t="s">
        <v>36</v>
      </c>
      <c r="G32" s="17" t="s">
        <v>543</v>
      </c>
      <c r="H32" s="17" t="s">
        <v>552</v>
      </c>
      <c r="I32" s="17" t="s">
        <v>544</v>
      </c>
      <c r="J32" s="17" t="s">
        <v>553</v>
      </c>
      <c r="K32" s="17" t="s">
        <v>554</v>
      </c>
      <c r="L32" s="17" t="s">
        <v>555</v>
      </c>
      <c r="M32" s="10"/>
    </row>
    <row r="33" spans="1:13" ht="114.75">
      <c r="A33" s="9"/>
      <c r="B33" s="17" t="s">
        <v>33</v>
      </c>
      <c r="C33" s="17" t="s">
        <v>34</v>
      </c>
      <c r="D33" s="17" t="s">
        <v>542</v>
      </c>
      <c r="E33" s="17">
        <v>4</v>
      </c>
      <c r="F33" s="17" t="s">
        <v>36</v>
      </c>
      <c r="G33" s="17" t="s">
        <v>543</v>
      </c>
      <c r="H33" s="17" t="s">
        <v>556</v>
      </c>
      <c r="I33" s="17" t="s">
        <v>544</v>
      </c>
      <c r="J33" s="17" t="s">
        <v>557</v>
      </c>
      <c r="K33" s="17" t="s">
        <v>558</v>
      </c>
      <c r="L33" s="17" t="s">
        <v>559</v>
      </c>
      <c r="M33" s="10"/>
    </row>
    <row r="34" spans="1:13" ht="127.5">
      <c r="A34" s="9"/>
      <c r="B34" s="17" t="s">
        <v>33</v>
      </c>
      <c r="C34" s="17" t="s">
        <v>34</v>
      </c>
      <c r="D34" s="17" t="s">
        <v>542</v>
      </c>
      <c r="E34" s="17">
        <v>5</v>
      </c>
      <c r="F34" s="17" t="s">
        <v>36</v>
      </c>
      <c r="G34" s="17" t="s">
        <v>543</v>
      </c>
      <c r="H34" s="17" t="s">
        <v>560</v>
      </c>
      <c r="I34" s="17" t="s">
        <v>544</v>
      </c>
      <c r="J34" s="17" t="s">
        <v>561</v>
      </c>
      <c r="K34" s="17" t="s">
        <v>562</v>
      </c>
      <c r="L34" s="17" t="s">
        <v>563</v>
      </c>
      <c r="M34" s="10"/>
    </row>
    <row r="35" spans="1:13" ht="114.75">
      <c r="A35" s="9"/>
      <c r="B35" s="17" t="s">
        <v>33</v>
      </c>
      <c r="C35" s="17" t="s">
        <v>34</v>
      </c>
      <c r="D35" s="17" t="s">
        <v>542</v>
      </c>
      <c r="E35" s="17">
        <v>6</v>
      </c>
      <c r="F35" s="17" t="s">
        <v>36</v>
      </c>
      <c r="G35" s="17" t="s">
        <v>543</v>
      </c>
      <c r="H35" s="17" t="s">
        <v>556</v>
      </c>
      <c r="I35" s="17" t="s">
        <v>544</v>
      </c>
      <c r="J35" s="17" t="s">
        <v>564</v>
      </c>
      <c r="K35" s="17" t="s">
        <v>565</v>
      </c>
      <c r="L35" s="17" t="s">
        <v>566</v>
      </c>
      <c r="M35" s="10"/>
    </row>
    <row r="36" spans="1:13" ht="191.25">
      <c r="A36" s="9"/>
      <c r="B36" s="17" t="s">
        <v>33</v>
      </c>
      <c r="C36" s="17" t="s">
        <v>34</v>
      </c>
      <c r="D36" s="17" t="s">
        <v>542</v>
      </c>
      <c r="E36" s="17">
        <v>7</v>
      </c>
      <c r="F36" s="17" t="s">
        <v>36</v>
      </c>
      <c r="G36" s="17" t="s">
        <v>567</v>
      </c>
      <c r="H36" s="17" t="s">
        <v>568</v>
      </c>
      <c r="I36" s="17" t="s">
        <v>567</v>
      </c>
      <c r="J36" s="17" t="s">
        <v>569</v>
      </c>
      <c r="K36" s="17" t="s">
        <v>570</v>
      </c>
      <c r="L36" s="17" t="s">
        <v>571</v>
      </c>
      <c r="M36" s="10"/>
    </row>
    <row r="37" spans="1:13" ht="114.75">
      <c r="A37" s="9"/>
      <c r="B37" s="17" t="s">
        <v>33</v>
      </c>
      <c r="C37" s="17" t="s">
        <v>34</v>
      </c>
      <c r="D37" s="17" t="s">
        <v>542</v>
      </c>
      <c r="E37" s="17">
        <v>8</v>
      </c>
      <c r="F37" s="17" t="s">
        <v>36</v>
      </c>
      <c r="G37" s="17" t="s">
        <v>567</v>
      </c>
      <c r="H37" s="17" t="s">
        <v>473</v>
      </c>
      <c r="I37" s="17" t="s">
        <v>567</v>
      </c>
      <c r="J37" s="17" t="s">
        <v>572</v>
      </c>
      <c r="K37" s="17" t="s">
        <v>573</v>
      </c>
      <c r="L37" s="17" t="s">
        <v>574</v>
      </c>
      <c r="M37" s="10"/>
    </row>
    <row r="38" spans="1:13" ht="153">
      <c r="A38" s="9"/>
      <c r="B38" s="17" t="s">
        <v>33</v>
      </c>
      <c r="C38" s="17" t="s">
        <v>34</v>
      </c>
      <c r="D38" s="17" t="s">
        <v>542</v>
      </c>
      <c r="E38" s="17">
        <v>9</v>
      </c>
      <c r="F38" s="17" t="s">
        <v>36</v>
      </c>
      <c r="G38" s="17" t="s">
        <v>567</v>
      </c>
      <c r="H38" s="17" t="s">
        <v>526</v>
      </c>
      <c r="I38" s="17" t="s">
        <v>567</v>
      </c>
      <c r="J38" s="17" t="s">
        <v>575</v>
      </c>
      <c r="K38" s="17" t="s">
        <v>576</v>
      </c>
      <c r="L38" s="17" t="s">
        <v>577</v>
      </c>
      <c r="M38" s="10"/>
    </row>
    <row r="39" spans="1:13" ht="102">
      <c r="A39" s="9"/>
      <c r="B39" s="17" t="s">
        <v>33</v>
      </c>
      <c r="C39" s="17" t="s">
        <v>34</v>
      </c>
      <c r="D39" s="17" t="s">
        <v>542</v>
      </c>
      <c r="E39" s="17">
        <v>10</v>
      </c>
      <c r="F39" s="17" t="s">
        <v>36</v>
      </c>
      <c r="G39" s="17" t="s">
        <v>567</v>
      </c>
      <c r="H39" s="17" t="s">
        <v>578</v>
      </c>
      <c r="I39" s="17" t="s">
        <v>567</v>
      </c>
      <c r="J39" s="17" t="s">
        <v>579</v>
      </c>
      <c r="K39" s="17" t="s">
        <v>580</v>
      </c>
      <c r="L39" s="17" t="s">
        <v>581</v>
      </c>
      <c r="M39" s="10"/>
    </row>
    <row r="40" spans="1:13" ht="102">
      <c r="A40" s="9"/>
      <c r="B40" s="17" t="s">
        <v>33</v>
      </c>
      <c r="C40" s="17" t="s">
        <v>34</v>
      </c>
      <c r="D40" s="17" t="s">
        <v>542</v>
      </c>
      <c r="E40" s="17">
        <v>11</v>
      </c>
      <c r="F40" s="17" t="s">
        <v>36</v>
      </c>
      <c r="G40" s="17" t="s">
        <v>567</v>
      </c>
      <c r="H40" s="17" t="s">
        <v>582</v>
      </c>
      <c r="I40" s="17" t="s">
        <v>567</v>
      </c>
      <c r="J40" s="17" t="s">
        <v>583</v>
      </c>
      <c r="K40" s="17" t="s">
        <v>584</v>
      </c>
      <c r="L40" s="17" t="s">
        <v>585</v>
      </c>
      <c r="M40" s="10"/>
    </row>
    <row r="41" spans="1:13" ht="102">
      <c r="A41" s="9"/>
      <c r="B41" s="17" t="s">
        <v>33</v>
      </c>
      <c r="C41" s="17" t="s">
        <v>34</v>
      </c>
      <c r="D41" s="17" t="s">
        <v>542</v>
      </c>
      <c r="E41" s="17">
        <v>12</v>
      </c>
      <c r="F41" s="17" t="s">
        <v>36</v>
      </c>
      <c r="G41" s="17" t="s">
        <v>567</v>
      </c>
      <c r="H41" s="17" t="s">
        <v>582</v>
      </c>
      <c r="I41" s="17" t="s">
        <v>567</v>
      </c>
      <c r="J41" s="17" t="s">
        <v>586</v>
      </c>
      <c r="K41" s="17" t="s">
        <v>587</v>
      </c>
      <c r="L41" s="17" t="s">
        <v>588</v>
      </c>
      <c r="M41" s="10"/>
    </row>
    <row r="42" spans="1:13" ht="114.75">
      <c r="A42" s="9"/>
      <c r="B42" s="17" t="s">
        <v>33</v>
      </c>
      <c r="C42" s="17" t="s">
        <v>34</v>
      </c>
      <c r="D42" s="17" t="s">
        <v>188</v>
      </c>
      <c r="E42" s="17">
        <v>1</v>
      </c>
      <c r="F42" s="17" t="s">
        <v>36</v>
      </c>
      <c r="G42" s="17" t="s">
        <v>589</v>
      </c>
      <c r="H42" s="17" t="s">
        <v>590</v>
      </c>
      <c r="I42" s="17" t="s">
        <v>589</v>
      </c>
      <c r="J42" s="17" t="s">
        <v>591</v>
      </c>
      <c r="K42" s="17" t="s">
        <v>592</v>
      </c>
      <c r="L42" s="17" t="s">
        <v>593</v>
      </c>
      <c r="M42" s="10"/>
    </row>
    <row r="43" spans="1:13" ht="114.75">
      <c r="A43" s="9"/>
      <c r="B43" s="17" t="s">
        <v>33</v>
      </c>
      <c r="C43" s="17" t="s">
        <v>34</v>
      </c>
      <c r="D43" s="17" t="s">
        <v>188</v>
      </c>
      <c r="E43" s="17">
        <v>2</v>
      </c>
      <c r="F43" s="17" t="s">
        <v>36</v>
      </c>
      <c r="G43" s="17" t="s">
        <v>589</v>
      </c>
      <c r="H43" s="17" t="s">
        <v>473</v>
      </c>
      <c r="I43" s="17" t="s">
        <v>589</v>
      </c>
      <c r="J43" s="17" t="s">
        <v>594</v>
      </c>
      <c r="K43" s="17" t="s">
        <v>595</v>
      </c>
      <c r="L43" s="17" t="s">
        <v>596</v>
      </c>
      <c r="M43" s="10"/>
    </row>
    <row r="44" spans="1:13" ht="114.75">
      <c r="A44" s="9"/>
      <c r="B44" s="17" t="s">
        <v>33</v>
      </c>
      <c r="C44" s="17" t="s">
        <v>34</v>
      </c>
      <c r="D44" s="17" t="s">
        <v>188</v>
      </c>
      <c r="E44" s="17">
        <v>3</v>
      </c>
      <c r="F44" s="17" t="s">
        <v>36</v>
      </c>
      <c r="G44" s="17" t="s">
        <v>589</v>
      </c>
      <c r="H44" s="17" t="s">
        <v>590</v>
      </c>
      <c r="I44" s="17" t="s">
        <v>589</v>
      </c>
      <c r="J44" s="17" t="s">
        <v>597</v>
      </c>
      <c r="K44" s="17" t="s">
        <v>598</v>
      </c>
      <c r="L44" s="17" t="s">
        <v>599</v>
      </c>
      <c r="M44" s="10"/>
    </row>
    <row r="45" spans="1:13" ht="153">
      <c r="A45" s="9"/>
      <c r="B45" s="17" t="s">
        <v>33</v>
      </c>
      <c r="C45" s="17" t="s">
        <v>34</v>
      </c>
      <c r="D45" s="17" t="s">
        <v>188</v>
      </c>
      <c r="E45" s="17">
        <v>4</v>
      </c>
      <c r="F45" s="17" t="s">
        <v>36</v>
      </c>
      <c r="G45" s="17" t="s">
        <v>589</v>
      </c>
      <c r="H45" s="17" t="s">
        <v>526</v>
      </c>
      <c r="I45" s="17" t="s">
        <v>589</v>
      </c>
      <c r="J45" s="17" t="s">
        <v>600</v>
      </c>
      <c r="K45" s="17" t="s">
        <v>601</v>
      </c>
      <c r="L45" s="17" t="s">
        <v>602</v>
      </c>
      <c r="M45" s="10"/>
    </row>
    <row r="46" spans="1:13" ht="114.75">
      <c r="A46" s="9"/>
      <c r="B46" s="17" t="s">
        <v>33</v>
      </c>
      <c r="C46" s="17" t="s">
        <v>34</v>
      </c>
      <c r="D46" s="17" t="s">
        <v>188</v>
      </c>
      <c r="E46" s="17">
        <v>5</v>
      </c>
      <c r="F46" s="17" t="s">
        <v>603</v>
      </c>
      <c r="G46" s="17" t="s">
        <v>589</v>
      </c>
      <c r="H46" s="17" t="s">
        <v>590</v>
      </c>
      <c r="I46" s="17" t="s">
        <v>589</v>
      </c>
      <c r="J46" s="17" t="s">
        <v>604</v>
      </c>
      <c r="K46" s="17" t="s">
        <v>605</v>
      </c>
      <c r="L46" s="17" t="s">
        <v>606</v>
      </c>
      <c r="M46" s="10"/>
    </row>
    <row r="47" spans="1:13" ht="127.5">
      <c r="A47" s="9"/>
      <c r="B47" s="17" t="s">
        <v>33</v>
      </c>
      <c r="C47" s="17" t="s">
        <v>34</v>
      </c>
      <c r="D47" s="17" t="s">
        <v>188</v>
      </c>
      <c r="E47" s="17">
        <v>6</v>
      </c>
      <c r="F47" s="17" t="s">
        <v>603</v>
      </c>
      <c r="G47" s="17" t="s">
        <v>607</v>
      </c>
      <c r="H47" s="17" t="s">
        <v>560</v>
      </c>
      <c r="I47" s="17" t="s">
        <v>608</v>
      </c>
      <c r="J47" s="17" t="s">
        <v>609</v>
      </c>
      <c r="K47" s="17" t="s">
        <v>610</v>
      </c>
      <c r="L47" s="17" t="s">
        <v>611</v>
      </c>
      <c r="M47" s="10"/>
    </row>
    <row r="48" spans="1:13" ht="127.5">
      <c r="A48" s="9"/>
      <c r="B48" s="17" t="s">
        <v>33</v>
      </c>
      <c r="C48" s="17" t="s">
        <v>34</v>
      </c>
      <c r="D48" s="17" t="s">
        <v>188</v>
      </c>
      <c r="E48" s="17">
        <v>7</v>
      </c>
      <c r="F48" s="17" t="s">
        <v>603</v>
      </c>
      <c r="G48" s="17" t="s">
        <v>607</v>
      </c>
      <c r="H48" s="17" t="s">
        <v>612</v>
      </c>
      <c r="I48" s="17" t="s">
        <v>613</v>
      </c>
      <c r="J48" s="17" t="s">
        <v>614</v>
      </c>
      <c r="K48" s="17" t="s">
        <v>615</v>
      </c>
      <c r="L48" s="17" t="s">
        <v>616</v>
      </c>
      <c r="M48" s="10"/>
    </row>
    <row r="49" spans="1:13" ht="114.75">
      <c r="A49" s="9"/>
      <c r="B49" s="17" t="s">
        <v>33</v>
      </c>
      <c r="C49" s="17" t="s">
        <v>34</v>
      </c>
      <c r="D49" s="17" t="s">
        <v>188</v>
      </c>
      <c r="E49" s="17">
        <v>8</v>
      </c>
      <c r="F49" s="17" t="s">
        <v>603</v>
      </c>
      <c r="G49" s="17" t="s">
        <v>607</v>
      </c>
      <c r="H49" s="17" t="s">
        <v>556</v>
      </c>
      <c r="I49" s="17" t="s">
        <v>617</v>
      </c>
      <c r="J49" s="17" t="s">
        <v>618</v>
      </c>
      <c r="K49" s="17" t="s">
        <v>619</v>
      </c>
      <c r="L49" s="17" t="s">
        <v>620</v>
      </c>
      <c r="M49" s="10"/>
    </row>
    <row r="50" spans="1:13" ht="191.25">
      <c r="A50" s="9"/>
      <c r="B50" s="17" t="s">
        <v>33</v>
      </c>
      <c r="C50" s="17" t="s">
        <v>34</v>
      </c>
      <c r="D50" s="17" t="s">
        <v>188</v>
      </c>
      <c r="E50" s="17">
        <v>9</v>
      </c>
      <c r="F50" s="17" t="s">
        <v>36</v>
      </c>
      <c r="G50" s="17" t="s">
        <v>607</v>
      </c>
      <c r="H50" s="17" t="s">
        <v>568</v>
      </c>
      <c r="I50" s="17" t="s">
        <v>621</v>
      </c>
      <c r="J50" s="17" t="s">
        <v>622</v>
      </c>
      <c r="K50" s="17" t="s">
        <v>623</v>
      </c>
      <c r="L50" s="17" t="s">
        <v>624</v>
      </c>
      <c r="M50" s="10"/>
    </row>
    <row r="51" spans="1:13" ht="114.75">
      <c r="A51" s="9"/>
      <c r="B51" s="17" t="s">
        <v>33</v>
      </c>
      <c r="C51" s="17" t="s">
        <v>34</v>
      </c>
      <c r="D51" s="17" t="s">
        <v>188</v>
      </c>
      <c r="E51" s="17">
        <v>10</v>
      </c>
      <c r="F51" s="17" t="s">
        <v>36</v>
      </c>
      <c r="G51" s="17" t="s">
        <v>607</v>
      </c>
      <c r="H51" s="17" t="s">
        <v>473</v>
      </c>
      <c r="I51" s="17" t="s">
        <v>625</v>
      </c>
      <c r="J51" s="17" t="s">
        <v>626</v>
      </c>
      <c r="K51" s="17" t="s">
        <v>627</v>
      </c>
      <c r="L51" s="17" t="s">
        <v>628</v>
      </c>
      <c r="M51" s="10"/>
    </row>
    <row r="52" spans="1:13" ht="102">
      <c r="A52" s="9"/>
      <c r="B52" s="17" t="s">
        <v>33</v>
      </c>
      <c r="C52" s="17" t="s">
        <v>34</v>
      </c>
      <c r="D52" s="17" t="s">
        <v>188</v>
      </c>
      <c r="E52" s="17">
        <v>11</v>
      </c>
      <c r="F52" s="17" t="s">
        <v>36</v>
      </c>
      <c r="G52" s="17" t="s">
        <v>607</v>
      </c>
      <c r="H52" s="17" t="s">
        <v>629</v>
      </c>
      <c r="I52" s="17" t="s">
        <v>625</v>
      </c>
      <c r="J52" s="17" t="s">
        <v>630</v>
      </c>
      <c r="K52" s="17" t="s">
        <v>631</v>
      </c>
      <c r="L52" s="17" t="s">
        <v>632</v>
      </c>
      <c r="M52" s="10"/>
    </row>
    <row r="53" spans="1:13" ht="102">
      <c r="A53" s="9"/>
      <c r="B53" s="17" t="s">
        <v>33</v>
      </c>
      <c r="C53" s="17" t="s">
        <v>34</v>
      </c>
      <c r="D53" s="17" t="s">
        <v>188</v>
      </c>
      <c r="E53" s="17">
        <v>12</v>
      </c>
      <c r="F53" s="17" t="s">
        <v>36</v>
      </c>
      <c r="G53" s="17" t="s">
        <v>607</v>
      </c>
      <c r="H53" s="17" t="s">
        <v>629</v>
      </c>
      <c r="I53" s="17" t="s">
        <v>625</v>
      </c>
      <c r="J53" s="17" t="s">
        <v>633</v>
      </c>
      <c r="K53" s="17" t="s">
        <v>634</v>
      </c>
      <c r="L53" s="17" t="s">
        <v>635</v>
      </c>
      <c r="M53" s="10"/>
    </row>
  </sheetData>
  <autoFilter ref="A1:M53"/>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sheetPr>
    <tabColor rgb="FFFFBFFC"/>
  </sheetPr>
  <dimension ref="A1:L53"/>
  <sheetViews>
    <sheetView showGridLines="0" workbookViewId="0">
      <pane ySplit="1" topLeftCell="A2" activePane="bottomLeft" state="frozen"/>
      <selection pane="bottomLeft" activeCell="B3" sqref="B3"/>
    </sheetView>
  </sheetViews>
  <sheetFormatPr defaultColWidth="12.5703125" defaultRowHeight="15" customHeight="1"/>
  <cols>
    <col min="1" max="1" width="18.42578125" customWidth="1"/>
    <col min="2" max="2" width="8.85546875" customWidth="1"/>
    <col min="3" max="3" width="8.42578125" customWidth="1"/>
    <col min="4" max="4" width="12.42578125" customWidth="1"/>
    <col min="5" max="5" width="8.140625" customWidth="1"/>
    <col min="6" max="6" width="17.42578125" customWidth="1"/>
    <col min="7" max="7" width="29" customWidth="1"/>
    <col min="8" max="8" width="23.28515625" customWidth="1"/>
    <col min="9" max="9" width="21.85546875" customWidth="1"/>
    <col min="10" max="10" width="40.140625" customWidth="1"/>
    <col min="11" max="12" width="51" customWidth="1"/>
  </cols>
  <sheetData>
    <row r="1" spans="1:12" ht="27" customHeight="1">
      <c r="A1" s="13" t="s">
        <v>20</v>
      </c>
      <c r="B1" s="14" t="s">
        <v>21</v>
      </c>
      <c r="C1" s="13" t="s">
        <v>22</v>
      </c>
      <c r="D1" s="14" t="s">
        <v>23</v>
      </c>
      <c r="E1" s="14" t="s">
        <v>24</v>
      </c>
      <c r="F1" s="14" t="s">
        <v>25</v>
      </c>
      <c r="G1" s="14" t="s">
        <v>27</v>
      </c>
      <c r="H1" s="14" t="s">
        <v>28</v>
      </c>
      <c r="I1" s="14" t="s">
        <v>29</v>
      </c>
      <c r="J1" s="14" t="s">
        <v>30</v>
      </c>
      <c r="K1" s="14" t="s">
        <v>31</v>
      </c>
      <c r="L1" s="7" t="s">
        <v>437</v>
      </c>
    </row>
    <row r="2" spans="1:12" ht="63.75">
      <c r="A2" s="9"/>
      <c r="B2" s="9" t="s">
        <v>33</v>
      </c>
      <c r="C2" s="9" t="s">
        <v>34</v>
      </c>
      <c r="D2" s="9" t="s">
        <v>35</v>
      </c>
      <c r="E2" s="9">
        <v>1</v>
      </c>
      <c r="F2" s="9" t="s">
        <v>36</v>
      </c>
      <c r="G2" s="17" t="s">
        <v>636</v>
      </c>
      <c r="H2" s="9" t="s">
        <v>637</v>
      </c>
      <c r="I2" s="9" t="s">
        <v>638</v>
      </c>
      <c r="J2" s="9" t="s">
        <v>637</v>
      </c>
      <c r="K2" s="9" t="s">
        <v>639</v>
      </c>
      <c r="L2" s="235" t="s">
        <v>640</v>
      </c>
    </row>
    <row r="3" spans="1:12" ht="38.25">
      <c r="A3" s="9"/>
      <c r="B3" s="9" t="s">
        <v>33</v>
      </c>
      <c r="C3" s="9" t="s">
        <v>34</v>
      </c>
      <c r="D3" s="9" t="s">
        <v>35</v>
      </c>
      <c r="E3" s="9">
        <v>2</v>
      </c>
      <c r="F3" s="9" t="s">
        <v>36</v>
      </c>
      <c r="G3" s="9" t="s">
        <v>636</v>
      </c>
      <c r="H3" s="9" t="s">
        <v>641</v>
      </c>
      <c r="I3" s="9" t="s">
        <v>642</v>
      </c>
      <c r="J3" s="9" t="s">
        <v>641</v>
      </c>
      <c r="K3" s="9" t="s">
        <v>643</v>
      </c>
      <c r="L3" s="236"/>
    </row>
    <row r="4" spans="1:12" ht="76.5">
      <c r="A4" s="9"/>
      <c r="B4" s="9" t="s">
        <v>33</v>
      </c>
      <c r="C4" s="9" t="s">
        <v>34</v>
      </c>
      <c r="D4" s="9" t="s">
        <v>35</v>
      </c>
      <c r="E4" s="9">
        <v>3</v>
      </c>
      <c r="F4" s="9" t="s">
        <v>36</v>
      </c>
      <c r="G4" s="9" t="s">
        <v>644</v>
      </c>
      <c r="H4" s="9" t="s">
        <v>645</v>
      </c>
      <c r="I4" s="9" t="s">
        <v>646</v>
      </c>
      <c r="J4" s="9" t="s">
        <v>647</v>
      </c>
      <c r="K4" s="9" t="s">
        <v>648</v>
      </c>
      <c r="L4" s="237"/>
    </row>
    <row r="5" spans="1:12" ht="89.25">
      <c r="A5" s="9"/>
      <c r="B5" s="9" t="s">
        <v>33</v>
      </c>
      <c r="C5" s="9" t="s">
        <v>34</v>
      </c>
      <c r="D5" s="9" t="s">
        <v>35</v>
      </c>
      <c r="E5" s="9">
        <v>4</v>
      </c>
      <c r="F5" s="9" t="s">
        <v>36</v>
      </c>
      <c r="G5" s="9" t="s">
        <v>636</v>
      </c>
      <c r="H5" s="9" t="s">
        <v>649</v>
      </c>
      <c r="I5" s="9" t="s">
        <v>650</v>
      </c>
      <c r="J5" s="9" t="s">
        <v>649</v>
      </c>
      <c r="K5" s="9" t="s">
        <v>651</v>
      </c>
      <c r="L5" s="235" t="s">
        <v>652</v>
      </c>
    </row>
    <row r="6" spans="1:12" ht="76.5">
      <c r="A6" s="9"/>
      <c r="B6" s="9" t="s">
        <v>33</v>
      </c>
      <c r="C6" s="9" t="s">
        <v>34</v>
      </c>
      <c r="D6" s="9" t="s">
        <v>35</v>
      </c>
      <c r="E6" s="9">
        <v>5</v>
      </c>
      <c r="F6" s="9" t="s">
        <v>36</v>
      </c>
      <c r="G6" s="9" t="s">
        <v>644</v>
      </c>
      <c r="H6" s="9" t="s">
        <v>649</v>
      </c>
      <c r="I6" s="9" t="s">
        <v>653</v>
      </c>
      <c r="J6" s="9" t="s">
        <v>654</v>
      </c>
      <c r="K6" s="9" t="s">
        <v>655</v>
      </c>
      <c r="L6" s="237"/>
    </row>
    <row r="7" spans="1:12" ht="102">
      <c r="A7" s="9"/>
      <c r="B7" s="9" t="s">
        <v>33</v>
      </c>
      <c r="C7" s="9" t="s">
        <v>34</v>
      </c>
      <c r="D7" s="9" t="s">
        <v>35</v>
      </c>
      <c r="E7" s="9">
        <v>6</v>
      </c>
      <c r="F7" s="9" t="s">
        <v>36</v>
      </c>
      <c r="G7" s="9" t="s">
        <v>656</v>
      </c>
      <c r="H7" s="9" t="s">
        <v>657</v>
      </c>
      <c r="I7" s="9" t="s">
        <v>658</v>
      </c>
      <c r="J7" s="9" t="s">
        <v>657</v>
      </c>
      <c r="K7" s="9" t="s">
        <v>659</v>
      </c>
      <c r="L7" s="235" t="s">
        <v>660</v>
      </c>
    </row>
    <row r="8" spans="1:12" ht="76.5">
      <c r="A8" s="9"/>
      <c r="B8" s="9" t="s">
        <v>33</v>
      </c>
      <c r="C8" s="9" t="s">
        <v>34</v>
      </c>
      <c r="D8" s="9" t="s">
        <v>35</v>
      </c>
      <c r="E8" s="9">
        <v>7</v>
      </c>
      <c r="F8" s="9" t="s">
        <v>36</v>
      </c>
      <c r="G8" s="9" t="s">
        <v>644</v>
      </c>
      <c r="H8" s="9" t="s">
        <v>657</v>
      </c>
      <c r="I8" s="9" t="s">
        <v>661</v>
      </c>
      <c r="J8" s="9" t="s">
        <v>662</v>
      </c>
      <c r="K8" s="9" t="s">
        <v>655</v>
      </c>
      <c r="L8" s="236"/>
    </row>
    <row r="9" spans="1:12" ht="102">
      <c r="A9" s="9"/>
      <c r="B9" s="9" t="s">
        <v>33</v>
      </c>
      <c r="C9" s="9" t="s">
        <v>34</v>
      </c>
      <c r="D9" s="9" t="s">
        <v>35</v>
      </c>
      <c r="E9" s="9">
        <v>8</v>
      </c>
      <c r="F9" s="9" t="s">
        <v>36</v>
      </c>
      <c r="G9" s="9" t="s">
        <v>656</v>
      </c>
      <c r="H9" s="9" t="s">
        <v>663</v>
      </c>
      <c r="I9" s="9" t="s">
        <v>664</v>
      </c>
      <c r="J9" s="9" t="s">
        <v>663</v>
      </c>
      <c r="K9" s="9" t="s">
        <v>665</v>
      </c>
      <c r="L9" s="236"/>
    </row>
    <row r="10" spans="1:12" ht="76.5">
      <c r="A10" s="9"/>
      <c r="B10" s="9" t="s">
        <v>33</v>
      </c>
      <c r="C10" s="9" t="s">
        <v>34</v>
      </c>
      <c r="D10" s="9" t="s">
        <v>35</v>
      </c>
      <c r="E10" s="9">
        <v>9</v>
      </c>
      <c r="F10" s="9" t="s">
        <v>36</v>
      </c>
      <c r="G10" s="9" t="s">
        <v>644</v>
      </c>
      <c r="H10" s="9" t="s">
        <v>663</v>
      </c>
      <c r="I10" s="9" t="s">
        <v>666</v>
      </c>
      <c r="J10" s="9" t="s">
        <v>667</v>
      </c>
      <c r="K10" s="9" t="s">
        <v>655</v>
      </c>
      <c r="L10" s="237"/>
    </row>
    <row r="11" spans="1:12" ht="89.25">
      <c r="A11" s="9"/>
      <c r="B11" s="9" t="s">
        <v>33</v>
      </c>
      <c r="C11" s="9" t="s">
        <v>34</v>
      </c>
      <c r="D11" s="9" t="s">
        <v>35</v>
      </c>
      <c r="E11" s="9">
        <v>10</v>
      </c>
      <c r="F11" s="9" t="s">
        <v>36</v>
      </c>
      <c r="G11" s="9" t="s">
        <v>656</v>
      </c>
      <c r="H11" s="9" t="s">
        <v>668</v>
      </c>
      <c r="I11" s="9" t="s">
        <v>669</v>
      </c>
      <c r="J11" s="9" t="s">
        <v>668</v>
      </c>
      <c r="K11" s="9" t="s">
        <v>670</v>
      </c>
      <c r="L11" s="235" t="s">
        <v>671</v>
      </c>
    </row>
    <row r="12" spans="1:12" ht="102">
      <c r="A12" s="9"/>
      <c r="B12" s="9" t="s">
        <v>33</v>
      </c>
      <c r="C12" s="9" t="s">
        <v>34</v>
      </c>
      <c r="D12" s="9" t="s">
        <v>35</v>
      </c>
      <c r="E12" s="9">
        <v>11</v>
      </c>
      <c r="F12" s="9" t="s">
        <v>36</v>
      </c>
      <c r="G12" s="9" t="s">
        <v>656</v>
      </c>
      <c r="H12" s="9" t="s">
        <v>672</v>
      </c>
      <c r="I12" s="9" t="s">
        <v>672</v>
      </c>
      <c r="J12" s="9" t="s">
        <v>672</v>
      </c>
      <c r="K12" s="9" t="s">
        <v>673</v>
      </c>
      <c r="L12" s="236"/>
    </row>
    <row r="13" spans="1:12" ht="89.25">
      <c r="A13" s="9"/>
      <c r="B13" s="9" t="s">
        <v>33</v>
      </c>
      <c r="C13" s="9" t="s">
        <v>34</v>
      </c>
      <c r="D13" s="9" t="s">
        <v>35</v>
      </c>
      <c r="E13" s="9">
        <v>12</v>
      </c>
      <c r="F13" s="9" t="s">
        <v>36</v>
      </c>
      <c r="G13" s="9" t="s">
        <v>644</v>
      </c>
      <c r="H13" s="9" t="s">
        <v>674</v>
      </c>
      <c r="I13" s="9" t="s">
        <v>675</v>
      </c>
      <c r="J13" s="9" t="s">
        <v>676</v>
      </c>
      <c r="K13" s="9" t="s">
        <v>677</v>
      </c>
      <c r="L13" s="237"/>
    </row>
    <row r="14" spans="1:12" ht="102">
      <c r="A14" s="9"/>
      <c r="B14" s="9" t="s">
        <v>33</v>
      </c>
      <c r="C14" s="9" t="s">
        <v>34</v>
      </c>
      <c r="D14" s="9" t="s">
        <v>35</v>
      </c>
      <c r="E14" s="9">
        <v>13</v>
      </c>
      <c r="F14" s="9" t="s">
        <v>36</v>
      </c>
      <c r="G14" s="9" t="s">
        <v>656</v>
      </c>
      <c r="H14" s="9" t="s">
        <v>678</v>
      </c>
      <c r="I14" s="9" t="s">
        <v>679</v>
      </c>
      <c r="J14" s="9" t="s">
        <v>678</v>
      </c>
      <c r="K14" s="9" t="s">
        <v>680</v>
      </c>
      <c r="L14" s="235" t="s">
        <v>681</v>
      </c>
    </row>
    <row r="15" spans="1:12" ht="76.5">
      <c r="A15" s="9"/>
      <c r="B15" s="9" t="s">
        <v>33</v>
      </c>
      <c r="C15" s="9" t="s">
        <v>34</v>
      </c>
      <c r="D15" s="9" t="s">
        <v>35</v>
      </c>
      <c r="E15" s="9">
        <v>14</v>
      </c>
      <c r="F15" s="9" t="s">
        <v>36</v>
      </c>
      <c r="G15" s="9" t="s">
        <v>644</v>
      </c>
      <c r="H15" s="9" t="s">
        <v>678</v>
      </c>
      <c r="I15" s="9" t="s">
        <v>682</v>
      </c>
      <c r="J15" s="9" t="s">
        <v>678</v>
      </c>
      <c r="K15" s="9" t="s">
        <v>683</v>
      </c>
      <c r="L15" s="237"/>
    </row>
    <row r="16" spans="1:12" ht="114.75">
      <c r="A16" s="9"/>
      <c r="B16" s="9" t="s">
        <v>33</v>
      </c>
      <c r="C16" s="9" t="s">
        <v>34</v>
      </c>
      <c r="D16" s="9" t="s">
        <v>90</v>
      </c>
      <c r="E16" s="9">
        <v>1</v>
      </c>
      <c r="F16" s="9" t="s">
        <v>36</v>
      </c>
      <c r="G16" s="9" t="s">
        <v>656</v>
      </c>
      <c r="H16" s="9" t="s">
        <v>684</v>
      </c>
      <c r="I16" s="9" t="s">
        <v>684</v>
      </c>
      <c r="J16" s="9" t="s">
        <v>684</v>
      </c>
      <c r="K16" s="9" t="s">
        <v>685</v>
      </c>
      <c r="L16" s="235" t="s">
        <v>686</v>
      </c>
    </row>
    <row r="17" spans="1:12" ht="76.5">
      <c r="A17" s="9"/>
      <c r="B17" s="9" t="s">
        <v>33</v>
      </c>
      <c r="C17" s="9" t="s">
        <v>34</v>
      </c>
      <c r="D17" s="9" t="s">
        <v>90</v>
      </c>
      <c r="E17" s="9">
        <v>2</v>
      </c>
      <c r="F17" s="9" t="s">
        <v>36</v>
      </c>
      <c r="G17" s="9" t="s">
        <v>644</v>
      </c>
      <c r="H17" s="9" t="s">
        <v>687</v>
      </c>
      <c r="I17" s="19" t="s">
        <v>688</v>
      </c>
      <c r="J17" s="9" t="s">
        <v>689</v>
      </c>
      <c r="K17" s="9" t="s">
        <v>655</v>
      </c>
      <c r="L17" s="237"/>
    </row>
    <row r="18" spans="1:12" ht="114.75">
      <c r="A18" s="9"/>
      <c r="B18" s="9" t="s">
        <v>33</v>
      </c>
      <c r="C18" s="9" t="s">
        <v>34</v>
      </c>
      <c r="D18" s="9" t="s">
        <v>90</v>
      </c>
      <c r="E18" s="9">
        <v>3</v>
      </c>
      <c r="F18" s="9" t="s">
        <v>36</v>
      </c>
      <c r="G18" s="9" t="s">
        <v>656</v>
      </c>
      <c r="H18" s="9" t="s">
        <v>690</v>
      </c>
      <c r="I18" s="9" t="s">
        <v>691</v>
      </c>
      <c r="J18" s="9" t="s">
        <v>690</v>
      </c>
      <c r="K18" s="9" t="s">
        <v>692</v>
      </c>
      <c r="L18" s="235" t="s">
        <v>693</v>
      </c>
    </row>
    <row r="19" spans="1:12" ht="76.5">
      <c r="A19" s="9"/>
      <c r="B19" s="9" t="s">
        <v>33</v>
      </c>
      <c r="C19" s="9" t="s">
        <v>34</v>
      </c>
      <c r="D19" s="9" t="s">
        <v>90</v>
      </c>
      <c r="E19" s="9">
        <v>4</v>
      </c>
      <c r="F19" s="9" t="s">
        <v>36</v>
      </c>
      <c r="G19" s="9" t="s">
        <v>644</v>
      </c>
      <c r="H19" s="9" t="s">
        <v>694</v>
      </c>
      <c r="I19" s="9" t="s">
        <v>695</v>
      </c>
      <c r="J19" s="9" t="s">
        <v>696</v>
      </c>
      <c r="K19" s="9" t="s">
        <v>683</v>
      </c>
      <c r="L19" s="237"/>
    </row>
    <row r="20" spans="1:12" ht="102">
      <c r="A20" s="9"/>
      <c r="B20" s="9" t="s">
        <v>33</v>
      </c>
      <c r="C20" s="9" t="s">
        <v>34</v>
      </c>
      <c r="D20" s="9" t="s">
        <v>90</v>
      </c>
      <c r="E20" s="9">
        <v>5</v>
      </c>
      <c r="F20" s="9" t="s">
        <v>36</v>
      </c>
      <c r="G20" s="9" t="s">
        <v>656</v>
      </c>
      <c r="H20" s="9" t="s">
        <v>697</v>
      </c>
      <c r="I20" s="9" t="s">
        <v>698</v>
      </c>
      <c r="J20" s="9" t="s">
        <v>697</v>
      </c>
      <c r="K20" s="9" t="s">
        <v>699</v>
      </c>
      <c r="L20" s="235" t="s">
        <v>700</v>
      </c>
    </row>
    <row r="21" spans="1:12" ht="76.5">
      <c r="A21" s="9"/>
      <c r="B21" s="9" t="s">
        <v>33</v>
      </c>
      <c r="C21" s="9" t="s">
        <v>34</v>
      </c>
      <c r="D21" s="9" t="s">
        <v>90</v>
      </c>
      <c r="E21" s="9">
        <v>6</v>
      </c>
      <c r="F21" s="9" t="s">
        <v>36</v>
      </c>
      <c r="G21" s="9" t="s">
        <v>644</v>
      </c>
      <c r="H21" s="9" t="s">
        <v>687</v>
      </c>
      <c r="I21" s="9" t="s">
        <v>701</v>
      </c>
      <c r="J21" s="9" t="s">
        <v>702</v>
      </c>
      <c r="K21" s="9" t="s">
        <v>683</v>
      </c>
      <c r="L21" s="237"/>
    </row>
    <row r="22" spans="1:12" ht="140.25">
      <c r="A22" s="9"/>
      <c r="B22" s="9" t="s">
        <v>33</v>
      </c>
      <c r="C22" s="9" t="s">
        <v>34</v>
      </c>
      <c r="D22" s="9" t="s">
        <v>90</v>
      </c>
      <c r="E22" s="9">
        <v>7</v>
      </c>
      <c r="F22" s="9" t="s">
        <v>36</v>
      </c>
      <c r="G22" s="9" t="s">
        <v>703</v>
      </c>
      <c r="H22" s="9" t="s">
        <v>704</v>
      </c>
      <c r="I22" s="9" t="s">
        <v>705</v>
      </c>
      <c r="J22" s="9" t="s">
        <v>705</v>
      </c>
      <c r="K22" s="9" t="s">
        <v>706</v>
      </c>
      <c r="L22" s="235" t="s">
        <v>707</v>
      </c>
    </row>
    <row r="23" spans="1:12" ht="76.5">
      <c r="A23" s="9"/>
      <c r="B23" s="9" t="s">
        <v>33</v>
      </c>
      <c r="C23" s="9" t="s">
        <v>34</v>
      </c>
      <c r="D23" s="9" t="s">
        <v>90</v>
      </c>
      <c r="E23" s="9">
        <v>8</v>
      </c>
      <c r="F23" s="9" t="s">
        <v>36</v>
      </c>
      <c r="G23" s="9" t="s">
        <v>644</v>
      </c>
      <c r="H23" s="9" t="s">
        <v>687</v>
      </c>
      <c r="I23" s="9" t="s">
        <v>708</v>
      </c>
      <c r="J23" s="9" t="s">
        <v>709</v>
      </c>
      <c r="K23" s="9" t="s">
        <v>683</v>
      </c>
      <c r="L23" s="237"/>
    </row>
    <row r="24" spans="1:12" ht="140.25">
      <c r="A24" s="9"/>
      <c r="B24" s="9" t="s">
        <v>33</v>
      </c>
      <c r="C24" s="9" t="s">
        <v>34</v>
      </c>
      <c r="D24" s="9" t="s">
        <v>90</v>
      </c>
      <c r="E24" s="9">
        <v>9</v>
      </c>
      <c r="F24" s="9" t="s">
        <v>36</v>
      </c>
      <c r="G24" s="9" t="s">
        <v>710</v>
      </c>
      <c r="H24" s="9" t="s">
        <v>711</v>
      </c>
      <c r="I24" s="9" t="s">
        <v>712</v>
      </c>
      <c r="J24" s="9" t="s">
        <v>711</v>
      </c>
      <c r="K24" s="9" t="s">
        <v>713</v>
      </c>
      <c r="L24" s="10" t="s">
        <v>714</v>
      </c>
    </row>
    <row r="25" spans="1:12" ht="102">
      <c r="A25" s="9"/>
      <c r="B25" s="9" t="s">
        <v>33</v>
      </c>
      <c r="C25" s="9" t="s">
        <v>34</v>
      </c>
      <c r="D25" s="9" t="s">
        <v>90</v>
      </c>
      <c r="E25" s="9">
        <v>10</v>
      </c>
      <c r="F25" s="9" t="s">
        <v>36</v>
      </c>
      <c r="G25" s="9" t="s">
        <v>715</v>
      </c>
      <c r="H25" s="9" t="s">
        <v>716</v>
      </c>
      <c r="I25" s="9" t="s">
        <v>716</v>
      </c>
      <c r="J25" s="9" t="s">
        <v>716</v>
      </c>
      <c r="K25" s="9" t="s">
        <v>717</v>
      </c>
      <c r="L25" s="235" t="s">
        <v>718</v>
      </c>
    </row>
    <row r="26" spans="1:12" ht="76.5">
      <c r="A26" s="9"/>
      <c r="B26" s="9" t="s">
        <v>33</v>
      </c>
      <c r="C26" s="9" t="s">
        <v>34</v>
      </c>
      <c r="D26" s="9" t="s">
        <v>90</v>
      </c>
      <c r="E26" s="9">
        <v>11</v>
      </c>
      <c r="F26" s="9" t="s">
        <v>36</v>
      </c>
      <c r="G26" s="9" t="s">
        <v>644</v>
      </c>
      <c r="H26" s="9" t="s">
        <v>694</v>
      </c>
      <c r="I26" s="20" t="s">
        <v>719</v>
      </c>
      <c r="J26" s="9" t="s">
        <v>720</v>
      </c>
      <c r="K26" s="9" t="s">
        <v>683</v>
      </c>
      <c r="L26" s="237"/>
    </row>
    <row r="27" spans="1:12" ht="140.25">
      <c r="A27" s="9"/>
      <c r="B27" s="9" t="s">
        <v>33</v>
      </c>
      <c r="C27" s="9" t="s">
        <v>34</v>
      </c>
      <c r="D27" s="9" t="s">
        <v>90</v>
      </c>
      <c r="E27" s="9">
        <v>12</v>
      </c>
      <c r="F27" s="9" t="s">
        <v>36</v>
      </c>
      <c r="G27" s="9" t="s">
        <v>703</v>
      </c>
      <c r="H27" s="9" t="s">
        <v>721</v>
      </c>
      <c r="I27" s="9" t="s">
        <v>722</v>
      </c>
      <c r="J27" s="9" t="s">
        <v>721</v>
      </c>
      <c r="K27" s="9" t="s">
        <v>723</v>
      </c>
      <c r="L27" s="235" t="s">
        <v>724</v>
      </c>
    </row>
    <row r="28" spans="1:12" ht="76.5">
      <c r="A28" s="9"/>
      <c r="B28" s="9" t="s">
        <v>33</v>
      </c>
      <c r="C28" s="9" t="s">
        <v>34</v>
      </c>
      <c r="D28" s="9" t="s">
        <v>90</v>
      </c>
      <c r="E28" s="9">
        <v>13</v>
      </c>
      <c r="F28" s="9" t="s">
        <v>36</v>
      </c>
      <c r="G28" s="9" t="s">
        <v>644</v>
      </c>
      <c r="H28" s="9" t="s">
        <v>687</v>
      </c>
      <c r="I28" s="21" t="s">
        <v>725</v>
      </c>
      <c r="J28" s="9" t="s">
        <v>726</v>
      </c>
      <c r="K28" s="9" t="s">
        <v>655</v>
      </c>
      <c r="L28" s="236"/>
    </row>
    <row r="29" spans="1:12" ht="102">
      <c r="A29" s="9"/>
      <c r="B29" s="9" t="s">
        <v>33</v>
      </c>
      <c r="C29" s="9" t="s">
        <v>34</v>
      </c>
      <c r="D29" s="9" t="s">
        <v>90</v>
      </c>
      <c r="E29" s="9">
        <v>14</v>
      </c>
      <c r="F29" s="9" t="s">
        <v>36</v>
      </c>
      <c r="G29" s="9" t="s">
        <v>727</v>
      </c>
      <c r="H29" s="9" t="s">
        <v>728</v>
      </c>
      <c r="I29" s="9" t="s">
        <v>729</v>
      </c>
      <c r="J29" s="9" t="s">
        <v>730</v>
      </c>
      <c r="K29" s="9" t="s">
        <v>731</v>
      </c>
      <c r="L29" s="237"/>
    </row>
    <row r="30" spans="1:12" ht="102">
      <c r="A30" s="9"/>
      <c r="B30" s="17" t="s">
        <v>33</v>
      </c>
      <c r="C30" s="17" t="s">
        <v>34</v>
      </c>
      <c r="D30" s="17" t="s">
        <v>144</v>
      </c>
      <c r="E30" s="17">
        <v>1</v>
      </c>
      <c r="F30" s="17" t="s">
        <v>36</v>
      </c>
      <c r="G30" s="17" t="s">
        <v>710</v>
      </c>
      <c r="H30" s="17" t="s">
        <v>732</v>
      </c>
      <c r="I30" s="17" t="s">
        <v>733</v>
      </c>
      <c r="J30" s="17" t="s">
        <v>734</v>
      </c>
      <c r="K30" s="12" t="s">
        <v>735</v>
      </c>
      <c r="L30" s="238" t="s">
        <v>733</v>
      </c>
    </row>
    <row r="31" spans="1:12" ht="114.75">
      <c r="A31" s="9"/>
      <c r="B31" s="17" t="s">
        <v>33</v>
      </c>
      <c r="C31" s="17" t="s">
        <v>34</v>
      </c>
      <c r="D31" s="17" t="s">
        <v>144</v>
      </c>
      <c r="E31" s="17">
        <v>2</v>
      </c>
      <c r="F31" s="17" t="s">
        <v>36</v>
      </c>
      <c r="G31" s="17" t="s">
        <v>736</v>
      </c>
      <c r="H31" s="17" t="s">
        <v>737</v>
      </c>
      <c r="I31" s="17" t="s">
        <v>738</v>
      </c>
      <c r="J31" s="17" t="s">
        <v>739</v>
      </c>
      <c r="K31" s="12" t="s">
        <v>740</v>
      </c>
      <c r="L31" s="239"/>
    </row>
    <row r="32" spans="1:12" ht="76.5">
      <c r="A32" s="9"/>
      <c r="B32" s="17" t="s">
        <v>33</v>
      </c>
      <c r="C32" s="17" t="s">
        <v>34</v>
      </c>
      <c r="D32" s="17" t="s">
        <v>144</v>
      </c>
      <c r="E32" s="17">
        <v>3</v>
      </c>
      <c r="F32" s="17" t="s">
        <v>36</v>
      </c>
      <c r="G32" s="17" t="s">
        <v>644</v>
      </c>
      <c r="H32" s="17" t="s">
        <v>741</v>
      </c>
      <c r="I32" s="17" t="s">
        <v>742</v>
      </c>
      <c r="J32" s="17" t="s">
        <v>743</v>
      </c>
      <c r="K32" s="12" t="s">
        <v>683</v>
      </c>
      <c r="L32" s="240"/>
    </row>
    <row r="33" spans="1:12" ht="102">
      <c r="A33" s="9"/>
      <c r="B33" s="17" t="s">
        <v>33</v>
      </c>
      <c r="C33" s="17" t="s">
        <v>34</v>
      </c>
      <c r="D33" s="17" t="s">
        <v>144</v>
      </c>
      <c r="E33" s="17">
        <v>4</v>
      </c>
      <c r="F33" s="17" t="s">
        <v>36</v>
      </c>
      <c r="G33" s="17" t="s">
        <v>710</v>
      </c>
      <c r="H33" s="17" t="s">
        <v>744</v>
      </c>
      <c r="I33" s="17" t="s">
        <v>745</v>
      </c>
      <c r="J33" s="17" t="s">
        <v>746</v>
      </c>
      <c r="K33" s="12" t="s">
        <v>747</v>
      </c>
      <c r="L33" s="238" t="s">
        <v>748</v>
      </c>
    </row>
    <row r="34" spans="1:12" ht="76.5">
      <c r="A34" s="9"/>
      <c r="B34" s="17" t="s">
        <v>33</v>
      </c>
      <c r="C34" s="17" t="s">
        <v>34</v>
      </c>
      <c r="D34" s="17" t="s">
        <v>144</v>
      </c>
      <c r="E34" s="17">
        <v>5</v>
      </c>
      <c r="F34" s="17" t="s">
        <v>36</v>
      </c>
      <c r="G34" s="17" t="s">
        <v>644</v>
      </c>
      <c r="H34" s="17" t="s">
        <v>744</v>
      </c>
      <c r="I34" s="17" t="s">
        <v>749</v>
      </c>
      <c r="J34" s="17" t="s">
        <v>750</v>
      </c>
      <c r="K34" s="12" t="s">
        <v>683</v>
      </c>
      <c r="L34" s="240"/>
    </row>
    <row r="35" spans="1:12" ht="102">
      <c r="A35" s="9"/>
      <c r="B35" s="17" t="s">
        <v>33</v>
      </c>
      <c r="C35" s="17" t="s">
        <v>34</v>
      </c>
      <c r="D35" s="17" t="s">
        <v>144</v>
      </c>
      <c r="E35" s="17">
        <v>6</v>
      </c>
      <c r="F35" s="17" t="s">
        <v>36</v>
      </c>
      <c r="G35" s="17" t="s">
        <v>751</v>
      </c>
      <c r="H35" s="17" t="s">
        <v>752</v>
      </c>
      <c r="I35" s="17" t="s">
        <v>753</v>
      </c>
      <c r="J35" s="17" t="s">
        <v>754</v>
      </c>
      <c r="K35" s="12" t="s">
        <v>755</v>
      </c>
      <c r="L35" s="238" t="s">
        <v>756</v>
      </c>
    </row>
    <row r="36" spans="1:12" ht="76.5">
      <c r="A36" s="9"/>
      <c r="B36" s="17" t="s">
        <v>33</v>
      </c>
      <c r="C36" s="17" t="s">
        <v>34</v>
      </c>
      <c r="D36" s="17" t="s">
        <v>144</v>
      </c>
      <c r="E36" s="17">
        <v>7</v>
      </c>
      <c r="F36" s="17" t="s">
        <v>36</v>
      </c>
      <c r="G36" s="17" t="s">
        <v>644</v>
      </c>
      <c r="H36" s="17" t="s">
        <v>752</v>
      </c>
      <c r="I36" s="17" t="s">
        <v>757</v>
      </c>
      <c r="J36" s="17" t="s">
        <v>758</v>
      </c>
      <c r="K36" s="12" t="s">
        <v>683</v>
      </c>
      <c r="L36" s="240"/>
    </row>
    <row r="37" spans="1:12" ht="102">
      <c r="A37" s="9"/>
      <c r="B37" s="17" t="s">
        <v>33</v>
      </c>
      <c r="C37" s="17" t="s">
        <v>34</v>
      </c>
      <c r="D37" s="17" t="s">
        <v>144</v>
      </c>
      <c r="E37" s="17">
        <v>8</v>
      </c>
      <c r="F37" s="17" t="s">
        <v>36</v>
      </c>
      <c r="G37" s="17" t="s">
        <v>727</v>
      </c>
      <c r="H37" s="17" t="s">
        <v>759</v>
      </c>
      <c r="I37" s="17" t="s">
        <v>760</v>
      </c>
      <c r="J37" s="17" t="s">
        <v>761</v>
      </c>
      <c r="K37" s="12" t="s">
        <v>762</v>
      </c>
      <c r="L37" s="22" t="s">
        <v>763</v>
      </c>
    </row>
    <row r="38" spans="1:12" ht="140.25">
      <c r="A38" s="9"/>
      <c r="B38" s="17" t="s">
        <v>33</v>
      </c>
      <c r="C38" s="17" t="s">
        <v>34</v>
      </c>
      <c r="D38" s="17" t="s">
        <v>144</v>
      </c>
      <c r="E38" s="17">
        <v>9</v>
      </c>
      <c r="F38" s="17" t="s">
        <v>36</v>
      </c>
      <c r="G38" s="17" t="s">
        <v>703</v>
      </c>
      <c r="H38" s="17" t="s">
        <v>764</v>
      </c>
      <c r="I38" s="17" t="s">
        <v>765</v>
      </c>
      <c r="J38" s="17" t="s">
        <v>766</v>
      </c>
      <c r="K38" s="12" t="s">
        <v>767</v>
      </c>
      <c r="L38" s="22" t="s">
        <v>768</v>
      </c>
    </row>
    <row r="39" spans="1:12" ht="102">
      <c r="A39" s="9"/>
      <c r="B39" s="17" t="s">
        <v>33</v>
      </c>
      <c r="C39" s="17" t="s">
        <v>34</v>
      </c>
      <c r="D39" s="17" t="s">
        <v>144</v>
      </c>
      <c r="E39" s="17">
        <v>10</v>
      </c>
      <c r="F39" s="17" t="s">
        <v>36</v>
      </c>
      <c r="G39" s="17" t="s">
        <v>710</v>
      </c>
      <c r="H39" s="17" t="s">
        <v>769</v>
      </c>
      <c r="I39" s="17" t="s">
        <v>770</v>
      </c>
      <c r="J39" s="17" t="s">
        <v>771</v>
      </c>
      <c r="K39" s="12" t="s">
        <v>772</v>
      </c>
      <c r="L39" s="238" t="s">
        <v>773</v>
      </c>
    </row>
    <row r="40" spans="1:12" ht="102">
      <c r="A40" s="9"/>
      <c r="B40" s="17" t="s">
        <v>33</v>
      </c>
      <c r="C40" s="17" t="s">
        <v>34</v>
      </c>
      <c r="D40" s="17" t="s">
        <v>144</v>
      </c>
      <c r="E40" s="17">
        <v>11</v>
      </c>
      <c r="F40" s="17" t="s">
        <v>36</v>
      </c>
      <c r="G40" s="17" t="s">
        <v>710</v>
      </c>
      <c r="H40" s="17" t="s">
        <v>774</v>
      </c>
      <c r="I40" s="17" t="s">
        <v>775</v>
      </c>
      <c r="J40" s="17" t="s">
        <v>776</v>
      </c>
      <c r="K40" s="12" t="s">
        <v>777</v>
      </c>
      <c r="L40" s="239"/>
    </row>
    <row r="41" spans="1:12" ht="76.5">
      <c r="A41" s="9"/>
      <c r="B41" s="17" t="s">
        <v>33</v>
      </c>
      <c r="C41" s="17" t="s">
        <v>34</v>
      </c>
      <c r="D41" s="17" t="s">
        <v>144</v>
      </c>
      <c r="E41" s="17">
        <v>12</v>
      </c>
      <c r="F41" s="17" t="s">
        <v>36</v>
      </c>
      <c r="G41" s="17" t="s">
        <v>644</v>
      </c>
      <c r="H41" s="17" t="s">
        <v>778</v>
      </c>
      <c r="I41" s="17" t="s">
        <v>779</v>
      </c>
      <c r="J41" s="17" t="s">
        <v>780</v>
      </c>
      <c r="K41" s="12" t="s">
        <v>683</v>
      </c>
      <c r="L41" s="240"/>
    </row>
    <row r="42" spans="1:12" ht="76.5">
      <c r="A42" s="9"/>
      <c r="B42" s="17" t="s">
        <v>33</v>
      </c>
      <c r="C42" s="17" t="s">
        <v>34</v>
      </c>
      <c r="D42" s="17" t="s">
        <v>188</v>
      </c>
      <c r="E42" s="17">
        <v>1</v>
      </c>
      <c r="F42" s="17" t="s">
        <v>36</v>
      </c>
      <c r="G42" s="17" t="s">
        <v>781</v>
      </c>
      <c r="H42" s="17" t="s">
        <v>782</v>
      </c>
      <c r="I42" s="17" t="s">
        <v>783</v>
      </c>
      <c r="J42" s="17" t="s">
        <v>784</v>
      </c>
      <c r="K42" s="12" t="s">
        <v>785</v>
      </c>
      <c r="L42" s="238" t="s">
        <v>786</v>
      </c>
    </row>
    <row r="43" spans="1:12" ht="51">
      <c r="A43" s="9"/>
      <c r="B43" s="17" t="s">
        <v>33</v>
      </c>
      <c r="C43" s="17" t="s">
        <v>34</v>
      </c>
      <c r="D43" s="17" t="s">
        <v>188</v>
      </c>
      <c r="E43" s="17">
        <v>2</v>
      </c>
      <c r="F43" s="17" t="s">
        <v>36</v>
      </c>
      <c r="G43" s="17" t="s">
        <v>787</v>
      </c>
      <c r="H43" s="17" t="s">
        <v>788</v>
      </c>
      <c r="I43" s="17" t="s">
        <v>789</v>
      </c>
      <c r="J43" s="17" t="s">
        <v>790</v>
      </c>
      <c r="K43" s="12" t="s">
        <v>791</v>
      </c>
      <c r="L43" s="240"/>
    </row>
    <row r="44" spans="1:12" ht="102">
      <c r="A44" s="9"/>
      <c r="B44" s="17" t="s">
        <v>33</v>
      </c>
      <c r="C44" s="17" t="s">
        <v>34</v>
      </c>
      <c r="D44" s="17" t="s">
        <v>188</v>
      </c>
      <c r="E44" s="17">
        <v>3</v>
      </c>
      <c r="F44" s="17" t="s">
        <v>36</v>
      </c>
      <c r="G44" s="17" t="s">
        <v>710</v>
      </c>
      <c r="H44" s="17" t="s">
        <v>792</v>
      </c>
      <c r="I44" s="17" t="s">
        <v>793</v>
      </c>
      <c r="J44" s="17" t="s">
        <v>794</v>
      </c>
      <c r="K44" s="12" t="s">
        <v>795</v>
      </c>
      <c r="L44" s="238" t="s">
        <v>796</v>
      </c>
    </row>
    <row r="45" spans="1:12" ht="114.75">
      <c r="A45" s="9"/>
      <c r="B45" s="17" t="s">
        <v>33</v>
      </c>
      <c r="C45" s="17" t="s">
        <v>34</v>
      </c>
      <c r="D45" s="17" t="s">
        <v>188</v>
      </c>
      <c r="E45" s="17">
        <v>4</v>
      </c>
      <c r="F45" s="17" t="s">
        <v>36</v>
      </c>
      <c r="G45" s="17" t="s">
        <v>797</v>
      </c>
      <c r="H45" s="17" t="s">
        <v>798</v>
      </c>
      <c r="I45" s="17" t="s">
        <v>799</v>
      </c>
      <c r="J45" s="17" t="s">
        <v>800</v>
      </c>
      <c r="K45" s="12" t="s">
        <v>801</v>
      </c>
      <c r="L45" s="239"/>
    </row>
    <row r="46" spans="1:12" ht="76.5">
      <c r="A46" s="9"/>
      <c r="B46" s="17" t="s">
        <v>33</v>
      </c>
      <c r="C46" s="17" t="s">
        <v>34</v>
      </c>
      <c r="D46" s="17" t="s">
        <v>188</v>
      </c>
      <c r="E46" s="17">
        <v>5</v>
      </c>
      <c r="F46" s="17" t="s">
        <v>36</v>
      </c>
      <c r="G46" s="17" t="s">
        <v>644</v>
      </c>
      <c r="H46" s="17" t="s">
        <v>802</v>
      </c>
      <c r="I46" s="17" t="s">
        <v>803</v>
      </c>
      <c r="J46" s="17" t="s">
        <v>804</v>
      </c>
      <c r="K46" s="12" t="s">
        <v>805</v>
      </c>
      <c r="L46" s="240"/>
    </row>
    <row r="47" spans="1:12" ht="102">
      <c r="A47" s="9"/>
      <c r="B47" s="17" t="s">
        <v>33</v>
      </c>
      <c r="C47" s="17" t="s">
        <v>34</v>
      </c>
      <c r="D47" s="17" t="s">
        <v>188</v>
      </c>
      <c r="E47" s="17">
        <v>6</v>
      </c>
      <c r="F47" s="17" t="s">
        <v>36</v>
      </c>
      <c r="G47" s="17" t="s">
        <v>710</v>
      </c>
      <c r="H47" s="17" t="s">
        <v>806</v>
      </c>
      <c r="I47" s="17" t="s">
        <v>807</v>
      </c>
      <c r="J47" s="17" t="s">
        <v>808</v>
      </c>
      <c r="K47" s="12" t="s">
        <v>809</v>
      </c>
      <c r="L47" s="238" t="s">
        <v>810</v>
      </c>
    </row>
    <row r="48" spans="1:12" ht="76.5">
      <c r="A48" s="9"/>
      <c r="B48" s="17" t="s">
        <v>33</v>
      </c>
      <c r="C48" s="17" t="s">
        <v>34</v>
      </c>
      <c r="D48" s="17" t="s">
        <v>188</v>
      </c>
      <c r="E48" s="17">
        <v>7</v>
      </c>
      <c r="F48" s="17" t="s">
        <v>36</v>
      </c>
      <c r="G48" s="17" t="s">
        <v>644</v>
      </c>
      <c r="H48" s="17" t="s">
        <v>806</v>
      </c>
      <c r="I48" s="17" t="s">
        <v>811</v>
      </c>
      <c r="J48" s="17" t="s">
        <v>812</v>
      </c>
      <c r="K48" s="12" t="s">
        <v>683</v>
      </c>
      <c r="L48" s="240"/>
    </row>
    <row r="49" spans="1:12" ht="76.5">
      <c r="A49" s="9"/>
      <c r="B49" s="17" t="s">
        <v>33</v>
      </c>
      <c r="C49" s="17" t="s">
        <v>34</v>
      </c>
      <c r="D49" s="17" t="s">
        <v>188</v>
      </c>
      <c r="E49" s="17">
        <v>8</v>
      </c>
      <c r="F49" s="17" t="s">
        <v>36</v>
      </c>
      <c r="G49" s="17" t="s">
        <v>813</v>
      </c>
      <c r="H49" s="17" t="s">
        <v>814</v>
      </c>
      <c r="I49" s="17" t="s">
        <v>815</v>
      </c>
      <c r="J49" s="17" t="s">
        <v>816</v>
      </c>
      <c r="K49" s="12" t="s">
        <v>817</v>
      </c>
      <c r="L49" s="238" t="s">
        <v>818</v>
      </c>
    </row>
    <row r="50" spans="1:12" ht="102">
      <c r="A50" s="9"/>
      <c r="B50" s="17" t="s">
        <v>33</v>
      </c>
      <c r="C50" s="17" t="s">
        <v>34</v>
      </c>
      <c r="D50" s="17" t="s">
        <v>188</v>
      </c>
      <c r="E50" s="17">
        <v>9</v>
      </c>
      <c r="F50" s="17" t="s">
        <v>36</v>
      </c>
      <c r="G50" s="17" t="s">
        <v>819</v>
      </c>
      <c r="H50" s="17" t="s">
        <v>820</v>
      </c>
      <c r="I50" s="17" t="s">
        <v>821</v>
      </c>
      <c r="J50" s="17" t="s">
        <v>822</v>
      </c>
      <c r="K50" s="12" t="s">
        <v>823</v>
      </c>
      <c r="L50" s="239"/>
    </row>
    <row r="51" spans="1:12" ht="76.5">
      <c r="A51" s="9"/>
      <c r="B51" s="17" t="s">
        <v>33</v>
      </c>
      <c r="C51" s="17" t="s">
        <v>34</v>
      </c>
      <c r="D51" s="17" t="s">
        <v>188</v>
      </c>
      <c r="E51" s="17">
        <v>10</v>
      </c>
      <c r="F51" s="17" t="s">
        <v>36</v>
      </c>
      <c r="G51" s="17" t="s">
        <v>644</v>
      </c>
      <c r="H51" s="17" t="s">
        <v>824</v>
      </c>
      <c r="I51" s="17" t="s">
        <v>825</v>
      </c>
      <c r="J51" s="17" t="s">
        <v>826</v>
      </c>
      <c r="K51" s="12" t="s">
        <v>683</v>
      </c>
      <c r="L51" s="240"/>
    </row>
    <row r="52" spans="1:12" ht="102">
      <c r="A52" s="9"/>
      <c r="B52" s="17" t="s">
        <v>33</v>
      </c>
      <c r="C52" s="17" t="s">
        <v>34</v>
      </c>
      <c r="D52" s="17" t="s">
        <v>188</v>
      </c>
      <c r="E52" s="17">
        <v>11</v>
      </c>
      <c r="F52" s="17" t="s">
        <v>36</v>
      </c>
      <c r="G52" s="17" t="s">
        <v>710</v>
      </c>
      <c r="H52" s="17" t="s">
        <v>827</v>
      </c>
      <c r="I52" s="17" t="s">
        <v>828</v>
      </c>
      <c r="J52" s="17" t="s">
        <v>829</v>
      </c>
      <c r="K52" s="12" t="s">
        <v>830</v>
      </c>
      <c r="L52" s="238" t="s">
        <v>828</v>
      </c>
    </row>
    <row r="53" spans="1:12" ht="102">
      <c r="A53" s="9"/>
      <c r="B53" s="17" t="s">
        <v>33</v>
      </c>
      <c r="C53" s="17" t="s">
        <v>34</v>
      </c>
      <c r="D53" s="17" t="s">
        <v>188</v>
      </c>
      <c r="E53" s="17">
        <v>12</v>
      </c>
      <c r="F53" s="17" t="s">
        <v>36</v>
      </c>
      <c r="G53" s="17" t="s">
        <v>727</v>
      </c>
      <c r="H53" s="17" t="s">
        <v>831</v>
      </c>
      <c r="I53" s="17" t="s">
        <v>832</v>
      </c>
      <c r="J53" s="17" t="s">
        <v>833</v>
      </c>
      <c r="K53" s="12" t="s">
        <v>834</v>
      </c>
      <c r="L53" s="240"/>
    </row>
  </sheetData>
  <autoFilter ref="A1:L53"/>
  <mergeCells count="20">
    <mergeCell ref="L47:L48"/>
    <mergeCell ref="L49:L51"/>
    <mergeCell ref="L52:L53"/>
    <mergeCell ref="L20:L21"/>
    <mergeCell ref="L22:L23"/>
    <mergeCell ref="L25:L26"/>
    <mergeCell ref="L27:L29"/>
    <mergeCell ref="L30:L32"/>
    <mergeCell ref="L33:L34"/>
    <mergeCell ref="L35:L36"/>
    <mergeCell ref="L16:L17"/>
    <mergeCell ref="L18:L19"/>
    <mergeCell ref="L39:L41"/>
    <mergeCell ref="L42:L43"/>
    <mergeCell ref="L44:L46"/>
    <mergeCell ref="L2:L4"/>
    <mergeCell ref="L5:L6"/>
    <mergeCell ref="L7:L10"/>
    <mergeCell ref="L11:L13"/>
    <mergeCell ref="L14:L15"/>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sheetPr>
    <tabColor rgb="FFFFBFFC"/>
  </sheetPr>
  <dimension ref="A1:M53"/>
  <sheetViews>
    <sheetView workbookViewId="0">
      <pane ySplit="1" topLeftCell="A2" activePane="bottomLeft" state="frozen"/>
      <selection pane="bottomLeft" activeCell="B3" sqref="B3"/>
    </sheetView>
  </sheetViews>
  <sheetFormatPr defaultColWidth="12.5703125" defaultRowHeight="15" customHeight="1"/>
  <cols>
    <col min="1" max="1" width="18" customWidth="1"/>
    <col min="2" max="2" width="8.5703125" customWidth="1"/>
    <col min="3" max="3" width="8.42578125" customWidth="1"/>
    <col min="4" max="4" width="12.140625" customWidth="1"/>
    <col min="5" max="5" width="8.140625" customWidth="1"/>
    <col min="6" max="6" width="13.42578125" customWidth="1"/>
    <col min="7" max="7" width="17.85546875" customWidth="1"/>
    <col min="8" max="8" width="68.5703125" customWidth="1"/>
    <col min="9" max="9" width="24.5703125" customWidth="1"/>
    <col min="10" max="10" width="21.7109375" customWidth="1"/>
    <col min="11" max="11" width="34.42578125" customWidth="1"/>
    <col min="12" max="13" width="57.7109375" customWidth="1"/>
  </cols>
  <sheetData>
    <row r="1" spans="1:13" ht="27" customHeight="1">
      <c r="A1" s="13" t="s">
        <v>20</v>
      </c>
      <c r="B1" s="14" t="s">
        <v>21</v>
      </c>
      <c r="C1" s="13" t="s">
        <v>22</v>
      </c>
      <c r="D1" s="14" t="s">
        <v>23</v>
      </c>
      <c r="E1" s="14" t="s">
        <v>24</v>
      </c>
      <c r="F1" s="14" t="s">
        <v>25</v>
      </c>
      <c r="G1" s="14" t="s">
        <v>26</v>
      </c>
      <c r="H1" s="14" t="s">
        <v>27</v>
      </c>
      <c r="I1" s="13" t="s">
        <v>835</v>
      </c>
      <c r="J1" s="14" t="s">
        <v>29</v>
      </c>
      <c r="K1" s="14" t="s">
        <v>30</v>
      </c>
      <c r="L1" s="14" t="s">
        <v>31</v>
      </c>
      <c r="M1" s="7" t="s">
        <v>231</v>
      </c>
    </row>
    <row r="2" spans="1:13" ht="127.5">
      <c r="A2" s="9"/>
      <c r="B2" s="9" t="s">
        <v>33</v>
      </c>
      <c r="C2" s="9" t="s">
        <v>34</v>
      </c>
      <c r="D2" s="9" t="s">
        <v>35</v>
      </c>
      <c r="E2" s="9">
        <v>1</v>
      </c>
      <c r="F2" s="9" t="s">
        <v>36</v>
      </c>
      <c r="G2" s="9" t="s">
        <v>836</v>
      </c>
      <c r="H2" s="23" t="s">
        <v>837</v>
      </c>
      <c r="I2" s="9" t="s">
        <v>838</v>
      </c>
      <c r="J2" s="9" t="s">
        <v>839</v>
      </c>
      <c r="K2" s="9" t="s">
        <v>840</v>
      </c>
      <c r="L2" s="9" t="s">
        <v>841</v>
      </c>
      <c r="M2" s="10" t="s">
        <v>842</v>
      </c>
    </row>
    <row r="3" spans="1:13" ht="12.75" customHeight="1">
      <c r="A3" s="9"/>
      <c r="B3" s="9" t="s">
        <v>33</v>
      </c>
      <c r="C3" s="9" t="s">
        <v>34</v>
      </c>
      <c r="D3" s="9" t="s">
        <v>35</v>
      </c>
      <c r="E3" s="9">
        <v>2</v>
      </c>
      <c r="F3" s="9" t="s">
        <v>36</v>
      </c>
      <c r="G3" s="9" t="s">
        <v>836</v>
      </c>
      <c r="H3" s="23" t="s">
        <v>843</v>
      </c>
      <c r="I3" s="9" t="s">
        <v>838</v>
      </c>
      <c r="J3" s="9" t="s">
        <v>844</v>
      </c>
      <c r="K3" s="9" t="s">
        <v>845</v>
      </c>
      <c r="L3" s="9" t="s">
        <v>846</v>
      </c>
      <c r="M3" s="10" t="s">
        <v>842</v>
      </c>
    </row>
    <row r="4" spans="1:13" ht="12.75" customHeight="1">
      <c r="A4" s="9"/>
      <c r="B4" s="9" t="s">
        <v>33</v>
      </c>
      <c r="C4" s="9" t="s">
        <v>34</v>
      </c>
      <c r="D4" s="9" t="s">
        <v>35</v>
      </c>
      <c r="E4" s="9">
        <v>3</v>
      </c>
      <c r="F4" s="9" t="s">
        <v>36</v>
      </c>
      <c r="G4" s="9" t="s">
        <v>836</v>
      </c>
      <c r="H4" s="23" t="s">
        <v>847</v>
      </c>
      <c r="I4" s="9" t="s">
        <v>848</v>
      </c>
      <c r="J4" s="9" t="s">
        <v>849</v>
      </c>
      <c r="K4" s="9" t="s">
        <v>850</v>
      </c>
      <c r="L4" s="9" t="s">
        <v>851</v>
      </c>
      <c r="M4" s="10" t="s">
        <v>842</v>
      </c>
    </row>
    <row r="5" spans="1:13" ht="12.75" customHeight="1">
      <c r="A5" s="9"/>
      <c r="B5" s="9" t="s">
        <v>33</v>
      </c>
      <c r="C5" s="9" t="s">
        <v>34</v>
      </c>
      <c r="D5" s="9" t="s">
        <v>35</v>
      </c>
      <c r="E5" s="9">
        <v>4</v>
      </c>
      <c r="F5" s="9" t="s">
        <v>36</v>
      </c>
      <c r="G5" s="9" t="s">
        <v>836</v>
      </c>
      <c r="H5" s="23" t="s">
        <v>852</v>
      </c>
      <c r="I5" s="9" t="s">
        <v>848</v>
      </c>
      <c r="J5" s="9" t="s">
        <v>853</v>
      </c>
      <c r="K5" s="9" t="s">
        <v>854</v>
      </c>
      <c r="L5" s="9" t="s">
        <v>855</v>
      </c>
      <c r="M5" s="10" t="s">
        <v>842</v>
      </c>
    </row>
    <row r="6" spans="1:13" ht="12.75" customHeight="1">
      <c r="A6" s="9"/>
      <c r="B6" s="9" t="s">
        <v>33</v>
      </c>
      <c r="C6" s="9" t="s">
        <v>34</v>
      </c>
      <c r="D6" s="9" t="s">
        <v>35</v>
      </c>
      <c r="E6" s="9">
        <v>5</v>
      </c>
      <c r="F6" s="9" t="s">
        <v>36</v>
      </c>
      <c r="G6" s="9" t="s">
        <v>836</v>
      </c>
      <c r="H6" s="23" t="s">
        <v>856</v>
      </c>
      <c r="I6" s="9" t="s">
        <v>857</v>
      </c>
      <c r="J6" s="9" t="s">
        <v>858</v>
      </c>
      <c r="K6" s="9" t="s">
        <v>859</v>
      </c>
      <c r="L6" s="9" t="s">
        <v>860</v>
      </c>
      <c r="M6" s="10" t="s">
        <v>842</v>
      </c>
    </row>
    <row r="7" spans="1:13" ht="12.75" customHeight="1">
      <c r="A7" s="9"/>
      <c r="B7" s="9" t="s">
        <v>33</v>
      </c>
      <c r="C7" s="9" t="s">
        <v>34</v>
      </c>
      <c r="D7" s="9" t="s">
        <v>35</v>
      </c>
      <c r="E7" s="9">
        <v>6</v>
      </c>
      <c r="F7" s="9" t="s">
        <v>36</v>
      </c>
      <c r="G7" s="9" t="s">
        <v>836</v>
      </c>
      <c r="H7" s="23" t="s">
        <v>861</v>
      </c>
      <c r="I7" s="9" t="s">
        <v>857</v>
      </c>
      <c r="J7" s="9" t="s">
        <v>862</v>
      </c>
      <c r="K7" s="9" t="s">
        <v>863</v>
      </c>
      <c r="L7" s="9" t="s">
        <v>864</v>
      </c>
      <c r="M7" s="10" t="s">
        <v>842</v>
      </c>
    </row>
    <row r="8" spans="1:13" ht="12.75" customHeight="1">
      <c r="A8" s="9"/>
      <c r="B8" s="9" t="s">
        <v>33</v>
      </c>
      <c r="C8" s="9" t="s">
        <v>34</v>
      </c>
      <c r="D8" s="9" t="s">
        <v>35</v>
      </c>
      <c r="E8" s="9">
        <v>7</v>
      </c>
      <c r="F8" s="9" t="s">
        <v>36</v>
      </c>
      <c r="G8" s="9" t="s">
        <v>836</v>
      </c>
      <c r="H8" s="23" t="s">
        <v>865</v>
      </c>
      <c r="I8" s="9" t="s">
        <v>866</v>
      </c>
      <c r="J8" s="9" t="s">
        <v>867</v>
      </c>
      <c r="K8" s="9" t="s">
        <v>868</v>
      </c>
      <c r="L8" s="9" t="s">
        <v>869</v>
      </c>
      <c r="M8" s="10" t="s">
        <v>870</v>
      </c>
    </row>
    <row r="9" spans="1:13" ht="12.75" customHeight="1">
      <c r="A9" s="9"/>
      <c r="B9" s="9" t="s">
        <v>33</v>
      </c>
      <c r="C9" s="9" t="s">
        <v>34</v>
      </c>
      <c r="D9" s="9" t="s">
        <v>35</v>
      </c>
      <c r="E9" s="9">
        <v>8</v>
      </c>
      <c r="F9" s="9" t="s">
        <v>36</v>
      </c>
      <c r="G9" s="9" t="s">
        <v>871</v>
      </c>
      <c r="H9" s="23" t="s">
        <v>872</v>
      </c>
      <c r="I9" s="9" t="s">
        <v>866</v>
      </c>
      <c r="J9" s="9" t="s">
        <v>873</v>
      </c>
      <c r="K9" s="9" t="s">
        <v>874</v>
      </c>
      <c r="L9" s="9" t="s">
        <v>875</v>
      </c>
      <c r="M9" s="10" t="s">
        <v>870</v>
      </c>
    </row>
    <row r="10" spans="1:13" ht="12.75" customHeight="1">
      <c r="A10" s="9"/>
      <c r="B10" s="9" t="s">
        <v>33</v>
      </c>
      <c r="C10" s="9" t="s">
        <v>34</v>
      </c>
      <c r="D10" s="9" t="s">
        <v>35</v>
      </c>
      <c r="E10" s="9">
        <v>9</v>
      </c>
      <c r="F10" s="9" t="s">
        <v>36</v>
      </c>
      <c r="G10" s="9" t="s">
        <v>871</v>
      </c>
      <c r="H10" s="23" t="s">
        <v>876</v>
      </c>
      <c r="I10" s="9" t="s">
        <v>877</v>
      </c>
      <c r="J10" s="9" t="s">
        <v>878</v>
      </c>
      <c r="K10" s="9" t="s">
        <v>879</v>
      </c>
      <c r="L10" s="9" t="s">
        <v>880</v>
      </c>
      <c r="M10" s="10" t="s">
        <v>870</v>
      </c>
    </row>
    <row r="11" spans="1:13" ht="12.75" customHeight="1">
      <c r="A11" s="9"/>
      <c r="B11" s="9" t="s">
        <v>33</v>
      </c>
      <c r="C11" s="9" t="s">
        <v>34</v>
      </c>
      <c r="D11" s="9" t="s">
        <v>35</v>
      </c>
      <c r="E11" s="9">
        <v>10</v>
      </c>
      <c r="F11" s="9" t="s">
        <v>36</v>
      </c>
      <c r="G11" s="9" t="s">
        <v>871</v>
      </c>
      <c r="H11" s="23" t="s">
        <v>881</v>
      </c>
      <c r="I11" s="9" t="s">
        <v>877</v>
      </c>
      <c r="J11" s="9" t="s">
        <v>882</v>
      </c>
      <c r="K11" s="9" t="s">
        <v>883</v>
      </c>
      <c r="L11" s="9" t="s">
        <v>884</v>
      </c>
      <c r="M11" s="10" t="s">
        <v>870</v>
      </c>
    </row>
    <row r="12" spans="1:13" ht="12.75" customHeight="1">
      <c r="A12" s="9"/>
      <c r="B12" s="9" t="s">
        <v>33</v>
      </c>
      <c r="C12" s="9" t="s">
        <v>34</v>
      </c>
      <c r="D12" s="9" t="s">
        <v>35</v>
      </c>
      <c r="E12" s="9">
        <v>11</v>
      </c>
      <c r="F12" s="9" t="s">
        <v>36</v>
      </c>
      <c r="G12" s="9" t="s">
        <v>871</v>
      </c>
      <c r="H12" s="23" t="s">
        <v>885</v>
      </c>
      <c r="I12" s="9" t="s">
        <v>886</v>
      </c>
      <c r="J12" s="9" t="s">
        <v>887</v>
      </c>
      <c r="K12" s="9" t="s">
        <v>888</v>
      </c>
      <c r="L12" s="9" t="s">
        <v>889</v>
      </c>
      <c r="M12" s="10" t="s">
        <v>870</v>
      </c>
    </row>
    <row r="13" spans="1:13" ht="12.75" customHeight="1">
      <c r="A13" s="9"/>
      <c r="B13" s="9" t="s">
        <v>33</v>
      </c>
      <c r="C13" s="9" t="s">
        <v>34</v>
      </c>
      <c r="D13" s="9" t="s">
        <v>35</v>
      </c>
      <c r="E13" s="9">
        <v>12</v>
      </c>
      <c r="F13" s="9" t="s">
        <v>36</v>
      </c>
      <c r="G13" s="9" t="s">
        <v>871</v>
      </c>
      <c r="H13" s="23" t="s">
        <v>890</v>
      </c>
      <c r="I13" s="9" t="s">
        <v>886</v>
      </c>
      <c r="J13" s="9" t="s">
        <v>891</v>
      </c>
      <c r="K13" s="9" t="s">
        <v>888</v>
      </c>
      <c r="L13" s="9" t="s">
        <v>892</v>
      </c>
      <c r="M13" s="10" t="s">
        <v>870</v>
      </c>
    </row>
    <row r="14" spans="1:13" ht="240" customHeight="1">
      <c r="A14" s="9"/>
      <c r="B14" s="9" t="s">
        <v>33</v>
      </c>
      <c r="C14" s="9" t="s">
        <v>34</v>
      </c>
      <c r="D14" s="9" t="s">
        <v>35</v>
      </c>
      <c r="E14" s="9">
        <v>13</v>
      </c>
      <c r="F14" s="9" t="s">
        <v>36</v>
      </c>
      <c r="G14" s="9" t="s">
        <v>893</v>
      </c>
      <c r="H14" s="23" t="s">
        <v>894</v>
      </c>
      <c r="I14" s="9" t="s">
        <v>895</v>
      </c>
      <c r="J14" s="9" t="s">
        <v>896</v>
      </c>
      <c r="K14" s="9" t="s">
        <v>897</v>
      </c>
      <c r="L14" s="9" t="s">
        <v>898</v>
      </c>
      <c r="M14" s="11"/>
    </row>
    <row r="15" spans="1:13" ht="12.75" customHeight="1">
      <c r="A15" s="9"/>
      <c r="B15" s="9" t="s">
        <v>33</v>
      </c>
      <c r="C15" s="9" t="s">
        <v>34</v>
      </c>
      <c r="D15" s="9" t="s">
        <v>35</v>
      </c>
      <c r="E15" s="9">
        <v>14</v>
      </c>
      <c r="F15" s="9" t="s">
        <v>36</v>
      </c>
      <c r="G15" s="9" t="s">
        <v>893</v>
      </c>
      <c r="H15" s="23" t="s">
        <v>899</v>
      </c>
      <c r="I15" s="9" t="s">
        <v>895</v>
      </c>
      <c r="J15" s="9" t="s">
        <v>900</v>
      </c>
      <c r="K15" s="9" t="s">
        <v>901</v>
      </c>
      <c r="L15" s="9" t="s">
        <v>902</v>
      </c>
      <c r="M15" s="11"/>
    </row>
    <row r="16" spans="1:13" ht="209.25" customHeight="1">
      <c r="A16" s="9"/>
      <c r="B16" s="9" t="s">
        <v>33</v>
      </c>
      <c r="C16" s="9" t="s">
        <v>34</v>
      </c>
      <c r="D16" s="9" t="s">
        <v>90</v>
      </c>
      <c r="E16" s="9">
        <v>1</v>
      </c>
      <c r="F16" s="9" t="s">
        <v>603</v>
      </c>
      <c r="G16" s="9" t="s">
        <v>903</v>
      </c>
      <c r="H16" s="23" t="s">
        <v>904</v>
      </c>
      <c r="I16" s="9" t="s">
        <v>905</v>
      </c>
      <c r="J16" s="9" t="s">
        <v>906</v>
      </c>
      <c r="K16" s="9" t="s">
        <v>907</v>
      </c>
      <c r="L16" s="9" t="s">
        <v>908</v>
      </c>
      <c r="M16" s="10" t="s">
        <v>909</v>
      </c>
    </row>
    <row r="17" spans="1:13" ht="12.75" customHeight="1">
      <c r="A17" s="9"/>
      <c r="B17" s="9" t="s">
        <v>33</v>
      </c>
      <c r="C17" s="9" t="s">
        <v>34</v>
      </c>
      <c r="D17" s="9" t="s">
        <v>90</v>
      </c>
      <c r="E17" s="9">
        <v>2</v>
      </c>
      <c r="F17" s="9" t="s">
        <v>603</v>
      </c>
      <c r="G17" s="9" t="s">
        <v>903</v>
      </c>
      <c r="H17" s="23" t="s">
        <v>910</v>
      </c>
      <c r="I17" s="9" t="s">
        <v>905</v>
      </c>
      <c r="J17" s="9" t="s">
        <v>911</v>
      </c>
      <c r="K17" s="9" t="s">
        <v>912</v>
      </c>
      <c r="L17" s="9" t="s">
        <v>913</v>
      </c>
      <c r="M17" s="10" t="s">
        <v>909</v>
      </c>
    </row>
    <row r="18" spans="1:13" ht="207" customHeight="1">
      <c r="A18" s="9"/>
      <c r="B18" s="9" t="s">
        <v>33</v>
      </c>
      <c r="C18" s="9" t="s">
        <v>34</v>
      </c>
      <c r="D18" s="9" t="s">
        <v>90</v>
      </c>
      <c r="E18" s="9">
        <v>3</v>
      </c>
      <c r="F18" s="9" t="s">
        <v>603</v>
      </c>
      <c r="G18" s="9" t="s">
        <v>903</v>
      </c>
      <c r="H18" s="23" t="s">
        <v>914</v>
      </c>
      <c r="I18" s="9" t="s">
        <v>915</v>
      </c>
      <c r="J18" s="9" t="s">
        <v>916</v>
      </c>
      <c r="K18" s="9" t="s">
        <v>917</v>
      </c>
      <c r="L18" s="9" t="s">
        <v>918</v>
      </c>
      <c r="M18" s="10" t="s">
        <v>919</v>
      </c>
    </row>
    <row r="19" spans="1:13" ht="12.75" customHeight="1">
      <c r="A19" s="9"/>
      <c r="B19" s="9" t="s">
        <v>33</v>
      </c>
      <c r="C19" s="9" t="s">
        <v>34</v>
      </c>
      <c r="D19" s="9" t="s">
        <v>90</v>
      </c>
      <c r="E19" s="9">
        <v>4</v>
      </c>
      <c r="F19" s="9" t="s">
        <v>603</v>
      </c>
      <c r="G19" s="9" t="s">
        <v>903</v>
      </c>
      <c r="H19" s="23" t="s">
        <v>920</v>
      </c>
      <c r="I19" s="9" t="s">
        <v>915</v>
      </c>
      <c r="J19" s="9" t="s">
        <v>921</v>
      </c>
      <c r="K19" s="9" t="s">
        <v>922</v>
      </c>
      <c r="L19" s="9" t="s">
        <v>923</v>
      </c>
      <c r="M19" s="10" t="s">
        <v>919</v>
      </c>
    </row>
    <row r="20" spans="1:13" ht="12.75" customHeight="1">
      <c r="A20" s="9"/>
      <c r="B20" s="9" t="s">
        <v>33</v>
      </c>
      <c r="C20" s="9" t="s">
        <v>34</v>
      </c>
      <c r="D20" s="9" t="s">
        <v>90</v>
      </c>
      <c r="E20" s="9">
        <v>5</v>
      </c>
      <c r="F20" s="9" t="s">
        <v>603</v>
      </c>
      <c r="G20" s="9" t="s">
        <v>903</v>
      </c>
      <c r="H20" s="23" t="s">
        <v>924</v>
      </c>
      <c r="I20" s="9" t="s">
        <v>925</v>
      </c>
      <c r="J20" s="9" t="s">
        <v>926</v>
      </c>
      <c r="K20" s="9" t="s">
        <v>927</v>
      </c>
      <c r="L20" s="9" t="s">
        <v>928</v>
      </c>
      <c r="M20" s="10" t="s">
        <v>929</v>
      </c>
    </row>
    <row r="21" spans="1:13" ht="258.75" customHeight="1">
      <c r="A21" s="9"/>
      <c r="B21" s="9" t="s">
        <v>33</v>
      </c>
      <c r="C21" s="9" t="s">
        <v>34</v>
      </c>
      <c r="D21" s="9" t="s">
        <v>90</v>
      </c>
      <c r="E21" s="9">
        <v>6</v>
      </c>
      <c r="F21" s="9" t="s">
        <v>603</v>
      </c>
      <c r="G21" s="9" t="s">
        <v>903</v>
      </c>
      <c r="H21" s="23" t="s">
        <v>930</v>
      </c>
      <c r="I21" s="9" t="s">
        <v>925</v>
      </c>
      <c r="J21" s="9" t="s">
        <v>931</v>
      </c>
      <c r="K21" s="9" t="s">
        <v>927</v>
      </c>
      <c r="L21" s="9" t="s">
        <v>932</v>
      </c>
      <c r="M21" s="10" t="s">
        <v>929</v>
      </c>
    </row>
    <row r="22" spans="1:13" ht="12.75" customHeight="1">
      <c r="A22" s="9"/>
      <c r="B22" s="9" t="s">
        <v>33</v>
      </c>
      <c r="C22" s="9" t="s">
        <v>34</v>
      </c>
      <c r="D22" s="9" t="s">
        <v>90</v>
      </c>
      <c r="E22" s="9">
        <v>7</v>
      </c>
      <c r="F22" s="9" t="s">
        <v>603</v>
      </c>
      <c r="G22" s="9" t="s">
        <v>903</v>
      </c>
      <c r="H22" s="23" t="s">
        <v>933</v>
      </c>
      <c r="I22" s="9" t="s">
        <v>934</v>
      </c>
      <c r="J22" s="9" t="s">
        <v>935</v>
      </c>
      <c r="K22" s="9" t="s">
        <v>936</v>
      </c>
      <c r="L22" s="9" t="s">
        <v>937</v>
      </c>
      <c r="M22" s="10" t="s">
        <v>938</v>
      </c>
    </row>
    <row r="23" spans="1:13" ht="12.75" customHeight="1">
      <c r="A23" s="9"/>
      <c r="B23" s="9" t="s">
        <v>33</v>
      </c>
      <c r="C23" s="9" t="s">
        <v>34</v>
      </c>
      <c r="D23" s="9" t="s">
        <v>90</v>
      </c>
      <c r="E23" s="9">
        <v>8</v>
      </c>
      <c r="F23" s="9" t="s">
        <v>603</v>
      </c>
      <c r="G23" s="9" t="s">
        <v>903</v>
      </c>
      <c r="H23" s="23" t="s">
        <v>939</v>
      </c>
      <c r="I23" s="9" t="s">
        <v>934</v>
      </c>
      <c r="J23" s="9" t="s">
        <v>940</v>
      </c>
      <c r="K23" s="9" t="s">
        <v>936</v>
      </c>
      <c r="L23" s="9" t="s">
        <v>941</v>
      </c>
      <c r="M23" s="10" t="s">
        <v>938</v>
      </c>
    </row>
    <row r="24" spans="1:13" ht="12.75" customHeight="1">
      <c r="A24" s="9"/>
      <c r="B24" s="9" t="s">
        <v>33</v>
      </c>
      <c r="C24" s="9" t="s">
        <v>34</v>
      </c>
      <c r="D24" s="9" t="s">
        <v>90</v>
      </c>
      <c r="E24" s="9">
        <v>9</v>
      </c>
      <c r="F24" s="9" t="s">
        <v>603</v>
      </c>
      <c r="G24" s="9" t="s">
        <v>903</v>
      </c>
      <c r="H24" s="23" t="s">
        <v>942</v>
      </c>
      <c r="I24" s="9" t="s">
        <v>943</v>
      </c>
      <c r="J24" s="9" t="s">
        <v>944</v>
      </c>
      <c r="K24" s="9" t="s">
        <v>945</v>
      </c>
      <c r="L24" s="9" t="s">
        <v>946</v>
      </c>
      <c r="M24" s="10" t="s">
        <v>947</v>
      </c>
    </row>
    <row r="25" spans="1:13" ht="204" customHeight="1">
      <c r="A25" s="9"/>
      <c r="B25" s="9" t="s">
        <v>33</v>
      </c>
      <c r="C25" s="9" t="s">
        <v>34</v>
      </c>
      <c r="D25" s="9" t="s">
        <v>90</v>
      </c>
      <c r="E25" s="9">
        <v>10</v>
      </c>
      <c r="F25" s="9" t="s">
        <v>603</v>
      </c>
      <c r="G25" s="9" t="s">
        <v>903</v>
      </c>
      <c r="H25" s="23" t="s">
        <v>948</v>
      </c>
      <c r="I25" s="9" t="s">
        <v>943</v>
      </c>
      <c r="J25" s="9" t="s">
        <v>949</v>
      </c>
      <c r="K25" s="9" t="s">
        <v>950</v>
      </c>
      <c r="L25" s="9" t="s">
        <v>951</v>
      </c>
      <c r="M25" s="10" t="s">
        <v>947</v>
      </c>
    </row>
    <row r="26" spans="1:13" ht="12.75" customHeight="1">
      <c r="A26" s="9"/>
      <c r="B26" s="9" t="s">
        <v>33</v>
      </c>
      <c r="C26" s="9" t="s">
        <v>34</v>
      </c>
      <c r="D26" s="9" t="s">
        <v>90</v>
      </c>
      <c r="E26" s="9">
        <v>11</v>
      </c>
      <c r="F26" s="9" t="s">
        <v>603</v>
      </c>
      <c r="G26" s="9" t="s">
        <v>903</v>
      </c>
      <c r="H26" s="23" t="s">
        <v>952</v>
      </c>
      <c r="I26" s="9" t="s">
        <v>953</v>
      </c>
      <c r="J26" s="9" t="s">
        <v>954</v>
      </c>
      <c r="K26" s="9" t="s">
        <v>955</v>
      </c>
      <c r="L26" s="9" t="s">
        <v>956</v>
      </c>
      <c r="M26" s="10" t="s">
        <v>957</v>
      </c>
    </row>
    <row r="27" spans="1:13" ht="195" customHeight="1">
      <c r="A27" s="9"/>
      <c r="B27" s="9" t="s">
        <v>33</v>
      </c>
      <c r="C27" s="9" t="s">
        <v>34</v>
      </c>
      <c r="D27" s="9" t="s">
        <v>90</v>
      </c>
      <c r="E27" s="9">
        <v>12</v>
      </c>
      <c r="F27" s="9" t="s">
        <v>603</v>
      </c>
      <c r="G27" s="9" t="s">
        <v>903</v>
      </c>
      <c r="H27" s="23" t="s">
        <v>958</v>
      </c>
      <c r="I27" s="9" t="s">
        <v>953</v>
      </c>
      <c r="J27" s="9" t="s">
        <v>959</v>
      </c>
      <c r="K27" s="9" t="s">
        <v>955</v>
      </c>
      <c r="L27" s="9" t="s">
        <v>960</v>
      </c>
      <c r="M27" s="10" t="s">
        <v>957</v>
      </c>
    </row>
    <row r="28" spans="1:13" ht="235.5" customHeight="1">
      <c r="A28" s="9"/>
      <c r="B28" s="9" t="s">
        <v>33</v>
      </c>
      <c r="C28" s="9" t="s">
        <v>34</v>
      </c>
      <c r="D28" s="9" t="s">
        <v>90</v>
      </c>
      <c r="E28" s="9">
        <v>13</v>
      </c>
      <c r="F28" s="9" t="s">
        <v>603</v>
      </c>
      <c r="G28" s="9" t="s">
        <v>961</v>
      </c>
      <c r="H28" s="23" t="s">
        <v>962</v>
      </c>
      <c r="I28" s="9" t="s">
        <v>963</v>
      </c>
      <c r="J28" s="9" t="s">
        <v>964</v>
      </c>
      <c r="K28" s="9" t="s">
        <v>965</v>
      </c>
      <c r="L28" s="9" t="s">
        <v>966</v>
      </c>
      <c r="M28" s="10" t="s">
        <v>967</v>
      </c>
    </row>
    <row r="29" spans="1:13" ht="12.75" customHeight="1">
      <c r="A29" s="9"/>
      <c r="B29" s="9" t="s">
        <v>33</v>
      </c>
      <c r="C29" s="9" t="s">
        <v>34</v>
      </c>
      <c r="D29" s="9" t="s">
        <v>90</v>
      </c>
      <c r="E29" s="9">
        <v>14</v>
      </c>
      <c r="F29" s="9" t="s">
        <v>603</v>
      </c>
      <c r="G29" s="9" t="s">
        <v>961</v>
      </c>
      <c r="H29" s="23" t="s">
        <v>968</v>
      </c>
      <c r="I29" s="9" t="s">
        <v>969</v>
      </c>
      <c r="J29" s="9" t="s">
        <v>970</v>
      </c>
      <c r="K29" s="9" t="s">
        <v>901</v>
      </c>
      <c r="L29" s="9" t="s">
        <v>971</v>
      </c>
      <c r="M29" s="10" t="s">
        <v>967</v>
      </c>
    </row>
    <row r="30" spans="1:13" ht="12.75" customHeight="1">
      <c r="A30" s="9"/>
      <c r="B30" s="17" t="s">
        <v>33</v>
      </c>
      <c r="C30" s="17" t="s">
        <v>34</v>
      </c>
      <c r="D30" s="17" t="s">
        <v>144</v>
      </c>
      <c r="E30" s="17">
        <v>1</v>
      </c>
      <c r="F30" s="17" t="s">
        <v>972</v>
      </c>
      <c r="G30" s="17" t="s">
        <v>973</v>
      </c>
      <c r="H30" s="17" t="s">
        <v>974</v>
      </c>
      <c r="I30" s="17" t="s">
        <v>975</v>
      </c>
      <c r="J30" s="17" t="s">
        <v>976</v>
      </c>
      <c r="K30" s="17" t="s">
        <v>977</v>
      </c>
      <c r="L30" s="17" t="s">
        <v>978</v>
      </c>
      <c r="M30" s="12" t="s">
        <v>979</v>
      </c>
    </row>
    <row r="31" spans="1:13" ht="12.75" customHeight="1">
      <c r="A31" s="9"/>
      <c r="B31" s="17" t="s">
        <v>33</v>
      </c>
      <c r="C31" s="17" t="s">
        <v>34</v>
      </c>
      <c r="D31" s="17" t="s">
        <v>144</v>
      </c>
      <c r="E31" s="17">
        <v>2</v>
      </c>
      <c r="F31" s="17" t="s">
        <v>972</v>
      </c>
      <c r="G31" s="17" t="s">
        <v>980</v>
      </c>
      <c r="H31" s="17" t="s">
        <v>974</v>
      </c>
      <c r="I31" s="17" t="s">
        <v>975</v>
      </c>
      <c r="J31" s="17" t="s">
        <v>981</v>
      </c>
      <c r="K31" s="17" t="s">
        <v>982</v>
      </c>
      <c r="L31" s="17" t="s">
        <v>983</v>
      </c>
      <c r="M31" s="12" t="s">
        <v>979</v>
      </c>
    </row>
    <row r="32" spans="1:13" ht="12.75" customHeight="1">
      <c r="A32" s="9"/>
      <c r="B32" s="17" t="s">
        <v>33</v>
      </c>
      <c r="C32" s="17" t="s">
        <v>34</v>
      </c>
      <c r="D32" s="17" t="s">
        <v>144</v>
      </c>
      <c r="E32" s="17">
        <v>3</v>
      </c>
      <c r="F32" s="17" t="s">
        <v>972</v>
      </c>
      <c r="G32" s="17" t="s">
        <v>980</v>
      </c>
      <c r="H32" s="17" t="s">
        <v>974</v>
      </c>
      <c r="I32" s="17" t="s">
        <v>975</v>
      </c>
      <c r="J32" s="17" t="s">
        <v>984</v>
      </c>
      <c r="K32" s="17" t="s">
        <v>985</v>
      </c>
      <c r="L32" s="17" t="s">
        <v>986</v>
      </c>
      <c r="M32" s="12" t="s">
        <v>979</v>
      </c>
    </row>
    <row r="33" spans="1:13" ht="12.75" customHeight="1">
      <c r="A33" s="9"/>
      <c r="B33" s="17" t="s">
        <v>33</v>
      </c>
      <c r="C33" s="17" t="s">
        <v>34</v>
      </c>
      <c r="D33" s="17" t="s">
        <v>144</v>
      </c>
      <c r="E33" s="17">
        <v>4</v>
      </c>
      <c r="F33" s="17" t="s">
        <v>972</v>
      </c>
      <c r="G33" s="17" t="s">
        <v>980</v>
      </c>
      <c r="H33" s="17" t="s">
        <v>974</v>
      </c>
      <c r="I33" s="17" t="s">
        <v>975</v>
      </c>
      <c r="J33" s="17" t="s">
        <v>987</v>
      </c>
      <c r="K33" s="17" t="s">
        <v>988</v>
      </c>
      <c r="L33" s="17" t="s">
        <v>989</v>
      </c>
      <c r="M33" s="12" t="s">
        <v>979</v>
      </c>
    </row>
    <row r="34" spans="1:13" ht="12.75" customHeight="1">
      <c r="A34" s="9"/>
      <c r="B34" s="17" t="s">
        <v>33</v>
      </c>
      <c r="C34" s="17" t="s">
        <v>34</v>
      </c>
      <c r="D34" s="17" t="s">
        <v>144</v>
      </c>
      <c r="E34" s="17">
        <v>5</v>
      </c>
      <c r="F34" s="17" t="s">
        <v>972</v>
      </c>
      <c r="G34" s="17" t="s">
        <v>980</v>
      </c>
      <c r="H34" s="17" t="s">
        <v>990</v>
      </c>
      <c r="I34" s="17" t="s">
        <v>991</v>
      </c>
      <c r="J34" s="17" t="s">
        <v>992</v>
      </c>
      <c r="K34" s="17" t="s">
        <v>993</v>
      </c>
      <c r="L34" s="17" t="s">
        <v>994</v>
      </c>
      <c r="M34" s="12" t="s">
        <v>995</v>
      </c>
    </row>
    <row r="35" spans="1:13" ht="12.75" customHeight="1">
      <c r="A35" s="9"/>
      <c r="B35" s="17" t="s">
        <v>33</v>
      </c>
      <c r="C35" s="17" t="s">
        <v>34</v>
      </c>
      <c r="D35" s="17" t="s">
        <v>144</v>
      </c>
      <c r="E35" s="17">
        <v>6</v>
      </c>
      <c r="F35" s="17" t="s">
        <v>972</v>
      </c>
      <c r="G35" s="17" t="s">
        <v>980</v>
      </c>
      <c r="H35" s="17" t="s">
        <v>996</v>
      </c>
      <c r="I35" s="17" t="s">
        <v>991</v>
      </c>
      <c r="J35" s="17" t="s">
        <v>997</v>
      </c>
      <c r="K35" s="17" t="s">
        <v>998</v>
      </c>
      <c r="L35" s="17" t="s">
        <v>999</v>
      </c>
      <c r="M35" s="12" t="s">
        <v>995</v>
      </c>
    </row>
    <row r="36" spans="1:13" ht="12.75" customHeight="1">
      <c r="A36" s="9"/>
      <c r="B36" s="17" t="s">
        <v>33</v>
      </c>
      <c r="C36" s="17" t="s">
        <v>34</v>
      </c>
      <c r="D36" s="17" t="s">
        <v>144</v>
      </c>
      <c r="E36" s="17">
        <v>7</v>
      </c>
      <c r="F36" s="17" t="s">
        <v>972</v>
      </c>
      <c r="G36" s="17" t="s">
        <v>980</v>
      </c>
      <c r="H36" s="17" t="s">
        <v>996</v>
      </c>
      <c r="I36" s="17" t="s">
        <v>991</v>
      </c>
      <c r="J36" s="17" t="s">
        <v>1000</v>
      </c>
      <c r="K36" s="17" t="s">
        <v>1001</v>
      </c>
      <c r="L36" s="17" t="s">
        <v>1002</v>
      </c>
      <c r="M36" s="12" t="s">
        <v>995</v>
      </c>
    </row>
    <row r="37" spans="1:13" ht="12.75" customHeight="1">
      <c r="A37" s="9"/>
      <c r="B37" s="17" t="s">
        <v>33</v>
      </c>
      <c r="C37" s="17" t="s">
        <v>34</v>
      </c>
      <c r="D37" s="17" t="s">
        <v>144</v>
      </c>
      <c r="E37" s="17">
        <v>8</v>
      </c>
      <c r="F37" s="17" t="s">
        <v>972</v>
      </c>
      <c r="G37" s="17" t="s">
        <v>980</v>
      </c>
      <c r="H37" s="17" t="s">
        <v>1003</v>
      </c>
      <c r="I37" s="17" t="s">
        <v>991</v>
      </c>
      <c r="J37" s="17" t="s">
        <v>1004</v>
      </c>
      <c r="K37" s="17" t="s">
        <v>1005</v>
      </c>
      <c r="L37" s="17" t="s">
        <v>1006</v>
      </c>
      <c r="M37" s="12" t="s">
        <v>995</v>
      </c>
    </row>
    <row r="38" spans="1:13" ht="12.75" customHeight="1">
      <c r="A38" s="9"/>
      <c r="B38" s="17" t="s">
        <v>33</v>
      </c>
      <c r="C38" s="17" t="s">
        <v>34</v>
      </c>
      <c r="D38" s="17" t="s">
        <v>144</v>
      </c>
      <c r="E38" s="17">
        <v>9</v>
      </c>
      <c r="F38" s="17" t="s">
        <v>972</v>
      </c>
      <c r="G38" s="17" t="s">
        <v>980</v>
      </c>
      <c r="H38" s="17" t="s">
        <v>1007</v>
      </c>
      <c r="I38" s="17" t="s">
        <v>1008</v>
      </c>
      <c r="J38" s="17" t="s">
        <v>1009</v>
      </c>
      <c r="K38" s="17" t="s">
        <v>1010</v>
      </c>
      <c r="L38" s="17" t="s">
        <v>1011</v>
      </c>
      <c r="M38" s="12" t="s">
        <v>1012</v>
      </c>
    </row>
    <row r="39" spans="1:13" ht="12.75" customHeight="1">
      <c r="A39" s="9"/>
      <c r="B39" s="17" t="s">
        <v>33</v>
      </c>
      <c r="C39" s="17" t="s">
        <v>34</v>
      </c>
      <c r="D39" s="17" t="s">
        <v>144</v>
      </c>
      <c r="E39" s="17">
        <v>10</v>
      </c>
      <c r="F39" s="17" t="s">
        <v>972</v>
      </c>
      <c r="G39" s="17" t="s">
        <v>980</v>
      </c>
      <c r="H39" s="17" t="s">
        <v>1013</v>
      </c>
      <c r="I39" s="17" t="s">
        <v>1008</v>
      </c>
      <c r="J39" s="17" t="s">
        <v>1014</v>
      </c>
      <c r="K39" s="17" t="s">
        <v>1015</v>
      </c>
      <c r="L39" s="17" t="s">
        <v>1016</v>
      </c>
      <c r="M39" s="12" t="s">
        <v>1012</v>
      </c>
    </row>
    <row r="40" spans="1:13" ht="12.75" customHeight="1">
      <c r="A40" s="17" t="s">
        <v>342</v>
      </c>
      <c r="B40" s="17" t="s">
        <v>33</v>
      </c>
      <c r="C40" s="17" t="s">
        <v>34</v>
      </c>
      <c r="D40" s="17" t="s">
        <v>144</v>
      </c>
      <c r="E40" s="17">
        <v>11</v>
      </c>
      <c r="F40" s="17" t="s">
        <v>972</v>
      </c>
      <c r="G40" s="17" t="s">
        <v>980</v>
      </c>
      <c r="H40" s="17" t="s">
        <v>1017</v>
      </c>
      <c r="I40" s="17" t="s">
        <v>1008</v>
      </c>
      <c r="J40" s="17" t="s">
        <v>1018</v>
      </c>
      <c r="K40" s="17" t="s">
        <v>1019</v>
      </c>
      <c r="L40" s="17" t="s">
        <v>1020</v>
      </c>
      <c r="M40" s="12" t="s">
        <v>1012</v>
      </c>
    </row>
    <row r="41" spans="1:13" ht="12.75" customHeight="1">
      <c r="A41" s="17" t="s">
        <v>342</v>
      </c>
      <c r="B41" s="17" t="s">
        <v>33</v>
      </c>
      <c r="C41" s="17" t="s">
        <v>34</v>
      </c>
      <c r="D41" s="17" t="s">
        <v>144</v>
      </c>
      <c r="E41" s="17">
        <v>12</v>
      </c>
      <c r="F41" s="17" t="s">
        <v>972</v>
      </c>
      <c r="G41" s="17" t="s">
        <v>980</v>
      </c>
      <c r="H41" s="17" t="s">
        <v>1003</v>
      </c>
      <c r="I41" s="17" t="s">
        <v>1008</v>
      </c>
      <c r="J41" s="17" t="s">
        <v>1021</v>
      </c>
      <c r="K41" s="17" t="s">
        <v>1022</v>
      </c>
      <c r="L41" s="17" t="s">
        <v>1023</v>
      </c>
      <c r="M41" s="12" t="s">
        <v>1012</v>
      </c>
    </row>
    <row r="42" spans="1:13" ht="12.75" customHeight="1">
      <c r="A42" s="9"/>
      <c r="B42" s="17" t="s">
        <v>33</v>
      </c>
      <c r="C42" s="17" t="s">
        <v>34</v>
      </c>
      <c r="D42" s="17" t="s">
        <v>188</v>
      </c>
      <c r="E42" s="17">
        <v>1</v>
      </c>
      <c r="F42" s="17" t="s">
        <v>972</v>
      </c>
      <c r="G42" s="17" t="s">
        <v>980</v>
      </c>
      <c r="H42" s="17" t="s">
        <v>1024</v>
      </c>
      <c r="I42" s="17" t="s">
        <v>1025</v>
      </c>
      <c r="J42" s="17" t="s">
        <v>1026</v>
      </c>
      <c r="K42" s="17" t="s">
        <v>1027</v>
      </c>
      <c r="L42" s="17" t="s">
        <v>1028</v>
      </c>
      <c r="M42" s="12" t="s">
        <v>1025</v>
      </c>
    </row>
    <row r="43" spans="1:13" ht="12.75" customHeight="1">
      <c r="A43" s="9"/>
      <c r="B43" s="17" t="s">
        <v>33</v>
      </c>
      <c r="C43" s="17" t="s">
        <v>34</v>
      </c>
      <c r="D43" s="17" t="s">
        <v>188</v>
      </c>
      <c r="E43" s="17">
        <v>2</v>
      </c>
      <c r="F43" s="17" t="s">
        <v>972</v>
      </c>
      <c r="G43" s="17" t="s">
        <v>980</v>
      </c>
      <c r="H43" s="17" t="s">
        <v>990</v>
      </c>
      <c r="I43" s="17" t="s">
        <v>1025</v>
      </c>
      <c r="J43" s="17" t="s">
        <v>1029</v>
      </c>
      <c r="K43" s="17" t="s">
        <v>1030</v>
      </c>
      <c r="L43" s="17" t="s">
        <v>1031</v>
      </c>
      <c r="M43" s="12" t="s">
        <v>1025</v>
      </c>
    </row>
    <row r="44" spans="1:13" ht="12.75" customHeight="1">
      <c r="A44" s="9"/>
      <c r="B44" s="17" t="s">
        <v>33</v>
      </c>
      <c r="C44" s="17" t="s">
        <v>34</v>
      </c>
      <c r="D44" s="17" t="s">
        <v>188</v>
      </c>
      <c r="E44" s="17">
        <v>3</v>
      </c>
      <c r="F44" s="17" t="s">
        <v>972</v>
      </c>
      <c r="G44" s="17" t="s">
        <v>980</v>
      </c>
      <c r="H44" s="17" t="s">
        <v>1032</v>
      </c>
      <c r="I44" s="17" t="s">
        <v>1025</v>
      </c>
      <c r="J44" s="17" t="s">
        <v>1033</v>
      </c>
      <c r="K44" s="17" t="s">
        <v>1034</v>
      </c>
      <c r="L44" s="17" t="s">
        <v>1035</v>
      </c>
      <c r="M44" s="12" t="s">
        <v>1025</v>
      </c>
    </row>
    <row r="45" spans="1:13" ht="12.75" customHeight="1">
      <c r="A45" s="9"/>
      <c r="B45" s="17" t="s">
        <v>33</v>
      </c>
      <c r="C45" s="17" t="s">
        <v>34</v>
      </c>
      <c r="D45" s="17" t="s">
        <v>188</v>
      </c>
      <c r="E45" s="17">
        <v>4</v>
      </c>
      <c r="F45" s="17" t="s">
        <v>972</v>
      </c>
      <c r="G45" s="17" t="s">
        <v>980</v>
      </c>
      <c r="H45" s="17" t="s">
        <v>1036</v>
      </c>
      <c r="I45" s="17" t="s">
        <v>1025</v>
      </c>
      <c r="J45" s="17" t="s">
        <v>1037</v>
      </c>
      <c r="K45" s="17" t="s">
        <v>1038</v>
      </c>
      <c r="L45" s="17" t="s">
        <v>1039</v>
      </c>
      <c r="M45" s="12" t="s">
        <v>1025</v>
      </c>
    </row>
    <row r="46" spans="1:13" ht="12.75" customHeight="1">
      <c r="A46" s="9"/>
      <c r="B46" s="17" t="s">
        <v>33</v>
      </c>
      <c r="C46" s="17" t="s">
        <v>34</v>
      </c>
      <c r="D46" s="17" t="s">
        <v>188</v>
      </c>
      <c r="E46" s="17">
        <v>5</v>
      </c>
      <c r="F46" s="17" t="s">
        <v>972</v>
      </c>
      <c r="G46" s="17" t="s">
        <v>980</v>
      </c>
      <c r="H46" s="17" t="s">
        <v>1007</v>
      </c>
      <c r="I46" s="17" t="s">
        <v>1040</v>
      </c>
      <c r="J46" s="17" t="s">
        <v>1041</v>
      </c>
      <c r="K46" s="17" t="s">
        <v>1042</v>
      </c>
      <c r="L46" s="17" t="s">
        <v>1043</v>
      </c>
      <c r="M46" s="12" t="s">
        <v>1040</v>
      </c>
    </row>
    <row r="47" spans="1:13" ht="12.75" customHeight="1">
      <c r="A47" s="9"/>
      <c r="B47" s="17" t="s">
        <v>33</v>
      </c>
      <c r="C47" s="17" t="s">
        <v>34</v>
      </c>
      <c r="D47" s="17" t="s">
        <v>188</v>
      </c>
      <c r="E47" s="17">
        <v>6</v>
      </c>
      <c r="F47" s="17" t="s">
        <v>972</v>
      </c>
      <c r="G47" s="17" t="s">
        <v>980</v>
      </c>
      <c r="H47" s="17" t="s">
        <v>1044</v>
      </c>
      <c r="I47" s="17" t="s">
        <v>1040</v>
      </c>
      <c r="J47" s="17" t="s">
        <v>1045</v>
      </c>
      <c r="K47" s="17" t="s">
        <v>1046</v>
      </c>
      <c r="L47" s="17" t="s">
        <v>1047</v>
      </c>
      <c r="M47" s="12" t="s">
        <v>1040</v>
      </c>
    </row>
    <row r="48" spans="1:13" ht="12.75" customHeight="1">
      <c r="A48" s="9"/>
      <c r="B48" s="17" t="s">
        <v>33</v>
      </c>
      <c r="C48" s="17" t="s">
        <v>34</v>
      </c>
      <c r="D48" s="17" t="s">
        <v>188</v>
      </c>
      <c r="E48" s="17">
        <v>7</v>
      </c>
      <c r="F48" s="17" t="s">
        <v>972</v>
      </c>
      <c r="G48" s="17" t="s">
        <v>980</v>
      </c>
      <c r="H48" s="17" t="s">
        <v>1024</v>
      </c>
      <c r="I48" s="17" t="s">
        <v>1040</v>
      </c>
      <c r="J48" s="17" t="s">
        <v>1048</v>
      </c>
      <c r="K48" s="17" t="s">
        <v>1049</v>
      </c>
      <c r="L48" s="17" t="s">
        <v>1050</v>
      </c>
      <c r="M48" s="12" t="s">
        <v>1040</v>
      </c>
    </row>
    <row r="49" spans="1:13" ht="12.75" customHeight="1">
      <c r="A49" s="9"/>
      <c r="B49" s="17" t="s">
        <v>33</v>
      </c>
      <c r="C49" s="17" t="s">
        <v>34</v>
      </c>
      <c r="D49" s="17" t="s">
        <v>188</v>
      </c>
      <c r="E49" s="17">
        <v>8</v>
      </c>
      <c r="F49" s="17" t="s">
        <v>972</v>
      </c>
      <c r="G49" s="17" t="s">
        <v>980</v>
      </c>
      <c r="H49" s="17" t="s">
        <v>1036</v>
      </c>
      <c r="I49" s="17" t="s">
        <v>1040</v>
      </c>
      <c r="J49" s="17" t="s">
        <v>1051</v>
      </c>
      <c r="K49" s="17" t="s">
        <v>1052</v>
      </c>
      <c r="L49" s="17" t="s">
        <v>1053</v>
      </c>
      <c r="M49" s="12" t="s">
        <v>1040</v>
      </c>
    </row>
    <row r="50" spans="1:13" ht="12.75" customHeight="1">
      <c r="A50" s="9"/>
      <c r="B50" s="17" t="s">
        <v>33</v>
      </c>
      <c r="C50" s="17" t="s">
        <v>34</v>
      </c>
      <c r="D50" s="17" t="s">
        <v>188</v>
      </c>
      <c r="E50" s="17">
        <v>9</v>
      </c>
      <c r="F50" s="17" t="s">
        <v>972</v>
      </c>
      <c r="G50" s="17" t="s">
        <v>980</v>
      </c>
      <c r="H50" s="17" t="s">
        <v>1007</v>
      </c>
      <c r="I50" s="17" t="s">
        <v>1054</v>
      </c>
      <c r="J50" s="17" t="s">
        <v>1055</v>
      </c>
      <c r="K50" s="17" t="s">
        <v>1056</v>
      </c>
      <c r="L50" s="17" t="s">
        <v>1057</v>
      </c>
      <c r="M50" s="12" t="s">
        <v>1054</v>
      </c>
    </row>
    <row r="51" spans="1:13" ht="12.75" customHeight="1">
      <c r="A51" s="9"/>
      <c r="B51" s="17" t="s">
        <v>33</v>
      </c>
      <c r="C51" s="17" t="s">
        <v>34</v>
      </c>
      <c r="D51" s="17" t="s">
        <v>188</v>
      </c>
      <c r="E51" s="17">
        <v>10</v>
      </c>
      <c r="F51" s="17" t="s">
        <v>972</v>
      </c>
      <c r="G51" s="17" t="s">
        <v>980</v>
      </c>
      <c r="H51" s="17" t="s">
        <v>1032</v>
      </c>
      <c r="I51" s="17" t="s">
        <v>1054</v>
      </c>
      <c r="J51" s="17" t="s">
        <v>1058</v>
      </c>
      <c r="K51" s="17" t="s">
        <v>1059</v>
      </c>
      <c r="L51" s="17" t="s">
        <v>1060</v>
      </c>
      <c r="M51" s="12" t="s">
        <v>1054</v>
      </c>
    </row>
    <row r="52" spans="1:13" ht="12.75" customHeight="1">
      <c r="A52" s="9"/>
      <c r="B52" s="17" t="s">
        <v>33</v>
      </c>
      <c r="C52" s="17" t="s">
        <v>34</v>
      </c>
      <c r="D52" s="17" t="s">
        <v>188</v>
      </c>
      <c r="E52" s="17">
        <v>11</v>
      </c>
      <c r="F52" s="17" t="s">
        <v>972</v>
      </c>
      <c r="G52" s="17" t="s">
        <v>980</v>
      </c>
      <c r="H52" s="17" t="s">
        <v>1044</v>
      </c>
      <c r="I52" s="17" t="s">
        <v>1054</v>
      </c>
      <c r="J52" s="17" t="s">
        <v>1061</v>
      </c>
      <c r="K52" s="17" t="s">
        <v>1062</v>
      </c>
      <c r="L52" s="17" t="s">
        <v>1063</v>
      </c>
      <c r="M52" s="12" t="s">
        <v>1054</v>
      </c>
    </row>
    <row r="53" spans="1:13" ht="12.75" customHeight="1">
      <c r="A53" s="9"/>
      <c r="B53" s="17" t="s">
        <v>33</v>
      </c>
      <c r="C53" s="17" t="s">
        <v>34</v>
      </c>
      <c r="D53" s="17" t="s">
        <v>188</v>
      </c>
      <c r="E53" s="17">
        <v>12</v>
      </c>
      <c r="F53" s="17" t="s">
        <v>972</v>
      </c>
      <c r="G53" s="17" t="s">
        <v>980</v>
      </c>
      <c r="H53" s="17" t="s">
        <v>1003</v>
      </c>
      <c r="I53" s="17" t="s">
        <v>1054</v>
      </c>
      <c r="J53" s="17" t="s">
        <v>1064</v>
      </c>
      <c r="K53" s="17" t="s">
        <v>1065</v>
      </c>
      <c r="L53" s="17" t="s">
        <v>1066</v>
      </c>
      <c r="M53" s="12" t="s">
        <v>1054</v>
      </c>
    </row>
  </sheetData>
  <autoFilter ref="A1:M53"/>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sheetPr>
    <tabColor rgb="FFFFBFFC"/>
  </sheetPr>
  <dimension ref="A1:L27"/>
  <sheetViews>
    <sheetView showGridLines="0" workbookViewId="0">
      <pane ySplit="1" topLeftCell="A2" activePane="bottomLeft" state="frozen"/>
      <selection pane="bottomLeft" activeCell="B3" sqref="B3"/>
    </sheetView>
  </sheetViews>
  <sheetFormatPr defaultColWidth="12.5703125" defaultRowHeight="15" customHeight="1"/>
  <cols>
    <col min="1" max="1" width="18.42578125" customWidth="1"/>
    <col min="2" max="2" width="11.5703125" customWidth="1"/>
    <col min="3" max="3" width="8.42578125" customWidth="1"/>
    <col min="4" max="4" width="12.140625" customWidth="1"/>
    <col min="5" max="5" width="9.42578125" customWidth="1"/>
    <col min="6" max="6" width="24" customWidth="1"/>
    <col min="7" max="7" width="20" customWidth="1"/>
    <col min="8" max="8" width="51.42578125" customWidth="1"/>
    <col min="9" max="9" width="19.140625" customWidth="1"/>
    <col min="10" max="10" width="31" customWidth="1"/>
    <col min="11" max="11" width="30" customWidth="1"/>
    <col min="12" max="12" width="38" customWidth="1"/>
  </cols>
  <sheetData>
    <row r="1" spans="1:12" ht="27" customHeight="1">
      <c r="A1" s="24" t="s">
        <v>20</v>
      </c>
      <c r="B1" s="25" t="s">
        <v>21</v>
      </c>
      <c r="C1" s="24" t="s">
        <v>22</v>
      </c>
      <c r="D1" s="25" t="s">
        <v>23</v>
      </c>
      <c r="E1" s="25" t="s">
        <v>24</v>
      </c>
      <c r="F1" s="24" t="s">
        <v>1067</v>
      </c>
      <c r="G1" s="25" t="s">
        <v>26</v>
      </c>
      <c r="H1" s="25" t="s">
        <v>27</v>
      </c>
      <c r="I1" s="25" t="s">
        <v>28</v>
      </c>
      <c r="J1" s="25" t="s">
        <v>29</v>
      </c>
      <c r="K1" s="25" t="s">
        <v>30</v>
      </c>
      <c r="L1" s="25" t="s">
        <v>31</v>
      </c>
    </row>
    <row r="2" spans="1:12" ht="76.5">
      <c r="A2" s="16"/>
      <c r="B2" s="16" t="s">
        <v>1068</v>
      </c>
      <c r="C2" s="16" t="s">
        <v>1069</v>
      </c>
      <c r="D2" s="16" t="s">
        <v>1070</v>
      </c>
      <c r="E2" s="16">
        <v>1</v>
      </c>
      <c r="F2" s="16" t="s">
        <v>1071</v>
      </c>
      <c r="G2" s="16" t="s">
        <v>1072</v>
      </c>
      <c r="H2" s="16" t="s">
        <v>1073</v>
      </c>
      <c r="I2" s="16" t="s">
        <v>1074</v>
      </c>
      <c r="J2" s="16" t="s">
        <v>1075</v>
      </c>
      <c r="K2" s="16" t="s">
        <v>1076</v>
      </c>
      <c r="L2" s="16" t="s">
        <v>1077</v>
      </c>
    </row>
    <row r="3" spans="1:12" ht="102">
      <c r="A3" s="16"/>
      <c r="B3" s="16" t="s">
        <v>1068</v>
      </c>
      <c r="C3" s="16" t="s">
        <v>1069</v>
      </c>
      <c r="D3" s="16" t="s">
        <v>1070</v>
      </c>
      <c r="E3" s="16">
        <v>2</v>
      </c>
      <c r="F3" s="16" t="s">
        <v>1078</v>
      </c>
      <c r="G3" s="16" t="s">
        <v>1072</v>
      </c>
      <c r="H3" s="16" t="s">
        <v>1079</v>
      </c>
      <c r="I3" s="16" t="s">
        <v>1080</v>
      </c>
      <c r="J3" s="16" t="s">
        <v>1081</v>
      </c>
      <c r="K3" s="16" t="s">
        <v>1082</v>
      </c>
      <c r="L3" s="16" t="s">
        <v>1083</v>
      </c>
    </row>
    <row r="4" spans="1:12" ht="102">
      <c r="A4" s="16"/>
      <c r="B4" s="16" t="s">
        <v>1068</v>
      </c>
      <c r="C4" s="16" t="s">
        <v>1069</v>
      </c>
      <c r="D4" s="16" t="s">
        <v>1070</v>
      </c>
      <c r="E4" s="16">
        <v>3</v>
      </c>
      <c r="F4" s="16" t="s">
        <v>1084</v>
      </c>
      <c r="G4" s="16" t="s">
        <v>1085</v>
      </c>
      <c r="H4" s="16" t="s">
        <v>1086</v>
      </c>
      <c r="I4" s="16" t="s">
        <v>1087</v>
      </c>
      <c r="J4" s="16" t="s">
        <v>1088</v>
      </c>
      <c r="K4" s="16" t="s">
        <v>1089</v>
      </c>
      <c r="L4" s="16" t="s">
        <v>1090</v>
      </c>
    </row>
    <row r="5" spans="1:12" ht="127.5">
      <c r="A5" s="16"/>
      <c r="B5" s="16" t="s">
        <v>1068</v>
      </c>
      <c r="C5" s="16" t="s">
        <v>1069</v>
      </c>
      <c r="D5" s="16" t="s">
        <v>1070</v>
      </c>
      <c r="E5" s="16">
        <v>4</v>
      </c>
      <c r="F5" s="16" t="s">
        <v>1071</v>
      </c>
      <c r="G5" s="16" t="s">
        <v>1085</v>
      </c>
      <c r="H5" s="16" t="s">
        <v>1091</v>
      </c>
      <c r="I5" s="16" t="s">
        <v>1087</v>
      </c>
      <c r="J5" s="16" t="s">
        <v>1092</v>
      </c>
      <c r="K5" s="16" t="s">
        <v>1093</v>
      </c>
      <c r="L5" s="16" t="s">
        <v>1094</v>
      </c>
    </row>
    <row r="6" spans="1:12" ht="127.5">
      <c r="A6" s="16"/>
      <c r="B6" s="16" t="s">
        <v>1068</v>
      </c>
      <c r="C6" s="16" t="s">
        <v>1069</v>
      </c>
      <c r="D6" s="16" t="s">
        <v>1070</v>
      </c>
      <c r="E6" s="16">
        <v>5</v>
      </c>
      <c r="F6" s="16" t="s">
        <v>1071</v>
      </c>
      <c r="G6" s="16" t="s">
        <v>1085</v>
      </c>
      <c r="H6" s="16" t="s">
        <v>1091</v>
      </c>
      <c r="I6" s="16" t="s">
        <v>1087</v>
      </c>
      <c r="J6" s="16" t="s">
        <v>1095</v>
      </c>
      <c r="K6" s="16" t="s">
        <v>1096</v>
      </c>
      <c r="L6" s="16" t="s">
        <v>1097</v>
      </c>
    </row>
    <row r="7" spans="1:12" ht="127.5">
      <c r="A7" s="16"/>
      <c r="B7" s="16" t="s">
        <v>1068</v>
      </c>
      <c r="C7" s="16" t="s">
        <v>1069</v>
      </c>
      <c r="D7" s="16" t="s">
        <v>1070</v>
      </c>
      <c r="E7" s="16">
        <v>6</v>
      </c>
      <c r="F7" s="16" t="s">
        <v>1071</v>
      </c>
      <c r="G7" s="16" t="s">
        <v>1085</v>
      </c>
      <c r="H7" s="16" t="s">
        <v>1091</v>
      </c>
      <c r="I7" s="16" t="s">
        <v>1087</v>
      </c>
      <c r="J7" s="16" t="s">
        <v>1098</v>
      </c>
      <c r="K7" s="16" t="s">
        <v>1099</v>
      </c>
      <c r="L7" s="16" t="s">
        <v>1100</v>
      </c>
    </row>
    <row r="8" spans="1:12" ht="114.75">
      <c r="A8" s="16"/>
      <c r="B8" s="16" t="s">
        <v>1068</v>
      </c>
      <c r="C8" s="16" t="s">
        <v>1069</v>
      </c>
      <c r="D8" s="16" t="s">
        <v>1070</v>
      </c>
      <c r="E8" s="16">
        <v>7</v>
      </c>
      <c r="F8" s="16" t="s">
        <v>1071</v>
      </c>
      <c r="G8" s="16" t="s">
        <v>1085</v>
      </c>
      <c r="H8" s="16" t="s">
        <v>1101</v>
      </c>
      <c r="I8" s="16" t="s">
        <v>1102</v>
      </c>
      <c r="J8" s="16" t="s">
        <v>1103</v>
      </c>
      <c r="K8" s="16" t="s">
        <v>1104</v>
      </c>
      <c r="L8" s="16" t="s">
        <v>1105</v>
      </c>
    </row>
    <row r="9" spans="1:12" ht="127.5">
      <c r="A9" s="16"/>
      <c r="B9" s="16" t="s">
        <v>1068</v>
      </c>
      <c r="C9" s="16" t="s">
        <v>1069</v>
      </c>
      <c r="D9" s="16" t="s">
        <v>1106</v>
      </c>
      <c r="E9" s="16">
        <v>1</v>
      </c>
      <c r="F9" s="16" t="s">
        <v>1078</v>
      </c>
      <c r="G9" s="16" t="s">
        <v>1107</v>
      </c>
      <c r="H9" s="16" t="s">
        <v>1108</v>
      </c>
      <c r="I9" s="16" t="s">
        <v>1109</v>
      </c>
      <c r="J9" s="16" t="s">
        <v>1110</v>
      </c>
      <c r="K9" s="16" t="s">
        <v>1111</v>
      </c>
      <c r="L9" s="16" t="s">
        <v>1112</v>
      </c>
    </row>
    <row r="10" spans="1:12" ht="114.75">
      <c r="A10" s="16"/>
      <c r="B10" s="16" t="s">
        <v>1068</v>
      </c>
      <c r="C10" s="16" t="s">
        <v>1069</v>
      </c>
      <c r="D10" s="16" t="s">
        <v>1106</v>
      </c>
      <c r="E10" s="16">
        <v>2</v>
      </c>
      <c r="F10" s="16" t="s">
        <v>1113</v>
      </c>
      <c r="G10" s="16" t="s">
        <v>1107</v>
      </c>
      <c r="H10" s="16" t="s">
        <v>1114</v>
      </c>
      <c r="I10" s="16" t="s">
        <v>1115</v>
      </c>
      <c r="J10" s="16" t="s">
        <v>1116</v>
      </c>
      <c r="K10" s="16" t="s">
        <v>1117</v>
      </c>
      <c r="L10" s="16" t="s">
        <v>1118</v>
      </c>
    </row>
    <row r="11" spans="1:12" ht="102">
      <c r="A11" s="16"/>
      <c r="B11" s="16" t="s">
        <v>1068</v>
      </c>
      <c r="C11" s="16" t="s">
        <v>1069</v>
      </c>
      <c r="D11" s="16" t="s">
        <v>1106</v>
      </c>
      <c r="E11" s="16">
        <v>3</v>
      </c>
      <c r="F11" s="16" t="s">
        <v>1113</v>
      </c>
      <c r="G11" s="16" t="s">
        <v>1107</v>
      </c>
      <c r="H11" s="16" t="s">
        <v>1119</v>
      </c>
      <c r="I11" s="16" t="s">
        <v>1120</v>
      </c>
      <c r="J11" s="16" t="s">
        <v>1121</v>
      </c>
      <c r="K11" s="16" t="s">
        <v>1122</v>
      </c>
      <c r="L11" s="16" t="s">
        <v>1123</v>
      </c>
    </row>
    <row r="12" spans="1:12" ht="114.75">
      <c r="A12" s="16"/>
      <c r="B12" s="16" t="s">
        <v>1068</v>
      </c>
      <c r="C12" s="16" t="s">
        <v>1069</v>
      </c>
      <c r="D12" s="16" t="s">
        <v>1106</v>
      </c>
      <c r="E12" s="16">
        <v>4</v>
      </c>
      <c r="F12" s="16" t="s">
        <v>1078</v>
      </c>
      <c r="G12" s="16" t="s">
        <v>1107</v>
      </c>
      <c r="H12" s="16" t="s">
        <v>1124</v>
      </c>
      <c r="I12" s="16" t="s">
        <v>1125</v>
      </c>
      <c r="J12" s="16" t="s">
        <v>1126</v>
      </c>
      <c r="K12" s="16" t="s">
        <v>1127</v>
      </c>
      <c r="L12" s="16" t="s">
        <v>1128</v>
      </c>
    </row>
    <row r="13" spans="1:12" ht="114.75">
      <c r="A13" s="16"/>
      <c r="B13" s="16" t="s">
        <v>1068</v>
      </c>
      <c r="C13" s="16" t="s">
        <v>1069</v>
      </c>
      <c r="D13" s="16" t="s">
        <v>1106</v>
      </c>
      <c r="E13" s="16">
        <v>5</v>
      </c>
      <c r="F13" s="16" t="s">
        <v>1078</v>
      </c>
      <c r="G13" s="16" t="s">
        <v>1107</v>
      </c>
      <c r="H13" s="16" t="s">
        <v>1124</v>
      </c>
      <c r="I13" s="16" t="s">
        <v>1125</v>
      </c>
      <c r="J13" s="16" t="s">
        <v>1129</v>
      </c>
      <c r="K13" s="16" t="s">
        <v>1130</v>
      </c>
      <c r="L13" s="16" t="s">
        <v>1131</v>
      </c>
    </row>
    <row r="14" spans="1:12" ht="102">
      <c r="A14" s="16"/>
      <c r="B14" s="16" t="s">
        <v>1068</v>
      </c>
      <c r="C14" s="16" t="s">
        <v>1069</v>
      </c>
      <c r="D14" s="16" t="s">
        <v>1106</v>
      </c>
      <c r="E14" s="16">
        <v>6</v>
      </c>
      <c r="F14" s="16" t="s">
        <v>1078</v>
      </c>
      <c r="G14" s="16" t="s">
        <v>1107</v>
      </c>
      <c r="H14" s="16" t="s">
        <v>1132</v>
      </c>
      <c r="I14" s="16" t="s">
        <v>1125</v>
      </c>
      <c r="J14" s="16" t="s">
        <v>1133</v>
      </c>
      <c r="K14" s="16" t="s">
        <v>1134</v>
      </c>
      <c r="L14" s="16" t="s">
        <v>1135</v>
      </c>
    </row>
    <row r="15" spans="1:12" ht="127.5">
      <c r="A15" s="16" t="s">
        <v>1136</v>
      </c>
      <c r="B15" s="16" t="s">
        <v>1068</v>
      </c>
      <c r="C15" s="16" t="s">
        <v>1069</v>
      </c>
      <c r="D15" s="16" t="s">
        <v>1106</v>
      </c>
      <c r="E15" s="16">
        <v>7</v>
      </c>
      <c r="F15" s="16" t="s">
        <v>1137</v>
      </c>
      <c r="G15" s="16" t="s">
        <v>1107</v>
      </c>
      <c r="H15" s="16" t="s">
        <v>1138</v>
      </c>
      <c r="I15" s="16" t="s">
        <v>1139</v>
      </c>
      <c r="J15" s="16" t="s">
        <v>1140</v>
      </c>
      <c r="K15" s="16" t="s">
        <v>1141</v>
      </c>
      <c r="L15" s="16" t="s">
        <v>1142</v>
      </c>
    </row>
    <row r="16" spans="1:12" ht="76.5">
      <c r="A16" s="16"/>
      <c r="B16" s="26" t="s">
        <v>33</v>
      </c>
      <c r="C16" s="26" t="s">
        <v>1069</v>
      </c>
      <c r="D16" s="26" t="s">
        <v>542</v>
      </c>
      <c r="E16" s="26">
        <v>1</v>
      </c>
      <c r="F16" s="26" t="s">
        <v>1113</v>
      </c>
      <c r="G16" s="26" t="s">
        <v>1143</v>
      </c>
      <c r="H16" s="26" t="s">
        <v>1086</v>
      </c>
      <c r="I16" s="26" t="s">
        <v>1144</v>
      </c>
      <c r="J16" s="26" t="s">
        <v>1145</v>
      </c>
      <c r="K16" s="26" t="s">
        <v>1146</v>
      </c>
      <c r="L16" s="26" t="s">
        <v>1147</v>
      </c>
    </row>
    <row r="17" spans="1:12" ht="114.75">
      <c r="A17" s="16"/>
      <c r="B17" s="26" t="s">
        <v>33</v>
      </c>
      <c r="C17" s="26" t="s">
        <v>1069</v>
      </c>
      <c r="D17" s="26" t="s">
        <v>542</v>
      </c>
      <c r="E17" s="26">
        <v>2</v>
      </c>
      <c r="F17" s="26" t="s">
        <v>1148</v>
      </c>
      <c r="G17" s="26" t="s">
        <v>1143</v>
      </c>
      <c r="H17" s="26" t="s">
        <v>1149</v>
      </c>
      <c r="I17" s="26" t="s">
        <v>1150</v>
      </c>
      <c r="J17" s="26" t="s">
        <v>1151</v>
      </c>
      <c r="K17" s="26" t="s">
        <v>1152</v>
      </c>
      <c r="L17" s="26" t="s">
        <v>1153</v>
      </c>
    </row>
    <row r="18" spans="1:12" ht="63.75">
      <c r="A18" s="16"/>
      <c r="B18" s="26" t="s">
        <v>33</v>
      </c>
      <c r="C18" s="26" t="s">
        <v>1069</v>
      </c>
      <c r="D18" s="26" t="s">
        <v>542</v>
      </c>
      <c r="E18" s="26">
        <v>3</v>
      </c>
      <c r="F18" s="26" t="s">
        <v>1113</v>
      </c>
      <c r="G18" s="26" t="s">
        <v>1143</v>
      </c>
      <c r="H18" s="26" t="s">
        <v>1154</v>
      </c>
      <c r="I18" s="26" t="s">
        <v>1150</v>
      </c>
      <c r="J18" s="26" t="s">
        <v>1155</v>
      </c>
      <c r="K18" s="26" t="s">
        <v>1156</v>
      </c>
      <c r="L18" s="26" t="s">
        <v>1157</v>
      </c>
    </row>
    <row r="19" spans="1:12" ht="102">
      <c r="A19" s="16"/>
      <c r="B19" s="26" t="s">
        <v>33</v>
      </c>
      <c r="C19" s="26" t="s">
        <v>1069</v>
      </c>
      <c r="D19" s="26" t="s">
        <v>542</v>
      </c>
      <c r="E19" s="26">
        <v>4</v>
      </c>
      <c r="F19" s="26" t="s">
        <v>1113</v>
      </c>
      <c r="G19" s="26" t="s">
        <v>1143</v>
      </c>
      <c r="H19" s="26" t="s">
        <v>1158</v>
      </c>
      <c r="I19" s="26" t="s">
        <v>1150</v>
      </c>
      <c r="J19" s="26" t="s">
        <v>1159</v>
      </c>
      <c r="K19" s="26" t="s">
        <v>1160</v>
      </c>
      <c r="L19" s="26" t="s">
        <v>1161</v>
      </c>
    </row>
    <row r="20" spans="1:12" ht="63.75">
      <c r="A20" s="16"/>
      <c r="B20" s="26" t="s">
        <v>33</v>
      </c>
      <c r="C20" s="26" t="s">
        <v>1069</v>
      </c>
      <c r="D20" s="26" t="s">
        <v>542</v>
      </c>
      <c r="E20" s="26">
        <v>5</v>
      </c>
      <c r="F20" s="26" t="s">
        <v>1113</v>
      </c>
      <c r="G20" s="26" t="s">
        <v>1143</v>
      </c>
      <c r="H20" s="26" t="s">
        <v>1162</v>
      </c>
      <c r="I20" s="26" t="s">
        <v>1150</v>
      </c>
      <c r="J20" s="26" t="s">
        <v>1163</v>
      </c>
      <c r="K20" s="26" t="s">
        <v>1164</v>
      </c>
      <c r="L20" s="26" t="s">
        <v>1165</v>
      </c>
    </row>
    <row r="21" spans="1:12" ht="140.25">
      <c r="A21" s="16"/>
      <c r="B21" s="26" t="s">
        <v>33</v>
      </c>
      <c r="C21" s="26" t="s">
        <v>1069</v>
      </c>
      <c r="D21" s="26" t="s">
        <v>542</v>
      </c>
      <c r="E21" s="26">
        <v>6</v>
      </c>
      <c r="F21" s="26" t="s">
        <v>1113</v>
      </c>
      <c r="G21" s="26" t="s">
        <v>1143</v>
      </c>
      <c r="H21" s="26" t="s">
        <v>1166</v>
      </c>
      <c r="I21" s="26" t="s">
        <v>1167</v>
      </c>
      <c r="J21" s="26" t="s">
        <v>1168</v>
      </c>
      <c r="K21" s="26" t="s">
        <v>1169</v>
      </c>
      <c r="L21" s="26" t="s">
        <v>1170</v>
      </c>
    </row>
    <row r="22" spans="1:12" ht="63.75">
      <c r="A22" s="16"/>
      <c r="B22" s="26" t="s">
        <v>33</v>
      </c>
      <c r="C22" s="26" t="s">
        <v>1069</v>
      </c>
      <c r="D22" s="26" t="s">
        <v>1171</v>
      </c>
      <c r="E22" s="26">
        <v>1</v>
      </c>
      <c r="F22" s="26" t="s">
        <v>1113</v>
      </c>
      <c r="G22" s="26" t="s">
        <v>1172</v>
      </c>
      <c r="H22" s="26" t="s">
        <v>1173</v>
      </c>
      <c r="I22" s="26" t="s">
        <v>1174</v>
      </c>
      <c r="J22" s="26" t="s">
        <v>1175</v>
      </c>
      <c r="K22" s="26" t="s">
        <v>1176</v>
      </c>
      <c r="L22" s="26" t="s">
        <v>1177</v>
      </c>
    </row>
    <row r="23" spans="1:12" ht="114.75">
      <c r="A23" s="16"/>
      <c r="B23" s="26" t="s">
        <v>33</v>
      </c>
      <c r="C23" s="26" t="s">
        <v>1069</v>
      </c>
      <c r="D23" s="26" t="s">
        <v>1171</v>
      </c>
      <c r="E23" s="26">
        <v>2</v>
      </c>
      <c r="F23" s="26" t="s">
        <v>1113</v>
      </c>
      <c r="G23" s="26" t="s">
        <v>1172</v>
      </c>
      <c r="H23" s="26" t="s">
        <v>1149</v>
      </c>
      <c r="I23" s="26" t="s">
        <v>1174</v>
      </c>
      <c r="J23" s="26" t="s">
        <v>1178</v>
      </c>
      <c r="K23" s="26" t="s">
        <v>1179</v>
      </c>
      <c r="L23" s="26" t="s">
        <v>1180</v>
      </c>
    </row>
    <row r="24" spans="1:12" ht="76.5">
      <c r="A24" s="16"/>
      <c r="B24" s="26" t="s">
        <v>33</v>
      </c>
      <c r="C24" s="26" t="s">
        <v>1069</v>
      </c>
      <c r="D24" s="26" t="s">
        <v>1171</v>
      </c>
      <c r="E24" s="26">
        <v>3</v>
      </c>
      <c r="F24" s="26" t="s">
        <v>1113</v>
      </c>
      <c r="G24" s="26" t="s">
        <v>1172</v>
      </c>
      <c r="H24" s="26" t="s">
        <v>1162</v>
      </c>
      <c r="I24" s="26" t="s">
        <v>1174</v>
      </c>
      <c r="J24" s="26" t="s">
        <v>1181</v>
      </c>
      <c r="K24" s="26" t="s">
        <v>1182</v>
      </c>
      <c r="L24" s="26" t="s">
        <v>1183</v>
      </c>
    </row>
    <row r="25" spans="1:12" ht="63.75">
      <c r="A25" s="16"/>
      <c r="B25" s="26" t="s">
        <v>33</v>
      </c>
      <c r="C25" s="26" t="s">
        <v>1069</v>
      </c>
      <c r="D25" s="26" t="s">
        <v>1171</v>
      </c>
      <c r="E25" s="26">
        <v>4</v>
      </c>
      <c r="F25" s="26" t="s">
        <v>1113</v>
      </c>
      <c r="G25" s="26" t="s">
        <v>1172</v>
      </c>
      <c r="H25" s="26" t="s">
        <v>1162</v>
      </c>
      <c r="I25" s="26" t="s">
        <v>1174</v>
      </c>
      <c r="J25" s="26" t="s">
        <v>1184</v>
      </c>
      <c r="K25" s="26" t="s">
        <v>1185</v>
      </c>
      <c r="L25" s="26" t="s">
        <v>1186</v>
      </c>
    </row>
    <row r="26" spans="1:12" ht="114.75">
      <c r="A26" s="16"/>
      <c r="B26" s="26" t="s">
        <v>33</v>
      </c>
      <c r="C26" s="26" t="s">
        <v>1069</v>
      </c>
      <c r="D26" s="26" t="s">
        <v>1171</v>
      </c>
      <c r="E26" s="26">
        <v>5</v>
      </c>
      <c r="F26" s="26" t="s">
        <v>1078</v>
      </c>
      <c r="G26" s="26" t="s">
        <v>1172</v>
      </c>
      <c r="H26" s="26" t="s">
        <v>1187</v>
      </c>
      <c r="I26" s="26" t="s">
        <v>1188</v>
      </c>
      <c r="J26" s="26" t="s">
        <v>1189</v>
      </c>
      <c r="K26" s="26" t="s">
        <v>1190</v>
      </c>
      <c r="L26" s="26" t="s">
        <v>1191</v>
      </c>
    </row>
    <row r="27" spans="1:12" ht="114.75">
      <c r="A27" s="16"/>
      <c r="B27" s="26" t="s">
        <v>33</v>
      </c>
      <c r="C27" s="26" t="s">
        <v>1069</v>
      </c>
      <c r="D27" s="26" t="s">
        <v>1171</v>
      </c>
      <c r="E27" s="26">
        <v>6</v>
      </c>
      <c r="F27" s="26" t="s">
        <v>1078</v>
      </c>
      <c r="G27" s="26" t="s">
        <v>1172</v>
      </c>
      <c r="H27" s="26" t="s">
        <v>1187</v>
      </c>
      <c r="I27" s="26" t="s">
        <v>1192</v>
      </c>
      <c r="J27" s="26" t="s">
        <v>1193</v>
      </c>
      <c r="K27" s="26" t="s">
        <v>1194</v>
      </c>
      <c r="L27" s="26" t="s">
        <v>1195</v>
      </c>
    </row>
  </sheetData>
  <autoFilter ref="A1:L27"/>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sheetPr>
    <tabColor rgb="FFFFBFFC"/>
  </sheetPr>
  <dimension ref="A1:M53"/>
  <sheetViews>
    <sheetView workbookViewId="0"/>
  </sheetViews>
  <sheetFormatPr defaultColWidth="12.5703125" defaultRowHeight="15" customHeight="1"/>
  <cols>
    <col min="1" max="1" width="18.28515625" customWidth="1"/>
    <col min="2" max="2" width="9.140625" customWidth="1"/>
    <col min="3" max="3" width="8.42578125" customWidth="1"/>
    <col min="4" max="4" width="12.5703125" customWidth="1"/>
    <col min="5" max="5" width="9.140625" customWidth="1"/>
    <col min="6" max="6" width="20" customWidth="1"/>
    <col min="7" max="7" width="17.5703125" customWidth="1"/>
    <col min="8" max="8" width="14.28515625" customWidth="1"/>
    <col min="9" max="9" width="80.85546875" customWidth="1"/>
    <col min="10" max="10" width="33.140625" customWidth="1"/>
    <col min="11" max="11" width="26.7109375" customWidth="1"/>
    <col min="12" max="12" width="20.28515625" customWidth="1"/>
    <col min="13" max="13" width="33.5703125" customWidth="1"/>
  </cols>
  <sheetData>
    <row r="1" spans="1:13" ht="27.75" customHeight="1">
      <c r="A1" s="13" t="s">
        <v>20</v>
      </c>
      <c r="B1" s="14" t="s">
        <v>21</v>
      </c>
      <c r="C1" s="13" t="s">
        <v>22</v>
      </c>
      <c r="D1" s="14" t="s">
        <v>23</v>
      </c>
      <c r="E1" s="14" t="s">
        <v>24</v>
      </c>
      <c r="F1" s="14" t="s">
        <v>1196</v>
      </c>
      <c r="G1" s="14" t="s">
        <v>1197</v>
      </c>
      <c r="H1" s="14" t="s">
        <v>1198</v>
      </c>
      <c r="I1" s="14" t="s">
        <v>27</v>
      </c>
      <c r="J1" s="14" t="s">
        <v>31</v>
      </c>
      <c r="K1" s="14" t="s">
        <v>28</v>
      </c>
      <c r="L1" s="14" t="s">
        <v>29</v>
      </c>
      <c r="M1" s="14" t="s">
        <v>30</v>
      </c>
    </row>
    <row r="2" spans="1:13" ht="12.75" customHeight="1">
      <c r="A2" s="27"/>
      <c r="B2" s="28" t="s">
        <v>33</v>
      </c>
      <c r="C2" s="28" t="s">
        <v>34</v>
      </c>
      <c r="D2" s="29" t="s">
        <v>35</v>
      </c>
      <c r="E2" s="29">
        <v>1</v>
      </c>
      <c r="F2" s="29" t="s">
        <v>1199</v>
      </c>
      <c r="G2" s="29" t="s">
        <v>1200</v>
      </c>
      <c r="H2" s="29" t="s">
        <v>1201</v>
      </c>
      <c r="I2" s="28" t="s">
        <v>1202</v>
      </c>
      <c r="J2" s="29" t="s">
        <v>1203</v>
      </c>
      <c r="K2" s="29" t="s">
        <v>1204</v>
      </c>
      <c r="L2" s="29" t="s">
        <v>1205</v>
      </c>
      <c r="M2" s="29" t="s">
        <v>1206</v>
      </c>
    </row>
    <row r="3" spans="1:13" ht="12.75" customHeight="1">
      <c r="A3" s="27"/>
      <c r="B3" s="28" t="s">
        <v>33</v>
      </c>
      <c r="C3" s="28" t="s">
        <v>34</v>
      </c>
      <c r="D3" s="29" t="s">
        <v>35</v>
      </c>
      <c r="E3" s="29">
        <v>2</v>
      </c>
      <c r="F3" s="29" t="s">
        <v>1199</v>
      </c>
      <c r="G3" s="29" t="s">
        <v>1200</v>
      </c>
      <c r="H3" s="29" t="s">
        <v>1201</v>
      </c>
      <c r="I3" s="28" t="s">
        <v>1207</v>
      </c>
      <c r="J3" s="29" t="s">
        <v>1208</v>
      </c>
      <c r="K3" s="29" t="s">
        <v>1209</v>
      </c>
      <c r="L3" s="29" t="s">
        <v>1210</v>
      </c>
      <c r="M3" s="29" t="s">
        <v>1211</v>
      </c>
    </row>
    <row r="4" spans="1:13" ht="12.75" customHeight="1">
      <c r="A4" s="27"/>
      <c r="B4" s="28" t="s">
        <v>33</v>
      </c>
      <c r="C4" s="28" t="s">
        <v>34</v>
      </c>
      <c r="D4" s="29" t="s">
        <v>35</v>
      </c>
      <c r="E4" s="29">
        <v>3</v>
      </c>
      <c r="F4" s="29" t="s">
        <v>1199</v>
      </c>
      <c r="G4" s="29" t="s">
        <v>1200</v>
      </c>
      <c r="H4" s="29" t="s">
        <v>1212</v>
      </c>
      <c r="I4" s="28" t="s">
        <v>1213</v>
      </c>
      <c r="J4" s="29" t="s">
        <v>1214</v>
      </c>
      <c r="K4" s="29" t="s">
        <v>1215</v>
      </c>
      <c r="L4" s="29" t="s">
        <v>1216</v>
      </c>
      <c r="M4" s="29" t="s">
        <v>1217</v>
      </c>
    </row>
    <row r="5" spans="1:13" ht="12.75" customHeight="1">
      <c r="A5" s="27"/>
      <c r="B5" s="28" t="s">
        <v>33</v>
      </c>
      <c r="C5" s="28" t="s">
        <v>34</v>
      </c>
      <c r="D5" s="29" t="s">
        <v>35</v>
      </c>
      <c r="E5" s="29">
        <v>4</v>
      </c>
      <c r="F5" s="29" t="s">
        <v>1199</v>
      </c>
      <c r="G5" s="29" t="s">
        <v>1200</v>
      </c>
      <c r="H5" s="29" t="s">
        <v>1212</v>
      </c>
      <c r="I5" s="28" t="s">
        <v>1218</v>
      </c>
      <c r="J5" s="29" t="s">
        <v>1219</v>
      </c>
      <c r="K5" s="29" t="s">
        <v>1220</v>
      </c>
      <c r="L5" s="29" t="s">
        <v>1221</v>
      </c>
      <c r="M5" s="29" t="s">
        <v>1222</v>
      </c>
    </row>
    <row r="6" spans="1:13" ht="12.75" customHeight="1">
      <c r="A6" s="27"/>
      <c r="B6" s="28" t="s">
        <v>33</v>
      </c>
      <c r="C6" s="28" t="s">
        <v>34</v>
      </c>
      <c r="D6" s="29" t="s">
        <v>35</v>
      </c>
      <c r="E6" s="29">
        <v>5</v>
      </c>
      <c r="F6" s="29" t="s">
        <v>1199</v>
      </c>
      <c r="G6" s="29" t="s">
        <v>1200</v>
      </c>
      <c r="H6" s="29" t="s">
        <v>1223</v>
      </c>
      <c r="I6" s="28" t="s">
        <v>1224</v>
      </c>
      <c r="J6" s="29" t="s">
        <v>1225</v>
      </c>
      <c r="K6" s="29" t="s">
        <v>1226</v>
      </c>
      <c r="L6" s="29" t="s">
        <v>1227</v>
      </c>
      <c r="M6" s="29" t="s">
        <v>1228</v>
      </c>
    </row>
    <row r="7" spans="1:13" ht="12.75" customHeight="1">
      <c r="A7" s="27"/>
      <c r="B7" s="28" t="s">
        <v>33</v>
      </c>
      <c r="C7" s="28" t="s">
        <v>34</v>
      </c>
      <c r="D7" s="29" t="s">
        <v>35</v>
      </c>
      <c r="E7" s="29">
        <v>6</v>
      </c>
      <c r="F7" s="29" t="s">
        <v>1199</v>
      </c>
      <c r="G7" s="29" t="s">
        <v>1200</v>
      </c>
      <c r="H7" s="29" t="s">
        <v>1223</v>
      </c>
      <c r="I7" s="28" t="s">
        <v>1229</v>
      </c>
      <c r="J7" s="29" t="s">
        <v>1230</v>
      </c>
      <c r="K7" s="29" t="s">
        <v>1231</v>
      </c>
      <c r="L7" s="29" t="s">
        <v>1232</v>
      </c>
      <c r="M7" s="29" t="s">
        <v>1233</v>
      </c>
    </row>
    <row r="8" spans="1:13" ht="12.75" customHeight="1">
      <c r="A8" s="27"/>
      <c r="B8" s="28" t="s">
        <v>33</v>
      </c>
      <c r="C8" s="28" t="s">
        <v>34</v>
      </c>
      <c r="D8" s="29" t="s">
        <v>35</v>
      </c>
      <c r="E8" s="29">
        <v>7</v>
      </c>
      <c r="F8" s="29" t="s">
        <v>1199</v>
      </c>
      <c r="G8" s="29" t="s">
        <v>1200</v>
      </c>
      <c r="H8" s="29" t="s">
        <v>1234</v>
      </c>
      <c r="I8" s="28" t="s">
        <v>1235</v>
      </c>
      <c r="J8" s="29" t="s">
        <v>1236</v>
      </c>
      <c r="K8" s="29" t="s">
        <v>1237</v>
      </c>
      <c r="L8" s="29" t="s">
        <v>1238</v>
      </c>
      <c r="M8" s="29" t="s">
        <v>1239</v>
      </c>
    </row>
    <row r="9" spans="1:13" ht="12.75" customHeight="1">
      <c r="A9" s="27"/>
      <c r="B9" s="28" t="s">
        <v>33</v>
      </c>
      <c r="C9" s="28" t="s">
        <v>34</v>
      </c>
      <c r="D9" s="29" t="s">
        <v>35</v>
      </c>
      <c r="E9" s="29">
        <v>8</v>
      </c>
      <c r="F9" s="29" t="s">
        <v>1199</v>
      </c>
      <c r="G9" s="29" t="s">
        <v>1240</v>
      </c>
      <c r="H9" s="29" t="s">
        <v>1201</v>
      </c>
      <c r="I9" s="28" t="s">
        <v>1241</v>
      </c>
      <c r="J9" s="29" t="s">
        <v>1242</v>
      </c>
      <c r="K9" s="29" t="s">
        <v>1243</v>
      </c>
      <c r="L9" s="29" t="s">
        <v>1244</v>
      </c>
      <c r="M9" s="29" t="s">
        <v>1245</v>
      </c>
    </row>
    <row r="10" spans="1:13" ht="12.75" customHeight="1">
      <c r="A10" s="27"/>
      <c r="B10" s="28" t="s">
        <v>33</v>
      </c>
      <c r="C10" s="28" t="s">
        <v>34</v>
      </c>
      <c r="D10" s="29" t="s">
        <v>35</v>
      </c>
      <c r="E10" s="29">
        <v>9</v>
      </c>
      <c r="F10" s="29" t="s">
        <v>1199</v>
      </c>
      <c r="G10" s="29" t="s">
        <v>1240</v>
      </c>
      <c r="H10" s="29" t="s">
        <v>1201</v>
      </c>
      <c r="I10" s="28" t="s">
        <v>1213</v>
      </c>
      <c r="J10" s="29" t="s">
        <v>1246</v>
      </c>
      <c r="K10" s="29" t="s">
        <v>1247</v>
      </c>
      <c r="L10" s="29" t="s">
        <v>1248</v>
      </c>
      <c r="M10" s="29" t="s">
        <v>1249</v>
      </c>
    </row>
    <row r="11" spans="1:13" ht="12.75" customHeight="1">
      <c r="A11" s="27"/>
      <c r="B11" s="28" t="s">
        <v>33</v>
      </c>
      <c r="C11" s="28" t="s">
        <v>34</v>
      </c>
      <c r="D11" s="29" t="s">
        <v>35</v>
      </c>
      <c r="E11" s="29">
        <v>10</v>
      </c>
      <c r="F11" s="29" t="s">
        <v>1199</v>
      </c>
      <c r="G11" s="29" t="s">
        <v>1240</v>
      </c>
      <c r="H11" s="29" t="s">
        <v>1212</v>
      </c>
      <c r="I11" s="28" t="s">
        <v>1250</v>
      </c>
      <c r="J11" s="29" t="s">
        <v>1251</v>
      </c>
      <c r="K11" s="30" t="s">
        <v>1252</v>
      </c>
      <c r="L11" s="29" t="s">
        <v>1253</v>
      </c>
      <c r="M11" s="29" t="s">
        <v>1254</v>
      </c>
    </row>
    <row r="12" spans="1:13" ht="12.75" customHeight="1">
      <c r="A12" s="27"/>
      <c r="B12" s="28" t="s">
        <v>33</v>
      </c>
      <c r="C12" s="28" t="s">
        <v>34</v>
      </c>
      <c r="D12" s="29" t="s">
        <v>35</v>
      </c>
      <c r="E12" s="29">
        <v>11</v>
      </c>
      <c r="F12" s="29" t="s">
        <v>1199</v>
      </c>
      <c r="G12" s="29" t="s">
        <v>1240</v>
      </c>
      <c r="H12" s="29" t="s">
        <v>1212</v>
      </c>
      <c r="I12" s="28" t="s">
        <v>1255</v>
      </c>
      <c r="J12" s="29" t="s">
        <v>1256</v>
      </c>
      <c r="K12" s="30" t="s">
        <v>1252</v>
      </c>
      <c r="L12" s="29" t="s">
        <v>1257</v>
      </c>
      <c r="M12" s="29" t="s">
        <v>1258</v>
      </c>
    </row>
    <row r="13" spans="1:13" ht="12.75" customHeight="1">
      <c r="A13" s="27"/>
      <c r="B13" s="28" t="s">
        <v>33</v>
      </c>
      <c r="C13" s="28" t="s">
        <v>34</v>
      </c>
      <c r="D13" s="29" t="s">
        <v>35</v>
      </c>
      <c r="E13" s="29">
        <v>12</v>
      </c>
      <c r="F13" s="29" t="s">
        <v>1199</v>
      </c>
      <c r="G13" s="29" t="s">
        <v>1240</v>
      </c>
      <c r="H13" s="29" t="s">
        <v>1223</v>
      </c>
      <c r="I13" s="28" t="s">
        <v>1259</v>
      </c>
      <c r="J13" s="29" t="s">
        <v>1260</v>
      </c>
      <c r="K13" s="29" t="s">
        <v>1261</v>
      </c>
      <c r="L13" s="29" t="s">
        <v>1262</v>
      </c>
      <c r="M13" s="29" t="s">
        <v>1263</v>
      </c>
    </row>
    <row r="14" spans="1:13" ht="12.75" customHeight="1">
      <c r="A14" s="27"/>
      <c r="B14" s="28" t="s">
        <v>33</v>
      </c>
      <c r="C14" s="28" t="s">
        <v>34</v>
      </c>
      <c r="D14" s="29" t="s">
        <v>35</v>
      </c>
      <c r="E14" s="29">
        <v>13</v>
      </c>
      <c r="F14" s="29" t="s">
        <v>1199</v>
      </c>
      <c r="G14" s="29" t="s">
        <v>1240</v>
      </c>
      <c r="H14" s="29" t="s">
        <v>1223</v>
      </c>
      <c r="I14" s="28" t="s">
        <v>1259</v>
      </c>
      <c r="J14" s="29" t="s">
        <v>1264</v>
      </c>
      <c r="K14" s="29" t="s">
        <v>1261</v>
      </c>
      <c r="L14" s="29" t="s">
        <v>1265</v>
      </c>
      <c r="M14" s="29" t="s">
        <v>1266</v>
      </c>
    </row>
    <row r="15" spans="1:13" ht="12.75" customHeight="1">
      <c r="A15" s="27"/>
      <c r="B15" s="28" t="s">
        <v>33</v>
      </c>
      <c r="C15" s="28" t="s">
        <v>34</v>
      </c>
      <c r="D15" s="29" t="s">
        <v>35</v>
      </c>
      <c r="E15" s="29">
        <v>14</v>
      </c>
      <c r="F15" s="29" t="s">
        <v>1199</v>
      </c>
      <c r="G15" s="29" t="s">
        <v>1240</v>
      </c>
      <c r="H15" s="29" t="s">
        <v>1234</v>
      </c>
      <c r="I15" s="28" t="s">
        <v>1267</v>
      </c>
      <c r="J15" s="29" t="s">
        <v>1268</v>
      </c>
      <c r="K15" s="29" t="s">
        <v>1269</v>
      </c>
      <c r="L15" s="29" t="s">
        <v>1270</v>
      </c>
      <c r="M15" s="29" t="s">
        <v>1271</v>
      </c>
    </row>
    <row r="16" spans="1:13" ht="97.5" customHeight="1">
      <c r="A16" s="27"/>
      <c r="B16" s="28" t="s">
        <v>33</v>
      </c>
      <c r="C16" s="28" t="s">
        <v>34</v>
      </c>
      <c r="D16" s="29" t="s">
        <v>90</v>
      </c>
      <c r="E16" s="29">
        <v>1</v>
      </c>
      <c r="F16" s="29" t="s">
        <v>1272</v>
      </c>
      <c r="G16" s="29" t="s">
        <v>1273</v>
      </c>
      <c r="H16" s="29" t="s">
        <v>1201</v>
      </c>
      <c r="I16" s="28" t="s">
        <v>1274</v>
      </c>
      <c r="J16" s="29" t="s">
        <v>1275</v>
      </c>
      <c r="K16" s="29" t="s">
        <v>1276</v>
      </c>
      <c r="L16" s="29" t="s">
        <v>1277</v>
      </c>
      <c r="M16" s="29" t="s">
        <v>1278</v>
      </c>
    </row>
    <row r="17" spans="1:13" ht="114.75" customHeight="1">
      <c r="A17" s="27"/>
      <c r="B17" s="28" t="s">
        <v>33</v>
      </c>
      <c r="C17" s="28" t="s">
        <v>34</v>
      </c>
      <c r="D17" s="29" t="s">
        <v>90</v>
      </c>
      <c r="E17" s="29">
        <v>2</v>
      </c>
      <c r="F17" s="29" t="s">
        <v>1272</v>
      </c>
      <c r="G17" s="29" t="s">
        <v>1273</v>
      </c>
      <c r="H17" s="29" t="s">
        <v>1201</v>
      </c>
      <c r="I17" s="28" t="s">
        <v>1250</v>
      </c>
      <c r="J17" s="29" t="s">
        <v>1279</v>
      </c>
      <c r="K17" s="29" t="s">
        <v>1280</v>
      </c>
      <c r="L17" s="29" t="s">
        <v>1281</v>
      </c>
      <c r="M17" s="29" t="s">
        <v>1282</v>
      </c>
    </row>
    <row r="18" spans="1:13" ht="122.25" customHeight="1">
      <c r="A18" s="27"/>
      <c r="B18" s="28" t="s">
        <v>33</v>
      </c>
      <c r="C18" s="28" t="s">
        <v>34</v>
      </c>
      <c r="D18" s="29" t="s">
        <v>90</v>
      </c>
      <c r="E18" s="29">
        <v>3</v>
      </c>
      <c r="F18" s="29" t="s">
        <v>1272</v>
      </c>
      <c r="G18" s="29" t="s">
        <v>1273</v>
      </c>
      <c r="H18" s="29" t="s">
        <v>1212</v>
      </c>
      <c r="I18" s="28" t="s">
        <v>1283</v>
      </c>
      <c r="J18" s="29" t="s">
        <v>1284</v>
      </c>
      <c r="K18" s="29" t="s">
        <v>1285</v>
      </c>
      <c r="L18" s="29" t="s">
        <v>1286</v>
      </c>
      <c r="M18" s="29" t="s">
        <v>1287</v>
      </c>
    </row>
    <row r="19" spans="1:13" ht="119.25" customHeight="1">
      <c r="A19" s="27"/>
      <c r="B19" s="28" t="s">
        <v>33</v>
      </c>
      <c r="C19" s="28" t="s">
        <v>34</v>
      </c>
      <c r="D19" s="29" t="s">
        <v>90</v>
      </c>
      <c r="E19" s="29">
        <v>4</v>
      </c>
      <c r="F19" s="29" t="s">
        <v>1272</v>
      </c>
      <c r="G19" s="29" t="s">
        <v>1273</v>
      </c>
      <c r="H19" s="29" t="s">
        <v>1212</v>
      </c>
      <c r="I19" s="28" t="s">
        <v>1288</v>
      </c>
      <c r="J19" s="29" t="s">
        <v>1289</v>
      </c>
      <c r="K19" s="29" t="s">
        <v>1285</v>
      </c>
      <c r="L19" s="29" t="s">
        <v>1290</v>
      </c>
      <c r="M19" s="29" t="s">
        <v>1287</v>
      </c>
    </row>
    <row r="20" spans="1:13" ht="84" customHeight="1">
      <c r="A20" s="27"/>
      <c r="B20" s="28" t="s">
        <v>33</v>
      </c>
      <c r="C20" s="28" t="s">
        <v>34</v>
      </c>
      <c r="D20" s="29" t="s">
        <v>90</v>
      </c>
      <c r="E20" s="29">
        <v>5</v>
      </c>
      <c r="F20" s="29" t="s">
        <v>1272</v>
      </c>
      <c r="G20" s="29" t="s">
        <v>1273</v>
      </c>
      <c r="H20" s="29" t="s">
        <v>1223</v>
      </c>
      <c r="I20" s="28" t="s">
        <v>1291</v>
      </c>
      <c r="J20" s="29" t="s">
        <v>1292</v>
      </c>
      <c r="K20" s="29" t="s">
        <v>1293</v>
      </c>
      <c r="L20" s="29" t="s">
        <v>1294</v>
      </c>
      <c r="M20" s="29" t="s">
        <v>1295</v>
      </c>
    </row>
    <row r="21" spans="1:13" ht="96" customHeight="1">
      <c r="A21" s="27" t="s">
        <v>132</v>
      </c>
      <c r="B21" s="28" t="s">
        <v>33</v>
      </c>
      <c r="C21" s="28" t="s">
        <v>34</v>
      </c>
      <c r="D21" s="29" t="s">
        <v>90</v>
      </c>
      <c r="E21" s="29">
        <v>6</v>
      </c>
      <c r="F21" s="29" t="s">
        <v>1272</v>
      </c>
      <c r="G21" s="29" t="s">
        <v>1273</v>
      </c>
      <c r="H21" s="29" t="s">
        <v>1223</v>
      </c>
      <c r="I21" s="28" t="s">
        <v>1296</v>
      </c>
      <c r="J21" s="29" t="s">
        <v>1297</v>
      </c>
      <c r="K21" s="29" t="s">
        <v>1298</v>
      </c>
      <c r="L21" s="29" t="s">
        <v>1299</v>
      </c>
      <c r="M21" s="29" t="s">
        <v>1300</v>
      </c>
    </row>
    <row r="22" spans="1:13" ht="84" customHeight="1">
      <c r="A22" s="27"/>
      <c r="B22" s="28" t="s">
        <v>33</v>
      </c>
      <c r="C22" s="28" t="s">
        <v>34</v>
      </c>
      <c r="D22" s="29" t="s">
        <v>90</v>
      </c>
      <c r="E22" s="29">
        <v>7</v>
      </c>
      <c r="F22" s="29" t="s">
        <v>1272</v>
      </c>
      <c r="G22" s="29" t="s">
        <v>1273</v>
      </c>
      <c r="H22" s="29" t="s">
        <v>1301</v>
      </c>
      <c r="I22" s="28" t="s">
        <v>1291</v>
      </c>
      <c r="J22" s="29" t="s">
        <v>1302</v>
      </c>
      <c r="K22" s="29" t="s">
        <v>1303</v>
      </c>
      <c r="L22" s="29" t="s">
        <v>1304</v>
      </c>
      <c r="M22" s="29" t="s">
        <v>1305</v>
      </c>
    </row>
    <row r="23" spans="1:13" ht="119.25" customHeight="1">
      <c r="A23" s="27"/>
      <c r="B23" s="28" t="s">
        <v>33</v>
      </c>
      <c r="C23" s="28" t="s">
        <v>34</v>
      </c>
      <c r="D23" s="29" t="s">
        <v>90</v>
      </c>
      <c r="E23" s="29">
        <v>8</v>
      </c>
      <c r="F23" s="29" t="s">
        <v>1272</v>
      </c>
      <c r="G23" s="29" t="s">
        <v>1306</v>
      </c>
      <c r="H23" s="29" t="s">
        <v>1201</v>
      </c>
      <c r="I23" s="28" t="s">
        <v>1307</v>
      </c>
      <c r="J23" s="29" t="s">
        <v>1308</v>
      </c>
      <c r="K23" s="29" t="s">
        <v>1309</v>
      </c>
      <c r="L23" s="29" t="s">
        <v>1310</v>
      </c>
      <c r="M23" s="29" t="s">
        <v>1311</v>
      </c>
    </row>
    <row r="24" spans="1:13" ht="103.5" customHeight="1">
      <c r="A24" s="27"/>
      <c r="B24" s="28" t="s">
        <v>33</v>
      </c>
      <c r="C24" s="28" t="s">
        <v>34</v>
      </c>
      <c r="D24" s="29" t="s">
        <v>90</v>
      </c>
      <c r="E24" s="29">
        <v>9</v>
      </c>
      <c r="F24" s="29" t="s">
        <v>1272</v>
      </c>
      <c r="G24" s="29" t="s">
        <v>1306</v>
      </c>
      <c r="H24" s="29" t="s">
        <v>1201</v>
      </c>
      <c r="I24" s="28" t="s">
        <v>1312</v>
      </c>
      <c r="J24" s="29" t="s">
        <v>1313</v>
      </c>
      <c r="K24" s="29" t="s">
        <v>1314</v>
      </c>
      <c r="L24" s="29" t="s">
        <v>1315</v>
      </c>
      <c r="M24" s="29" t="s">
        <v>1316</v>
      </c>
    </row>
    <row r="25" spans="1:13" ht="115.5" customHeight="1">
      <c r="A25" s="27"/>
      <c r="B25" s="28" t="s">
        <v>33</v>
      </c>
      <c r="C25" s="28" t="s">
        <v>34</v>
      </c>
      <c r="D25" s="29" t="s">
        <v>90</v>
      </c>
      <c r="E25" s="29">
        <v>10</v>
      </c>
      <c r="F25" s="29" t="s">
        <v>1272</v>
      </c>
      <c r="G25" s="29" t="s">
        <v>1306</v>
      </c>
      <c r="H25" s="29" t="s">
        <v>1212</v>
      </c>
      <c r="I25" s="28" t="s">
        <v>1317</v>
      </c>
      <c r="J25" s="29" t="s">
        <v>1318</v>
      </c>
      <c r="K25" s="29" t="s">
        <v>1319</v>
      </c>
      <c r="L25" s="29" t="s">
        <v>1320</v>
      </c>
      <c r="M25" s="29" t="s">
        <v>1321</v>
      </c>
    </row>
    <row r="26" spans="1:13" ht="97.5" customHeight="1">
      <c r="A26" s="27"/>
      <c r="B26" s="28" t="s">
        <v>33</v>
      </c>
      <c r="C26" s="28" t="s">
        <v>34</v>
      </c>
      <c r="D26" s="29" t="s">
        <v>90</v>
      </c>
      <c r="E26" s="29">
        <v>11</v>
      </c>
      <c r="F26" s="29" t="s">
        <v>1272</v>
      </c>
      <c r="G26" s="29" t="s">
        <v>1306</v>
      </c>
      <c r="H26" s="29" t="s">
        <v>1212</v>
      </c>
      <c r="I26" s="28" t="s">
        <v>1322</v>
      </c>
      <c r="J26" s="29" t="s">
        <v>1323</v>
      </c>
      <c r="K26" s="29" t="s">
        <v>1324</v>
      </c>
      <c r="L26" s="29" t="s">
        <v>1325</v>
      </c>
      <c r="M26" s="29" t="s">
        <v>1326</v>
      </c>
    </row>
    <row r="27" spans="1:13" ht="99.75" customHeight="1">
      <c r="A27" s="27"/>
      <c r="B27" s="28" t="s">
        <v>33</v>
      </c>
      <c r="C27" s="28" t="s">
        <v>34</v>
      </c>
      <c r="D27" s="29" t="s">
        <v>90</v>
      </c>
      <c r="E27" s="29">
        <v>12</v>
      </c>
      <c r="F27" s="29" t="s">
        <v>1272</v>
      </c>
      <c r="G27" s="29" t="s">
        <v>1306</v>
      </c>
      <c r="H27" s="29" t="s">
        <v>1223</v>
      </c>
      <c r="I27" s="28" t="s">
        <v>1327</v>
      </c>
      <c r="J27" s="29" t="s">
        <v>1328</v>
      </c>
      <c r="K27" s="29" t="s">
        <v>1329</v>
      </c>
      <c r="L27" s="29" t="s">
        <v>1330</v>
      </c>
      <c r="M27" s="29" t="s">
        <v>1331</v>
      </c>
    </row>
    <row r="28" spans="1:13" ht="12.75" customHeight="1">
      <c r="A28" s="27" t="s">
        <v>1332</v>
      </c>
      <c r="B28" s="28" t="s">
        <v>33</v>
      </c>
      <c r="C28" s="28" t="s">
        <v>34</v>
      </c>
      <c r="D28" s="29" t="s">
        <v>90</v>
      </c>
      <c r="E28" s="29">
        <v>13</v>
      </c>
      <c r="F28" s="29" t="s">
        <v>1272</v>
      </c>
      <c r="G28" s="29" t="s">
        <v>1306</v>
      </c>
      <c r="H28" s="29" t="s">
        <v>1223</v>
      </c>
      <c r="I28" s="28" t="s">
        <v>1333</v>
      </c>
      <c r="J28" s="29" t="s">
        <v>1334</v>
      </c>
      <c r="K28" s="29" t="s">
        <v>1335</v>
      </c>
      <c r="L28" s="29" t="s">
        <v>1336</v>
      </c>
      <c r="M28" s="29" t="s">
        <v>1337</v>
      </c>
    </row>
    <row r="29" spans="1:13" ht="12.75" customHeight="1">
      <c r="A29" s="27"/>
      <c r="B29" s="28" t="s">
        <v>33</v>
      </c>
      <c r="C29" s="28" t="s">
        <v>34</v>
      </c>
      <c r="D29" s="29" t="s">
        <v>90</v>
      </c>
      <c r="E29" s="29">
        <v>14</v>
      </c>
      <c r="F29" s="29" t="s">
        <v>1272</v>
      </c>
      <c r="G29" s="29" t="s">
        <v>1306</v>
      </c>
      <c r="H29" s="29" t="s">
        <v>1234</v>
      </c>
      <c r="I29" s="28" t="s">
        <v>1338</v>
      </c>
      <c r="J29" s="29" t="s">
        <v>1339</v>
      </c>
      <c r="K29" s="29" t="s">
        <v>1340</v>
      </c>
      <c r="L29" s="29" t="s">
        <v>1341</v>
      </c>
      <c r="M29" s="29" t="s">
        <v>1342</v>
      </c>
    </row>
    <row r="30" spans="1:13" ht="12.75" customHeight="1">
      <c r="A30" s="27"/>
      <c r="B30" s="28" t="s">
        <v>33</v>
      </c>
      <c r="C30" s="28" t="s">
        <v>34</v>
      </c>
      <c r="D30" s="28" t="s">
        <v>542</v>
      </c>
      <c r="E30" s="28">
        <v>1</v>
      </c>
      <c r="F30" s="28" t="s">
        <v>1343</v>
      </c>
      <c r="G30" s="28" t="s">
        <v>1344</v>
      </c>
      <c r="H30" s="28" t="s">
        <v>1201</v>
      </c>
      <c r="I30" s="28" t="s">
        <v>1345</v>
      </c>
      <c r="J30" s="28" t="s">
        <v>1346</v>
      </c>
      <c r="K30" s="28" t="s">
        <v>1347</v>
      </c>
      <c r="L30" s="28" t="s">
        <v>1348</v>
      </c>
      <c r="M30" s="28" t="s">
        <v>1349</v>
      </c>
    </row>
    <row r="31" spans="1:13" ht="12.75" customHeight="1">
      <c r="A31" s="27"/>
      <c r="B31" s="28" t="s">
        <v>33</v>
      </c>
      <c r="C31" s="28" t="s">
        <v>34</v>
      </c>
      <c r="D31" s="28" t="s">
        <v>542</v>
      </c>
      <c r="E31" s="28">
        <v>2</v>
      </c>
      <c r="F31" s="28" t="s">
        <v>1343</v>
      </c>
      <c r="G31" s="28" t="s">
        <v>1344</v>
      </c>
      <c r="H31" s="28" t="s">
        <v>1201</v>
      </c>
      <c r="I31" s="28" t="s">
        <v>1350</v>
      </c>
      <c r="J31" s="28" t="s">
        <v>1351</v>
      </c>
      <c r="K31" s="28" t="s">
        <v>1352</v>
      </c>
      <c r="L31" s="28" t="s">
        <v>1353</v>
      </c>
      <c r="M31" s="28" t="s">
        <v>1354</v>
      </c>
    </row>
    <row r="32" spans="1:13" ht="12.75" customHeight="1">
      <c r="A32" s="27"/>
      <c r="B32" s="28" t="s">
        <v>33</v>
      </c>
      <c r="C32" s="28" t="s">
        <v>34</v>
      </c>
      <c r="D32" s="28" t="s">
        <v>542</v>
      </c>
      <c r="E32" s="28">
        <v>3</v>
      </c>
      <c r="F32" s="28" t="s">
        <v>1343</v>
      </c>
      <c r="G32" s="28" t="s">
        <v>1344</v>
      </c>
      <c r="H32" s="28" t="s">
        <v>1212</v>
      </c>
      <c r="I32" s="28" t="s">
        <v>1355</v>
      </c>
      <c r="J32" s="28" t="s">
        <v>1356</v>
      </c>
      <c r="K32" s="28" t="s">
        <v>1357</v>
      </c>
      <c r="L32" s="28" t="s">
        <v>1358</v>
      </c>
      <c r="M32" s="28" t="s">
        <v>1359</v>
      </c>
    </row>
    <row r="33" spans="1:13" ht="12.75" customHeight="1">
      <c r="A33" s="27"/>
      <c r="B33" s="28" t="s">
        <v>33</v>
      </c>
      <c r="C33" s="28" t="s">
        <v>34</v>
      </c>
      <c r="D33" s="28" t="s">
        <v>542</v>
      </c>
      <c r="E33" s="28">
        <v>4</v>
      </c>
      <c r="F33" s="28" t="s">
        <v>1343</v>
      </c>
      <c r="G33" s="28" t="s">
        <v>1344</v>
      </c>
      <c r="H33" s="28" t="s">
        <v>1212</v>
      </c>
      <c r="I33" s="28" t="s">
        <v>1360</v>
      </c>
      <c r="J33" s="28" t="s">
        <v>1361</v>
      </c>
      <c r="K33" s="28" t="s">
        <v>1362</v>
      </c>
      <c r="L33" s="28" t="s">
        <v>1363</v>
      </c>
      <c r="M33" s="28" t="s">
        <v>1364</v>
      </c>
    </row>
    <row r="34" spans="1:13" ht="12.75" customHeight="1">
      <c r="A34" s="27"/>
      <c r="B34" s="28" t="s">
        <v>33</v>
      </c>
      <c r="C34" s="28" t="s">
        <v>34</v>
      </c>
      <c r="D34" s="28" t="s">
        <v>542</v>
      </c>
      <c r="E34" s="28">
        <v>5</v>
      </c>
      <c r="F34" s="28" t="s">
        <v>1343</v>
      </c>
      <c r="G34" s="28" t="s">
        <v>1344</v>
      </c>
      <c r="H34" s="28" t="s">
        <v>1223</v>
      </c>
      <c r="I34" s="28" t="s">
        <v>1365</v>
      </c>
      <c r="J34" s="28" t="s">
        <v>1366</v>
      </c>
      <c r="K34" s="28" t="s">
        <v>1367</v>
      </c>
      <c r="L34" s="28" t="s">
        <v>1368</v>
      </c>
      <c r="M34" s="28" t="s">
        <v>1369</v>
      </c>
    </row>
    <row r="35" spans="1:13" ht="12.75" customHeight="1">
      <c r="A35" s="27"/>
      <c r="B35" s="28" t="s">
        <v>33</v>
      </c>
      <c r="C35" s="28" t="s">
        <v>34</v>
      </c>
      <c r="D35" s="28" t="s">
        <v>542</v>
      </c>
      <c r="E35" s="28">
        <v>6</v>
      </c>
      <c r="F35" s="28" t="s">
        <v>1343</v>
      </c>
      <c r="G35" s="28" t="s">
        <v>1344</v>
      </c>
      <c r="H35" s="28" t="s">
        <v>1370</v>
      </c>
      <c r="I35" s="28" t="s">
        <v>1371</v>
      </c>
      <c r="J35" s="28" t="s">
        <v>1372</v>
      </c>
      <c r="K35" s="28" t="s">
        <v>1373</v>
      </c>
      <c r="L35" s="28" t="s">
        <v>1374</v>
      </c>
      <c r="M35" s="28" t="s">
        <v>1375</v>
      </c>
    </row>
    <row r="36" spans="1:13" ht="12.75" customHeight="1">
      <c r="A36" s="27"/>
      <c r="B36" s="28" t="s">
        <v>33</v>
      </c>
      <c r="C36" s="28" t="s">
        <v>34</v>
      </c>
      <c r="D36" s="28" t="s">
        <v>542</v>
      </c>
      <c r="E36" s="28">
        <v>7</v>
      </c>
      <c r="F36" s="28" t="s">
        <v>1343</v>
      </c>
      <c r="G36" s="28" t="s">
        <v>1376</v>
      </c>
      <c r="H36" s="28" t="s">
        <v>1201</v>
      </c>
      <c r="I36" s="28" t="s">
        <v>1377</v>
      </c>
      <c r="J36" s="28" t="s">
        <v>1378</v>
      </c>
      <c r="K36" s="28" t="s">
        <v>1379</v>
      </c>
      <c r="L36" s="28" t="s">
        <v>1380</v>
      </c>
      <c r="M36" s="28" t="s">
        <v>1381</v>
      </c>
    </row>
    <row r="37" spans="1:13" ht="12.75" customHeight="1">
      <c r="A37" s="27"/>
      <c r="B37" s="28" t="s">
        <v>33</v>
      </c>
      <c r="C37" s="28" t="s">
        <v>34</v>
      </c>
      <c r="D37" s="28" t="s">
        <v>542</v>
      </c>
      <c r="E37" s="28">
        <v>8</v>
      </c>
      <c r="F37" s="28" t="s">
        <v>1343</v>
      </c>
      <c r="G37" s="28" t="s">
        <v>1376</v>
      </c>
      <c r="H37" s="28" t="s">
        <v>1201</v>
      </c>
      <c r="I37" s="28" t="s">
        <v>1377</v>
      </c>
      <c r="J37" s="28" t="s">
        <v>1382</v>
      </c>
      <c r="K37" s="28" t="s">
        <v>1383</v>
      </c>
      <c r="L37" s="28" t="s">
        <v>1384</v>
      </c>
      <c r="M37" s="28" t="s">
        <v>1385</v>
      </c>
    </row>
    <row r="38" spans="1:13" ht="12.75" customHeight="1">
      <c r="A38" s="27"/>
      <c r="B38" s="28" t="s">
        <v>33</v>
      </c>
      <c r="C38" s="28" t="s">
        <v>34</v>
      </c>
      <c r="D38" s="28" t="s">
        <v>542</v>
      </c>
      <c r="E38" s="28">
        <v>9</v>
      </c>
      <c r="F38" s="28" t="s">
        <v>1343</v>
      </c>
      <c r="G38" s="28" t="s">
        <v>1376</v>
      </c>
      <c r="H38" s="28" t="s">
        <v>1212</v>
      </c>
      <c r="I38" s="28" t="s">
        <v>1355</v>
      </c>
      <c r="J38" s="28" t="s">
        <v>1386</v>
      </c>
      <c r="K38" s="28" t="s">
        <v>1387</v>
      </c>
      <c r="L38" s="28" t="s">
        <v>1388</v>
      </c>
      <c r="M38" s="28" t="s">
        <v>1389</v>
      </c>
    </row>
    <row r="39" spans="1:13" ht="12.75" customHeight="1">
      <c r="A39" s="27"/>
      <c r="B39" s="28" t="s">
        <v>33</v>
      </c>
      <c r="C39" s="28" t="s">
        <v>34</v>
      </c>
      <c r="D39" s="28" t="s">
        <v>542</v>
      </c>
      <c r="E39" s="28">
        <v>10</v>
      </c>
      <c r="F39" s="28" t="s">
        <v>1343</v>
      </c>
      <c r="G39" s="28" t="s">
        <v>1376</v>
      </c>
      <c r="H39" s="28" t="s">
        <v>1212</v>
      </c>
      <c r="I39" s="28" t="s">
        <v>1390</v>
      </c>
      <c r="J39" s="28" t="s">
        <v>1391</v>
      </c>
      <c r="K39" s="28" t="s">
        <v>1392</v>
      </c>
      <c r="L39" s="28" t="s">
        <v>1393</v>
      </c>
      <c r="M39" s="28" t="s">
        <v>1394</v>
      </c>
    </row>
    <row r="40" spans="1:13" ht="12.75" customHeight="1">
      <c r="A40" s="27"/>
      <c r="B40" s="28" t="s">
        <v>33</v>
      </c>
      <c r="C40" s="28" t="s">
        <v>34</v>
      </c>
      <c r="D40" s="28" t="s">
        <v>542</v>
      </c>
      <c r="E40" s="28">
        <v>11</v>
      </c>
      <c r="F40" s="28" t="s">
        <v>1343</v>
      </c>
      <c r="G40" s="28" t="s">
        <v>1376</v>
      </c>
      <c r="H40" s="28" t="s">
        <v>1223</v>
      </c>
      <c r="I40" s="28" t="s">
        <v>1395</v>
      </c>
      <c r="J40" s="28" t="s">
        <v>1396</v>
      </c>
      <c r="K40" s="28" t="s">
        <v>1397</v>
      </c>
      <c r="L40" s="28" t="s">
        <v>1398</v>
      </c>
      <c r="M40" s="28" t="s">
        <v>1399</v>
      </c>
    </row>
    <row r="41" spans="1:13" ht="12.75" customHeight="1">
      <c r="A41" s="27"/>
      <c r="B41" s="28" t="s">
        <v>33</v>
      </c>
      <c r="C41" s="28" t="s">
        <v>34</v>
      </c>
      <c r="D41" s="28" t="s">
        <v>542</v>
      </c>
      <c r="E41" s="28">
        <v>12</v>
      </c>
      <c r="F41" s="28" t="s">
        <v>1343</v>
      </c>
      <c r="G41" s="28" t="s">
        <v>1376</v>
      </c>
      <c r="H41" s="28" t="s">
        <v>1400</v>
      </c>
      <c r="I41" s="28" t="s">
        <v>1395</v>
      </c>
      <c r="J41" s="28" t="s">
        <v>1401</v>
      </c>
      <c r="K41" s="28" t="s">
        <v>1402</v>
      </c>
      <c r="L41" s="28" t="s">
        <v>1403</v>
      </c>
      <c r="M41" s="28" t="s">
        <v>1404</v>
      </c>
    </row>
    <row r="42" spans="1:13" ht="12.75" customHeight="1">
      <c r="A42" s="27"/>
      <c r="B42" s="28" t="s">
        <v>33</v>
      </c>
      <c r="C42" s="28" t="s">
        <v>34</v>
      </c>
      <c r="D42" s="28" t="s">
        <v>188</v>
      </c>
      <c r="E42" s="28">
        <v>1</v>
      </c>
      <c r="F42" s="28" t="s">
        <v>1405</v>
      </c>
      <c r="G42" s="28" t="s">
        <v>1406</v>
      </c>
      <c r="H42" s="28" t="s">
        <v>1201</v>
      </c>
      <c r="I42" s="28" t="s">
        <v>1407</v>
      </c>
      <c r="J42" s="28" t="s">
        <v>1408</v>
      </c>
      <c r="K42" s="28" t="s">
        <v>1409</v>
      </c>
      <c r="L42" s="28" t="s">
        <v>1410</v>
      </c>
      <c r="M42" s="28" t="s">
        <v>1411</v>
      </c>
    </row>
    <row r="43" spans="1:13" ht="12.75" customHeight="1">
      <c r="A43" s="27"/>
      <c r="B43" s="28" t="s">
        <v>33</v>
      </c>
      <c r="C43" s="28" t="s">
        <v>34</v>
      </c>
      <c r="D43" s="28" t="s">
        <v>188</v>
      </c>
      <c r="E43" s="28">
        <v>2</v>
      </c>
      <c r="F43" s="28" t="s">
        <v>1405</v>
      </c>
      <c r="G43" s="28" t="s">
        <v>1406</v>
      </c>
      <c r="H43" s="28" t="s">
        <v>1201</v>
      </c>
      <c r="I43" s="28" t="s">
        <v>1412</v>
      </c>
      <c r="J43" s="28" t="s">
        <v>1413</v>
      </c>
      <c r="K43" s="28" t="s">
        <v>1414</v>
      </c>
      <c r="L43" s="28" t="s">
        <v>1415</v>
      </c>
      <c r="M43" s="28" t="s">
        <v>1416</v>
      </c>
    </row>
    <row r="44" spans="1:13" ht="12.75" customHeight="1">
      <c r="A44" s="27"/>
      <c r="B44" s="28" t="s">
        <v>33</v>
      </c>
      <c r="C44" s="28" t="s">
        <v>34</v>
      </c>
      <c r="D44" s="28" t="s">
        <v>188</v>
      </c>
      <c r="E44" s="28">
        <v>3</v>
      </c>
      <c r="F44" s="28" t="s">
        <v>1405</v>
      </c>
      <c r="G44" s="28" t="s">
        <v>1406</v>
      </c>
      <c r="H44" s="28" t="s">
        <v>1212</v>
      </c>
      <c r="I44" s="28" t="s">
        <v>1417</v>
      </c>
      <c r="J44" s="28" t="s">
        <v>1418</v>
      </c>
      <c r="K44" s="28" t="s">
        <v>1419</v>
      </c>
      <c r="L44" s="28" t="s">
        <v>1420</v>
      </c>
      <c r="M44" s="28" t="s">
        <v>1421</v>
      </c>
    </row>
    <row r="45" spans="1:13" ht="12.75" customHeight="1">
      <c r="A45" s="27"/>
      <c r="B45" s="28" t="s">
        <v>33</v>
      </c>
      <c r="C45" s="28" t="s">
        <v>34</v>
      </c>
      <c r="D45" s="28" t="s">
        <v>188</v>
      </c>
      <c r="E45" s="28">
        <v>4</v>
      </c>
      <c r="F45" s="28" t="s">
        <v>1405</v>
      </c>
      <c r="G45" s="28" t="s">
        <v>1406</v>
      </c>
      <c r="H45" s="28" t="s">
        <v>1212</v>
      </c>
      <c r="I45" s="28" t="s">
        <v>1412</v>
      </c>
      <c r="J45" s="28" t="s">
        <v>1422</v>
      </c>
      <c r="K45" s="28" t="s">
        <v>1423</v>
      </c>
      <c r="L45" s="28" t="s">
        <v>1424</v>
      </c>
      <c r="M45" s="28" t="s">
        <v>1425</v>
      </c>
    </row>
    <row r="46" spans="1:13" ht="12.75" customHeight="1">
      <c r="A46" s="27"/>
      <c r="B46" s="28" t="s">
        <v>33</v>
      </c>
      <c r="C46" s="28" t="s">
        <v>34</v>
      </c>
      <c r="D46" s="28" t="s">
        <v>188</v>
      </c>
      <c r="E46" s="28">
        <v>5</v>
      </c>
      <c r="F46" s="28" t="s">
        <v>1405</v>
      </c>
      <c r="G46" s="28" t="s">
        <v>1406</v>
      </c>
      <c r="H46" s="28" t="s">
        <v>1223</v>
      </c>
      <c r="I46" s="28" t="s">
        <v>1426</v>
      </c>
      <c r="J46" s="28" t="s">
        <v>1427</v>
      </c>
      <c r="K46" s="28" t="s">
        <v>1428</v>
      </c>
      <c r="L46" s="28" t="s">
        <v>1429</v>
      </c>
      <c r="M46" s="28" t="s">
        <v>1430</v>
      </c>
    </row>
    <row r="47" spans="1:13" ht="12.75" customHeight="1">
      <c r="A47" s="27"/>
      <c r="B47" s="28" t="s">
        <v>33</v>
      </c>
      <c r="C47" s="28" t="s">
        <v>34</v>
      </c>
      <c r="D47" s="28" t="s">
        <v>188</v>
      </c>
      <c r="E47" s="28">
        <v>6</v>
      </c>
      <c r="F47" s="28" t="s">
        <v>1405</v>
      </c>
      <c r="G47" s="28" t="s">
        <v>1406</v>
      </c>
      <c r="H47" s="28" t="s">
        <v>1370</v>
      </c>
      <c r="I47" s="28" t="s">
        <v>1426</v>
      </c>
      <c r="J47" s="28" t="s">
        <v>1431</v>
      </c>
      <c r="K47" s="28" t="s">
        <v>1432</v>
      </c>
      <c r="L47" s="28" t="s">
        <v>1433</v>
      </c>
      <c r="M47" s="28" t="s">
        <v>1434</v>
      </c>
    </row>
    <row r="48" spans="1:13" ht="12.75" customHeight="1">
      <c r="A48" s="27"/>
      <c r="B48" s="28" t="s">
        <v>33</v>
      </c>
      <c r="C48" s="28" t="s">
        <v>34</v>
      </c>
      <c r="D48" s="28" t="s">
        <v>188</v>
      </c>
      <c r="E48" s="28">
        <v>7</v>
      </c>
      <c r="F48" s="28" t="s">
        <v>1405</v>
      </c>
      <c r="G48" s="28" t="s">
        <v>1435</v>
      </c>
      <c r="H48" s="28" t="s">
        <v>1201</v>
      </c>
      <c r="I48" s="28" t="s">
        <v>1436</v>
      </c>
      <c r="J48" s="28" t="s">
        <v>1437</v>
      </c>
      <c r="K48" s="28" t="s">
        <v>1438</v>
      </c>
      <c r="L48" s="28" t="s">
        <v>1439</v>
      </c>
      <c r="M48" s="28" t="s">
        <v>1440</v>
      </c>
    </row>
    <row r="49" spans="1:13" ht="12.75" customHeight="1">
      <c r="A49" s="27"/>
      <c r="B49" s="28" t="s">
        <v>33</v>
      </c>
      <c r="C49" s="28" t="s">
        <v>34</v>
      </c>
      <c r="D49" s="28" t="s">
        <v>188</v>
      </c>
      <c r="E49" s="28">
        <v>8</v>
      </c>
      <c r="F49" s="28" t="s">
        <v>1405</v>
      </c>
      <c r="G49" s="28" t="s">
        <v>1435</v>
      </c>
      <c r="H49" s="28" t="s">
        <v>1201</v>
      </c>
      <c r="I49" s="28" t="s">
        <v>1355</v>
      </c>
      <c r="J49" s="28" t="s">
        <v>1441</v>
      </c>
      <c r="K49" s="28" t="s">
        <v>1442</v>
      </c>
      <c r="L49" s="28" t="s">
        <v>1443</v>
      </c>
      <c r="M49" s="28" t="s">
        <v>1444</v>
      </c>
    </row>
    <row r="50" spans="1:13" ht="12.75" customHeight="1">
      <c r="A50" s="27"/>
      <c r="B50" s="28" t="s">
        <v>33</v>
      </c>
      <c r="C50" s="28" t="s">
        <v>34</v>
      </c>
      <c r="D50" s="28" t="s">
        <v>188</v>
      </c>
      <c r="E50" s="28">
        <v>9</v>
      </c>
      <c r="F50" s="28" t="s">
        <v>1405</v>
      </c>
      <c r="G50" s="28" t="s">
        <v>1435</v>
      </c>
      <c r="H50" s="28" t="s">
        <v>1212</v>
      </c>
      <c r="I50" s="28" t="s">
        <v>1445</v>
      </c>
      <c r="J50" s="28" t="s">
        <v>1446</v>
      </c>
      <c r="K50" s="28" t="s">
        <v>1447</v>
      </c>
      <c r="L50" s="28" t="s">
        <v>1448</v>
      </c>
      <c r="M50" s="28" t="s">
        <v>1449</v>
      </c>
    </row>
    <row r="51" spans="1:13" ht="12.75" customHeight="1">
      <c r="A51" s="27"/>
      <c r="B51" s="28" t="s">
        <v>33</v>
      </c>
      <c r="C51" s="28" t="s">
        <v>34</v>
      </c>
      <c r="D51" s="28" t="s">
        <v>188</v>
      </c>
      <c r="E51" s="28">
        <v>10</v>
      </c>
      <c r="F51" s="28" t="s">
        <v>1405</v>
      </c>
      <c r="G51" s="28" t="s">
        <v>1435</v>
      </c>
      <c r="H51" s="28" t="s">
        <v>1212</v>
      </c>
      <c r="I51" s="28" t="s">
        <v>1450</v>
      </c>
      <c r="J51" s="28" t="s">
        <v>1451</v>
      </c>
      <c r="K51" s="28" t="s">
        <v>1452</v>
      </c>
      <c r="L51" s="28" t="s">
        <v>1453</v>
      </c>
      <c r="M51" s="28" t="s">
        <v>1454</v>
      </c>
    </row>
    <row r="52" spans="1:13" ht="12.75" customHeight="1">
      <c r="A52" s="27"/>
      <c r="B52" s="28" t="s">
        <v>33</v>
      </c>
      <c r="C52" s="28" t="s">
        <v>34</v>
      </c>
      <c r="D52" s="28" t="s">
        <v>188</v>
      </c>
      <c r="E52" s="28">
        <v>11</v>
      </c>
      <c r="F52" s="28" t="s">
        <v>1405</v>
      </c>
      <c r="G52" s="28" t="s">
        <v>1435</v>
      </c>
      <c r="H52" s="28" t="s">
        <v>1223</v>
      </c>
      <c r="I52" s="28" t="s">
        <v>1455</v>
      </c>
      <c r="J52" s="28" t="s">
        <v>1456</v>
      </c>
      <c r="K52" s="28" t="s">
        <v>1457</v>
      </c>
      <c r="L52" s="28" t="s">
        <v>1458</v>
      </c>
      <c r="M52" s="28" t="s">
        <v>1459</v>
      </c>
    </row>
    <row r="53" spans="1:13" ht="12.75" customHeight="1">
      <c r="A53" s="27"/>
      <c r="B53" s="28" t="s">
        <v>33</v>
      </c>
      <c r="C53" s="28" t="s">
        <v>34</v>
      </c>
      <c r="D53" s="28" t="s">
        <v>188</v>
      </c>
      <c r="E53" s="28">
        <v>12</v>
      </c>
      <c r="F53" s="28" t="s">
        <v>1405</v>
      </c>
      <c r="G53" s="28" t="s">
        <v>1435</v>
      </c>
      <c r="H53" s="28" t="s">
        <v>1400</v>
      </c>
      <c r="I53" s="28" t="s">
        <v>1455</v>
      </c>
      <c r="J53" s="28" t="s">
        <v>1460</v>
      </c>
      <c r="K53" s="28" t="s">
        <v>1461</v>
      </c>
      <c r="L53" s="28" t="s">
        <v>1462</v>
      </c>
      <c r="M53" s="28" t="s">
        <v>1463</v>
      </c>
    </row>
  </sheetData>
  <autoFilter ref="A1:M53"/>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sheetPr>
    <tabColor rgb="FFFFBFFC"/>
  </sheetPr>
  <dimension ref="A1:K53"/>
  <sheetViews>
    <sheetView workbookViewId="0">
      <pane ySplit="1" topLeftCell="A2" activePane="bottomLeft" state="frozen"/>
      <selection pane="bottomLeft" activeCell="B3" sqref="B3"/>
    </sheetView>
  </sheetViews>
  <sheetFormatPr defaultColWidth="12.5703125" defaultRowHeight="15" customHeight="1"/>
  <cols>
    <col min="1" max="1" width="19" customWidth="1"/>
    <col min="2" max="2" width="8.85546875" customWidth="1"/>
    <col min="3" max="3" width="8.42578125" customWidth="1"/>
    <col min="4" max="4" width="12.5703125" customWidth="1"/>
    <col min="5" max="5" width="8.140625" customWidth="1"/>
    <col min="6" max="6" width="13" customWidth="1"/>
    <col min="7" max="7" width="48.42578125" customWidth="1"/>
    <col min="8" max="8" width="18.7109375" customWidth="1"/>
    <col min="9" max="9" width="14.7109375" customWidth="1"/>
    <col min="10" max="10" width="15.85546875" customWidth="1"/>
    <col min="11" max="11" width="30.7109375" customWidth="1"/>
  </cols>
  <sheetData>
    <row r="1" spans="1:11" ht="27" customHeight="1">
      <c r="A1" s="13" t="s">
        <v>20</v>
      </c>
      <c r="B1" s="14" t="s">
        <v>21</v>
      </c>
      <c r="C1" s="13" t="s">
        <v>22</v>
      </c>
      <c r="D1" s="14" t="s">
        <v>23</v>
      </c>
      <c r="E1" s="14" t="s">
        <v>24</v>
      </c>
      <c r="F1" s="14" t="s">
        <v>26</v>
      </c>
      <c r="G1" s="14" t="s">
        <v>27</v>
      </c>
      <c r="H1" s="14" t="s">
        <v>28</v>
      </c>
      <c r="I1" s="14" t="s">
        <v>1464</v>
      </c>
      <c r="J1" s="14" t="s">
        <v>30</v>
      </c>
      <c r="K1" s="14" t="s">
        <v>31</v>
      </c>
    </row>
    <row r="2" spans="1:11" ht="127.5">
      <c r="A2" s="16"/>
      <c r="B2" s="9" t="s">
        <v>33</v>
      </c>
      <c r="C2" s="9" t="s">
        <v>1465</v>
      </c>
      <c r="D2" s="9" t="s">
        <v>1466</v>
      </c>
      <c r="E2" s="9">
        <v>1</v>
      </c>
      <c r="F2" s="9" t="s">
        <v>1467</v>
      </c>
      <c r="G2" s="9" t="s">
        <v>1468</v>
      </c>
      <c r="H2" s="9" t="s">
        <v>1469</v>
      </c>
      <c r="I2" s="9" t="s">
        <v>1470</v>
      </c>
      <c r="J2" s="9" t="s">
        <v>1470</v>
      </c>
      <c r="K2" s="9" t="s">
        <v>1471</v>
      </c>
    </row>
    <row r="3" spans="1:11" ht="127.5">
      <c r="A3" s="16"/>
      <c r="B3" s="9" t="s">
        <v>33</v>
      </c>
      <c r="C3" s="9" t="s">
        <v>1465</v>
      </c>
      <c r="D3" s="9" t="s">
        <v>1466</v>
      </c>
      <c r="E3" s="9">
        <v>2</v>
      </c>
      <c r="F3" s="9" t="s">
        <v>1472</v>
      </c>
      <c r="G3" s="9" t="s">
        <v>1473</v>
      </c>
      <c r="H3" s="9" t="s">
        <v>1474</v>
      </c>
      <c r="I3" s="9" t="s">
        <v>1475</v>
      </c>
      <c r="J3" s="9" t="s">
        <v>1476</v>
      </c>
      <c r="K3" s="9" t="s">
        <v>1477</v>
      </c>
    </row>
    <row r="4" spans="1:11" ht="127.5">
      <c r="A4" s="16"/>
      <c r="B4" s="9" t="s">
        <v>33</v>
      </c>
      <c r="C4" s="9" t="s">
        <v>1465</v>
      </c>
      <c r="D4" s="9" t="s">
        <v>1466</v>
      </c>
      <c r="E4" s="9">
        <v>3</v>
      </c>
      <c r="F4" s="9" t="s">
        <v>1467</v>
      </c>
      <c r="G4" s="9" t="s">
        <v>1478</v>
      </c>
      <c r="H4" s="9" t="s">
        <v>1479</v>
      </c>
      <c r="I4" s="9" t="s">
        <v>1480</v>
      </c>
      <c r="J4" s="9" t="s">
        <v>1480</v>
      </c>
      <c r="K4" s="9" t="s">
        <v>1481</v>
      </c>
    </row>
    <row r="5" spans="1:11" ht="127.5">
      <c r="A5" s="16"/>
      <c r="B5" s="9" t="s">
        <v>33</v>
      </c>
      <c r="C5" s="9" t="s">
        <v>1465</v>
      </c>
      <c r="D5" s="9" t="s">
        <v>1466</v>
      </c>
      <c r="E5" s="9">
        <v>4</v>
      </c>
      <c r="F5" s="9" t="s">
        <v>1467</v>
      </c>
      <c r="G5" s="9" t="s">
        <v>1478</v>
      </c>
      <c r="H5" s="9" t="s">
        <v>1482</v>
      </c>
      <c r="I5" s="9" t="s">
        <v>1483</v>
      </c>
      <c r="J5" s="9" t="s">
        <v>1482</v>
      </c>
      <c r="K5" s="9" t="s">
        <v>1484</v>
      </c>
    </row>
    <row r="6" spans="1:11" ht="140.25">
      <c r="A6" s="16"/>
      <c r="B6" s="9" t="s">
        <v>33</v>
      </c>
      <c r="C6" s="9" t="s">
        <v>1465</v>
      </c>
      <c r="D6" s="9" t="s">
        <v>1466</v>
      </c>
      <c r="E6" s="9">
        <v>5</v>
      </c>
      <c r="F6" s="9" t="s">
        <v>1472</v>
      </c>
      <c r="G6" s="9" t="s">
        <v>1473</v>
      </c>
      <c r="H6" s="9" t="s">
        <v>1485</v>
      </c>
      <c r="I6" s="9" t="s">
        <v>1486</v>
      </c>
      <c r="J6" s="9" t="s">
        <v>1487</v>
      </c>
      <c r="K6" s="9" t="s">
        <v>1488</v>
      </c>
    </row>
    <row r="7" spans="1:11" ht="127.5">
      <c r="A7" s="16"/>
      <c r="B7" s="9" t="s">
        <v>33</v>
      </c>
      <c r="C7" s="9" t="s">
        <v>1465</v>
      </c>
      <c r="D7" s="9" t="s">
        <v>1466</v>
      </c>
      <c r="E7" s="9">
        <v>6</v>
      </c>
      <c r="F7" s="9" t="s">
        <v>1467</v>
      </c>
      <c r="G7" s="9" t="s">
        <v>1478</v>
      </c>
      <c r="H7" s="9" t="s">
        <v>1489</v>
      </c>
      <c r="I7" s="9" t="s">
        <v>1490</v>
      </c>
      <c r="J7" s="9" t="s">
        <v>1491</v>
      </c>
      <c r="K7" s="9" t="s">
        <v>1492</v>
      </c>
    </row>
    <row r="8" spans="1:11" ht="127.5">
      <c r="A8" s="16"/>
      <c r="B8" s="9" t="s">
        <v>33</v>
      </c>
      <c r="C8" s="9" t="s">
        <v>1465</v>
      </c>
      <c r="D8" s="9" t="s">
        <v>1466</v>
      </c>
      <c r="E8" s="9">
        <v>7</v>
      </c>
      <c r="F8" s="9" t="s">
        <v>1467</v>
      </c>
      <c r="G8" s="9" t="s">
        <v>1478</v>
      </c>
      <c r="H8" s="9" t="s">
        <v>1489</v>
      </c>
      <c r="I8" s="9" t="s">
        <v>1493</v>
      </c>
      <c r="J8" s="9" t="s">
        <v>1494</v>
      </c>
      <c r="K8" s="9" t="s">
        <v>1495</v>
      </c>
    </row>
    <row r="9" spans="1:11" ht="127.5">
      <c r="A9" s="16"/>
      <c r="B9" s="9" t="s">
        <v>33</v>
      </c>
      <c r="C9" s="9" t="s">
        <v>1465</v>
      </c>
      <c r="D9" s="9" t="s">
        <v>1466</v>
      </c>
      <c r="E9" s="9">
        <v>8</v>
      </c>
      <c r="F9" s="9" t="s">
        <v>1472</v>
      </c>
      <c r="G9" s="9" t="s">
        <v>1473</v>
      </c>
      <c r="H9" s="9" t="s">
        <v>1496</v>
      </c>
      <c r="I9" s="9" t="s">
        <v>1497</v>
      </c>
      <c r="J9" s="9" t="s">
        <v>1498</v>
      </c>
      <c r="K9" s="9" t="s">
        <v>1499</v>
      </c>
    </row>
    <row r="10" spans="1:11" ht="102">
      <c r="A10" s="16"/>
      <c r="B10" s="9" t="s">
        <v>33</v>
      </c>
      <c r="C10" s="9" t="s">
        <v>1465</v>
      </c>
      <c r="D10" s="9" t="s">
        <v>1466</v>
      </c>
      <c r="E10" s="9">
        <v>9</v>
      </c>
      <c r="F10" s="9" t="s">
        <v>1500</v>
      </c>
      <c r="G10" s="9" t="s">
        <v>1501</v>
      </c>
      <c r="H10" s="9" t="s">
        <v>1502</v>
      </c>
      <c r="I10" s="9" t="s">
        <v>1503</v>
      </c>
      <c r="J10" s="9" t="s">
        <v>1504</v>
      </c>
      <c r="K10" s="9" t="s">
        <v>1505</v>
      </c>
    </row>
    <row r="11" spans="1:11" ht="102">
      <c r="A11" s="16"/>
      <c r="B11" s="9" t="s">
        <v>33</v>
      </c>
      <c r="C11" s="9" t="s">
        <v>1465</v>
      </c>
      <c r="D11" s="9" t="s">
        <v>1466</v>
      </c>
      <c r="E11" s="9">
        <v>10</v>
      </c>
      <c r="F11" s="9" t="s">
        <v>1500</v>
      </c>
      <c r="G11" s="9" t="s">
        <v>1501</v>
      </c>
      <c r="H11" s="9" t="s">
        <v>1506</v>
      </c>
      <c r="I11" s="9" t="s">
        <v>1507</v>
      </c>
      <c r="J11" s="9" t="s">
        <v>1508</v>
      </c>
      <c r="K11" s="9" t="s">
        <v>1509</v>
      </c>
    </row>
    <row r="12" spans="1:11" ht="102">
      <c r="A12" s="16"/>
      <c r="B12" s="9" t="s">
        <v>33</v>
      </c>
      <c r="C12" s="9" t="s">
        <v>1465</v>
      </c>
      <c r="D12" s="9" t="s">
        <v>1466</v>
      </c>
      <c r="E12" s="9">
        <v>11</v>
      </c>
      <c r="F12" s="9" t="s">
        <v>1500</v>
      </c>
      <c r="G12" s="9" t="s">
        <v>1501</v>
      </c>
      <c r="H12" s="9" t="s">
        <v>1506</v>
      </c>
      <c r="I12" s="9" t="s">
        <v>1510</v>
      </c>
      <c r="J12" s="9" t="s">
        <v>1511</v>
      </c>
      <c r="K12" s="9" t="s">
        <v>1512</v>
      </c>
    </row>
    <row r="13" spans="1:11" ht="102">
      <c r="A13" s="16"/>
      <c r="B13" s="9" t="s">
        <v>33</v>
      </c>
      <c r="C13" s="9" t="s">
        <v>1465</v>
      </c>
      <c r="D13" s="9" t="s">
        <v>1466</v>
      </c>
      <c r="E13" s="9">
        <v>12</v>
      </c>
      <c r="F13" s="9" t="s">
        <v>1500</v>
      </c>
      <c r="G13" s="9" t="s">
        <v>1501</v>
      </c>
      <c r="H13" s="9" t="s">
        <v>1502</v>
      </c>
      <c r="I13" s="9" t="s">
        <v>1513</v>
      </c>
      <c r="J13" s="9" t="s">
        <v>1514</v>
      </c>
      <c r="K13" s="9" t="s">
        <v>1515</v>
      </c>
    </row>
    <row r="14" spans="1:11" ht="89.25">
      <c r="A14" s="16"/>
      <c r="B14" s="9" t="s">
        <v>33</v>
      </c>
      <c r="C14" s="9" t="s">
        <v>1465</v>
      </c>
      <c r="D14" s="9" t="s">
        <v>1466</v>
      </c>
      <c r="E14" s="9">
        <v>13</v>
      </c>
      <c r="F14" s="9" t="s">
        <v>1467</v>
      </c>
      <c r="G14" s="9" t="s">
        <v>1516</v>
      </c>
      <c r="H14" s="9" t="s">
        <v>1517</v>
      </c>
      <c r="I14" s="9" t="s">
        <v>1518</v>
      </c>
      <c r="J14" s="9" t="s">
        <v>1519</v>
      </c>
      <c r="K14" s="9" t="s">
        <v>1520</v>
      </c>
    </row>
    <row r="15" spans="1:11" ht="89.25">
      <c r="A15" s="16"/>
      <c r="B15" s="9" t="s">
        <v>33</v>
      </c>
      <c r="C15" s="9" t="s">
        <v>1465</v>
      </c>
      <c r="D15" s="9" t="s">
        <v>1466</v>
      </c>
      <c r="E15" s="9">
        <v>14</v>
      </c>
      <c r="F15" s="9" t="s">
        <v>1467</v>
      </c>
      <c r="G15" s="9" t="s">
        <v>1516</v>
      </c>
      <c r="H15" s="9" t="s">
        <v>1502</v>
      </c>
      <c r="I15" s="9" t="s">
        <v>1521</v>
      </c>
      <c r="J15" s="9" t="s">
        <v>1522</v>
      </c>
      <c r="K15" s="9" t="s">
        <v>1523</v>
      </c>
    </row>
    <row r="16" spans="1:11" ht="127.5">
      <c r="A16" s="16"/>
      <c r="B16" s="9" t="s">
        <v>33</v>
      </c>
      <c r="C16" s="9" t="s">
        <v>1465</v>
      </c>
      <c r="D16" s="9" t="s">
        <v>1524</v>
      </c>
      <c r="E16" s="9">
        <v>1</v>
      </c>
      <c r="F16" s="9" t="s">
        <v>1467</v>
      </c>
      <c r="G16" s="9" t="s">
        <v>1478</v>
      </c>
      <c r="H16" s="9" t="s">
        <v>1525</v>
      </c>
      <c r="I16" s="9" t="s">
        <v>1526</v>
      </c>
      <c r="J16" s="9" t="s">
        <v>1527</v>
      </c>
      <c r="K16" s="9" t="s">
        <v>1528</v>
      </c>
    </row>
    <row r="17" spans="1:11" ht="127.5">
      <c r="A17" s="16"/>
      <c r="B17" s="9" t="s">
        <v>33</v>
      </c>
      <c r="C17" s="9" t="s">
        <v>1465</v>
      </c>
      <c r="D17" s="9" t="s">
        <v>1524</v>
      </c>
      <c r="E17" s="9">
        <v>2</v>
      </c>
      <c r="F17" s="9" t="s">
        <v>1467</v>
      </c>
      <c r="G17" s="9" t="s">
        <v>1478</v>
      </c>
      <c r="H17" s="9" t="s">
        <v>1529</v>
      </c>
      <c r="I17" s="9" t="s">
        <v>1530</v>
      </c>
      <c r="J17" s="9" t="s">
        <v>1531</v>
      </c>
      <c r="K17" s="9" t="s">
        <v>1532</v>
      </c>
    </row>
    <row r="18" spans="1:11" ht="127.5">
      <c r="A18" s="16"/>
      <c r="B18" s="9" t="s">
        <v>33</v>
      </c>
      <c r="C18" s="9" t="s">
        <v>1465</v>
      </c>
      <c r="D18" s="9" t="s">
        <v>1524</v>
      </c>
      <c r="E18" s="9">
        <v>3</v>
      </c>
      <c r="F18" s="9" t="s">
        <v>1467</v>
      </c>
      <c r="G18" s="9" t="s">
        <v>1478</v>
      </c>
      <c r="H18" s="9" t="s">
        <v>1527</v>
      </c>
      <c r="I18" s="9" t="s">
        <v>1533</v>
      </c>
      <c r="J18" s="9" t="s">
        <v>1534</v>
      </c>
      <c r="K18" s="9" t="s">
        <v>1535</v>
      </c>
    </row>
    <row r="19" spans="1:11" ht="89.25">
      <c r="A19" s="16"/>
      <c r="B19" s="9" t="s">
        <v>33</v>
      </c>
      <c r="C19" s="9" t="s">
        <v>1465</v>
      </c>
      <c r="D19" s="9" t="s">
        <v>1524</v>
      </c>
      <c r="E19" s="9">
        <v>4</v>
      </c>
      <c r="F19" s="9" t="s">
        <v>1467</v>
      </c>
      <c r="G19" s="9" t="s">
        <v>1536</v>
      </c>
      <c r="H19" s="9" t="s">
        <v>1537</v>
      </c>
      <c r="I19" s="9" t="s">
        <v>1538</v>
      </c>
      <c r="J19" s="9" t="s">
        <v>1539</v>
      </c>
      <c r="K19" s="9" t="s">
        <v>1540</v>
      </c>
    </row>
    <row r="20" spans="1:11" ht="114.75">
      <c r="A20" s="16"/>
      <c r="B20" s="9" t="s">
        <v>33</v>
      </c>
      <c r="C20" s="9" t="s">
        <v>1465</v>
      </c>
      <c r="D20" s="9" t="s">
        <v>1524</v>
      </c>
      <c r="E20" s="9">
        <v>5</v>
      </c>
      <c r="F20" s="9" t="s">
        <v>1472</v>
      </c>
      <c r="G20" s="9" t="s">
        <v>1473</v>
      </c>
      <c r="H20" s="9" t="s">
        <v>1541</v>
      </c>
      <c r="I20" s="9" t="s">
        <v>1541</v>
      </c>
      <c r="J20" s="9" t="s">
        <v>1541</v>
      </c>
      <c r="K20" s="9" t="s">
        <v>1542</v>
      </c>
    </row>
    <row r="21" spans="1:11" ht="89.25">
      <c r="A21" s="16"/>
      <c r="B21" s="9" t="s">
        <v>33</v>
      </c>
      <c r="C21" s="9" t="s">
        <v>1465</v>
      </c>
      <c r="D21" s="9" t="s">
        <v>1524</v>
      </c>
      <c r="E21" s="9">
        <v>6</v>
      </c>
      <c r="F21" s="9" t="s">
        <v>1472</v>
      </c>
      <c r="G21" s="9" t="s">
        <v>1536</v>
      </c>
      <c r="H21" s="9" t="s">
        <v>1543</v>
      </c>
      <c r="I21" s="9" t="s">
        <v>1544</v>
      </c>
      <c r="J21" s="9" t="s">
        <v>1543</v>
      </c>
      <c r="K21" s="9" t="s">
        <v>1545</v>
      </c>
    </row>
    <row r="22" spans="1:11" ht="76.5">
      <c r="A22" s="16"/>
      <c r="B22" s="9" t="s">
        <v>33</v>
      </c>
      <c r="C22" s="9" t="s">
        <v>1465</v>
      </c>
      <c r="D22" s="9" t="s">
        <v>1524</v>
      </c>
      <c r="E22" s="9">
        <v>7</v>
      </c>
      <c r="F22" s="9" t="s">
        <v>1467</v>
      </c>
      <c r="G22" s="9" t="s">
        <v>1546</v>
      </c>
      <c r="H22" s="9" t="s">
        <v>1547</v>
      </c>
      <c r="I22" s="9" t="s">
        <v>1547</v>
      </c>
      <c r="J22" s="9" t="s">
        <v>1548</v>
      </c>
      <c r="K22" s="9" t="s">
        <v>1549</v>
      </c>
    </row>
    <row r="23" spans="1:11" ht="102">
      <c r="A23" s="16"/>
      <c r="B23" s="9" t="s">
        <v>33</v>
      </c>
      <c r="C23" s="9" t="s">
        <v>1465</v>
      </c>
      <c r="D23" s="9" t="s">
        <v>1524</v>
      </c>
      <c r="E23" s="9">
        <v>8</v>
      </c>
      <c r="F23" s="9" t="s">
        <v>1467</v>
      </c>
      <c r="G23" s="9" t="s">
        <v>1546</v>
      </c>
      <c r="H23" s="9" t="s">
        <v>1550</v>
      </c>
      <c r="I23" s="9" t="s">
        <v>1550</v>
      </c>
      <c r="J23" s="9" t="s">
        <v>1551</v>
      </c>
      <c r="K23" s="9" t="s">
        <v>1552</v>
      </c>
    </row>
    <row r="24" spans="1:11" ht="76.5">
      <c r="A24" s="16"/>
      <c r="B24" s="9" t="s">
        <v>33</v>
      </c>
      <c r="C24" s="9" t="s">
        <v>1465</v>
      </c>
      <c r="D24" s="9" t="s">
        <v>1524</v>
      </c>
      <c r="E24" s="9">
        <v>9</v>
      </c>
      <c r="F24" s="9" t="s">
        <v>1467</v>
      </c>
      <c r="G24" s="9" t="s">
        <v>1546</v>
      </c>
      <c r="H24" s="9" t="s">
        <v>1553</v>
      </c>
      <c r="I24" s="9" t="s">
        <v>1553</v>
      </c>
      <c r="J24" s="9" t="s">
        <v>1553</v>
      </c>
      <c r="K24" s="9" t="s">
        <v>1554</v>
      </c>
    </row>
    <row r="25" spans="1:11" ht="76.5">
      <c r="A25" s="16" t="s">
        <v>132</v>
      </c>
      <c r="B25" s="9" t="s">
        <v>33</v>
      </c>
      <c r="C25" s="9" t="s">
        <v>1465</v>
      </c>
      <c r="D25" s="9" t="s">
        <v>1524</v>
      </c>
      <c r="E25" s="9">
        <v>10</v>
      </c>
      <c r="F25" s="9" t="s">
        <v>1467</v>
      </c>
      <c r="G25" s="9" t="s">
        <v>1546</v>
      </c>
      <c r="H25" s="9" t="s">
        <v>1555</v>
      </c>
      <c r="I25" s="9" t="s">
        <v>1556</v>
      </c>
      <c r="J25" s="9" t="s">
        <v>1557</v>
      </c>
      <c r="K25" s="9" t="s">
        <v>1558</v>
      </c>
    </row>
    <row r="26" spans="1:11" ht="102">
      <c r="A26" s="16"/>
      <c r="B26" s="9" t="s">
        <v>33</v>
      </c>
      <c r="C26" s="9" t="s">
        <v>1465</v>
      </c>
      <c r="D26" s="9" t="s">
        <v>1524</v>
      </c>
      <c r="E26" s="9">
        <v>11</v>
      </c>
      <c r="F26" s="9" t="s">
        <v>1472</v>
      </c>
      <c r="G26" s="9" t="s">
        <v>1559</v>
      </c>
      <c r="H26" s="9" t="s">
        <v>1560</v>
      </c>
      <c r="I26" s="9" t="s">
        <v>1561</v>
      </c>
      <c r="J26" s="9" t="s">
        <v>1562</v>
      </c>
      <c r="K26" s="9" t="s">
        <v>1563</v>
      </c>
    </row>
    <row r="27" spans="1:11" ht="102">
      <c r="A27" s="16"/>
      <c r="B27" s="9" t="s">
        <v>33</v>
      </c>
      <c r="C27" s="9" t="s">
        <v>1465</v>
      </c>
      <c r="D27" s="9" t="s">
        <v>1524</v>
      </c>
      <c r="E27" s="9">
        <v>12</v>
      </c>
      <c r="F27" s="9" t="s">
        <v>1472</v>
      </c>
      <c r="G27" s="9" t="s">
        <v>1559</v>
      </c>
      <c r="H27" s="9" t="s">
        <v>1560</v>
      </c>
      <c r="I27" s="9" t="s">
        <v>1564</v>
      </c>
      <c r="J27" s="9" t="s">
        <v>1565</v>
      </c>
      <c r="K27" s="9" t="s">
        <v>1566</v>
      </c>
    </row>
    <row r="28" spans="1:11" ht="114.75">
      <c r="A28" s="16"/>
      <c r="B28" s="9" t="s">
        <v>33</v>
      </c>
      <c r="C28" s="9" t="s">
        <v>1465</v>
      </c>
      <c r="D28" s="9" t="s">
        <v>1524</v>
      </c>
      <c r="E28" s="9">
        <v>13</v>
      </c>
      <c r="F28" s="9" t="s">
        <v>1472</v>
      </c>
      <c r="G28" s="9" t="s">
        <v>1559</v>
      </c>
      <c r="H28" s="9" t="s">
        <v>1560</v>
      </c>
      <c r="I28" s="9" t="s">
        <v>1567</v>
      </c>
      <c r="J28" s="9" t="s">
        <v>1568</v>
      </c>
      <c r="K28" s="9" t="s">
        <v>1569</v>
      </c>
    </row>
    <row r="29" spans="1:11" ht="63.75">
      <c r="A29" s="16" t="s">
        <v>132</v>
      </c>
      <c r="B29" s="9" t="s">
        <v>33</v>
      </c>
      <c r="C29" s="9" t="s">
        <v>1465</v>
      </c>
      <c r="D29" s="9" t="s">
        <v>1524</v>
      </c>
      <c r="E29" s="9">
        <v>14</v>
      </c>
      <c r="F29" s="9" t="s">
        <v>1472</v>
      </c>
      <c r="G29" s="9" t="s">
        <v>1559</v>
      </c>
      <c r="H29" s="9" t="s">
        <v>1560</v>
      </c>
      <c r="I29" s="9" t="s">
        <v>1570</v>
      </c>
      <c r="J29" s="9" t="s">
        <v>1571</v>
      </c>
      <c r="K29" s="9" t="s">
        <v>1572</v>
      </c>
    </row>
    <row r="30" spans="1:11" ht="63.75">
      <c r="A30" s="16"/>
      <c r="B30" s="17" t="s">
        <v>33</v>
      </c>
      <c r="C30" s="17" t="s">
        <v>1465</v>
      </c>
      <c r="D30" s="17" t="s">
        <v>1573</v>
      </c>
      <c r="E30" s="17">
        <v>1</v>
      </c>
      <c r="F30" s="17" t="s">
        <v>1467</v>
      </c>
      <c r="G30" s="17" t="s">
        <v>1574</v>
      </c>
      <c r="H30" s="17" t="s">
        <v>1575</v>
      </c>
      <c r="I30" s="17" t="s">
        <v>1576</v>
      </c>
      <c r="J30" s="17" t="s">
        <v>1577</v>
      </c>
      <c r="K30" s="17" t="s">
        <v>1578</v>
      </c>
    </row>
    <row r="31" spans="1:11" ht="63.75">
      <c r="A31" s="16"/>
      <c r="B31" s="17" t="s">
        <v>33</v>
      </c>
      <c r="C31" s="17" t="s">
        <v>1465</v>
      </c>
      <c r="D31" s="17" t="s">
        <v>1573</v>
      </c>
      <c r="E31" s="17">
        <v>2</v>
      </c>
      <c r="F31" s="17" t="s">
        <v>1467</v>
      </c>
      <c r="G31" s="17" t="s">
        <v>1574</v>
      </c>
      <c r="H31" s="17" t="s">
        <v>1575</v>
      </c>
      <c r="I31" s="17" t="s">
        <v>1579</v>
      </c>
      <c r="J31" s="17" t="s">
        <v>1579</v>
      </c>
      <c r="K31" s="17" t="s">
        <v>1580</v>
      </c>
    </row>
    <row r="32" spans="1:11" ht="76.5">
      <c r="A32" s="16"/>
      <c r="B32" s="17" t="s">
        <v>33</v>
      </c>
      <c r="C32" s="17" t="s">
        <v>1465</v>
      </c>
      <c r="D32" s="17" t="s">
        <v>1573</v>
      </c>
      <c r="E32" s="17">
        <v>3</v>
      </c>
      <c r="F32" s="17" t="s">
        <v>1467</v>
      </c>
      <c r="G32" s="17" t="s">
        <v>1574</v>
      </c>
      <c r="H32" s="17" t="s">
        <v>1581</v>
      </c>
      <c r="I32" s="17" t="s">
        <v>1582</v>
      </c>
      <c r="J32" s="17" t="s">
        <v>1583</v>
      </c>
      <c r="K32" s="17" t="s">
        <v>1584</v>
      </c>
    </row>
    <row r="33" spans="1:11" ht="63.75">
      <c r="A33" s="16"/>
      <c r="B33" s="17" t="s">
        <v>33</v>
      </c>
      <c r="C33" s="17" t="s">
        <v>1465</v>
      </c>
      <c r="D33" s="17" t="s">
        <v>1573</v>
      </c>
      <c r="E33" s="17">
        <v>4</v>
      </c>
      <c r="F33" s="17" t="s">
        <v>1467</v>
      </c>
      <c r="G33" s="17" t="s">
        <v>1574</v>
      </c>
      <c r="H33" s="17" t="s">
        <v>1581</v>
      </c>
      <c r="I33" s="17" t="s">
        <v>1585</v>
      </c>
      <c r="J33" s="17" t="s">
        <v>1586</v>
      </c>
      <c r="K33" s="17" t="s">
        <v>1587</v>
      </c>
    </row>
    <row r="34" spans="1:11" ht="63.75">
      <c r="A34" s="16"/>
      <c r="B34" s="17" t="s">
        <v>33</v>
      </c>
      <c r="C34" s="17" t="s">
        <v>1465</v>
      </c>
      <c r="D34" s="17" t="s">
        <v>1573</v>
      </c>
      <c r="E34" s="17">
        <v>5</v>
      </c>
      <c r="F34" s="17" t="s">
        <v>1467</v>
      </c>
      <c r="G34" s="17" t="s">
        <v>1574</v>
      </c>
      <c r="H34" s="17" t="s">
        <v>1588</v>
      </c>
      <c r="I34" s="17" t="s">
        <v>1589</v>
      </c>
      <c r="J34" s="17" t="s">
        <v>1590</v>
      </c>
      <c r="K34" s="17" t="s">
        <v>1591</v>
      </c>
    </row>
    <row r="35" spans="1:11" ht="76.5">
      <c r="A35" s="16"/>
      <c r="B35" s="17" t="s">
        <v>33</v>
      </c>
      <c r="C35" s="17" t="s">
        <v>1465</v>
      </c>
      <c r="D35" s="17" t="s">
        <v>1573</v>
      </c>
      <c r="E35" s="17">
        <v>6</v>
      </c>
      <c r="F35" s="17" t="s">
        <v>1467</v>
      </c>
      <c r="G35" s="17" t="s">
        <v>1574</v>
      </c>
      <c r="H35" s="17" t="s">
        <v>1588</v>
      </c>
      <c r="I35" s="17" t="s">
        <v>1588</v>
      </c>
      <c r="J35" s="17" t="s">
        <v>1592</v>
      </c>
      <c r="K35" s="17" t="s">
        <v>1591</v>
      </c>
    </row>
    <row r="36" spans="1:11" ht="76.5">
      <c r="A36" s="16"/>
      <c r="B36" s="17" t="s">
        <v>33</v>
      </c>
      <c r="C36" s="17" t="s">
        <v>1465</v>
      </c>
      <c r="D36" s="17" t="s">
        <v>1573</v>
      </c>
      <c r="E36" s="17">
        <v>7</v>
      </c>
      <c r="F36" s="17" t="s">
        <v>1472</v>
      </c>
      <c r="G36" s="17" t="s">
        <v>1593</v>
      </c>
      <c r="H36" s="17" t="s">
        <v>1594</v>
      </c>
      <c r="I36" s="17" t="s">
        <v>1595</v>
      </c>
      <c r="J36" s="17" t="s">
        <v>1596</v>
      </c>
      <c r="K36" s="17" t="s">
        <v>1597</v>
      </c>
    </row>
    <row r="37" spans="1:11" ht="63.75">
      <c r="A37" s="16"/>
      <c r="B37" s="17" t="s">
        <v>33</v>
      </c>
      <c r="C37" s="17" t="s">
        <v>1465</v>
      </c>
      <c r="D37" s="17" t="s">
        <v>1573</v>
      </c>
      <c r="E37" s="17">
        <v>8</v>
      </c>
      <c r="F37" s="17" t="s">
        <v>1472</v>
      </c>
      <c r="G37" s="17" t="s">
        <v>1593</v>
      </c>
      <c r="H37" s="17" t="s">
        <v>1598</v>
      </c>
      <c r="I37" s="17" t="s">
        <v>1598</v>
      </c>
      <c r="J37" s="17" t="s">
        <v>1599</v>
      </c>
      <c r="K37" s="17" t="s">
        <v>1600</v>
      </c>
    </row>
    <row r="38" spans="1:11" ht="76.5">
      <c r="A38" s="16"/>
      <c r="B38" s="17" t="s">
        <v>33</v>
      </c>
      <c r="C38" s="17" t="s">
        <v>1465</v>
      </c>
      <c r="D38" s="17" t="s">
        <v>1573</v>
      </c>
      <c r="E38" s="17">
        <v>9</v>
      </c>
      <c r="F38" s="17" t="s">
        <v>1472</v>
      </c>
      <c r="G38" s="17" t="s">
        <v>1593</v>
      </c>
      <c r="H38" s="17" t="s">
        <v>1598</v>
      </c>
      <c r="I38" s="17" t="s">
        <v>1601</v>
      </c>
      <c r="J38" s="17" t="s">
        <v>1602</v>
      </c>
      <c r="K38" s="17" t="s">
        <v>1603</v>
      </c>
    </row>
    <row r="39" spans="1:11" ht="63.75">
      <c r="A39" s="16"/>
      <c r="B39" s="17" t="s">
        <v>33</v>
      </c>
      <c r="C39" s="17" t="s">
        <v>1465</v>
      </c>
      <c r="D39" s="17" t="s">
        <v>1573</v>
      </c>
      <c r="E39" s="17">
        <v>10</v>
      </c>
      <c r="F39" s="17" t="s">
        <v>1472</v>
      </c>
      <c r="G39" s="17" t="s">
        <v>1593</v>
      </c>
      <c r="H39" s="17" t="s">
        <v>1604</v>
      </c>
      <c r="I39" s="17" t="s">
        <v>1605</v>
      </c>
      <c r="J39" s="17" t="s">
        <v>1606</v>
      </c>
      <c r="K39" s="17" t="s">
        <v>1607</v>
      </c>
    </row>
    <row r="40" spans="1:11" ht="63.75">
      <c r="A40" s="16"/>
      <c r="B40" s="17" t="s">
        <v>33</v>
      </c>
      <c r="C40" s="17" t="s">
        <v>1465</v>
      </c>
      <c r="D40" s="17" t="s">
        <v>1573</v>
      </c>
      <c r="E40" s="17">
        <v>11</v>
      </c>
      <c r="F40" s="17" t="s">
        <v>1472</v>
      </c>
      <c r="G40" s="17" t="s">
        <v>1593</v>
      </c>
      <c r="H40" s="17" t="s">
        <v>1608</v>
      </c>
      <c r="I40" s="17" t="s">
        <v>1608</v>
      </c>
      <c r="J40" s="17" t="s">
        <v>1609</v>
      </c>
      <c r="K40" s="17" t="s">
        <v>1610</v>
      </c>
    </row>
    <row r="41" spans="1:11" ht="76.5">
      <c r="A41" s="16"/>
      <c r="B41" s="17" t="s">
        <v>33</v>
      </c>
      <c r="C41" s="17" t="s">
        <v>1465</v>
      </c>
      <c r="D41" s="17" t="s">
        <v>1573</v>
      </c>
      <c r="E41" s="17">
        <v>12</v>
      </c>
      <c r="F41" s="17" t="s">
        <v>1472</v>
      </c>
      <c r="G41" s="17" t="s">
        <v>1593</v>
      </c>
      <c r="H41" s="17" t="s">
        <v>1608</v>
      </c>
      <c r="I41" s="17" t="s">
        <v>1611</v>
      </c>
      <c r="J41" s="17" t="s">
        <v>1612</v>
      </c>
      <c r="K41" s="17" t="s">
        <v>1613</v>
      </c>
    </row>
    <row r="42" spans="1:11" ht="76.5">
      <c r="A42" s="16"/>
      <c r="B42" s="17" t="s">
        <v>33</v>
      </c>
      <c r="C42" s="17" t="s">
        <v>1465</v>
      </c>
      <c r="D42" s="17" t="s">
        <v>1614</v>
      </c>
      <c r="E42" s="17">
        <v>1</v>
      </c>
      <c r="F42" s="17" t="s">
        <v>1472</v>
      </c>
      <c r="G42" s="17" t="s">
        <v>1615</v>
      </c>
      <c r="H42" s="17" t="s">
        <v>1616</v>
      </c>
      <c r="I42" s="17" t="s">
        <v>1616</v>
      </c>
      <c r="J42" s="17" t="s">
        <v>1616</v>
      </c>
      <c r="K42" s="17" t="s">
        <v>1617</v>
      </c>
    </row>
    <row r="43" spans="1:11" ht="89.25">
      <c r="A43" s="16"/>
      <c r="B43" s="17" t="s">
        <v>33</v>
      </c>
      <c r="C43" s="17" t="s">
        <v>1465</v>
      </c>
      <c r="D43" s="17" t="s">
        <v>1614</v>
      </c>
      <c r="E43" s="17">
        <v>2</v>
      </c>
      <c r="F43" s="17" t="s">
        <v>1472</v>
      </c>
      <c r="G43" s="17" t="s">
        <v>1618</v>
      </c>
      <c r="H43" s="17" t="s">
        <v>1619</v>
      </c>
      <c r="I43" s="17" t="s">
        <v>1620</v>
      </c>
      <c r="J43" s="17" t="s">
        <v>1621</v>
      </c>
      <c r="K43" s="17" t="s">
        <v>1622</v>
      </c>
    </row>
    <row r="44" spans="1:11" ht="89.25">
      <c r="A44" s="16"/>
      <c r="B44" s="17" t="s">
        <v>33</v>
      </c>
      <c r="C44" s="17" t="s">
        <v>1465</v>
      </c>
      <c r="D44" s="17" t="s">
        <v>1614</v>
      </c>
      <c r="E44" s="17">
        <v>3</v>
      </c>
      <c r="F44" s="17" t="s">
        <v>1472</v>
      </c>
      <c r="G44" s="17" t="s">
        <v>1618</v>
      </c>
      <c r="H44" s="17" t="s">
        <v>1623</v>
      </c>
      <c r="I44" s="17" t="s">
        <v>1624</v>
      </c>
      <c r="J44" s="17" t="s">
        <v>1625</v>
      </c>
      <c r="K44" s="17" t="s">
        <v>1626</v>
      </c>
    </row>
    <row r="45" spans="1:11" ht="89.25">
      <c r="A45" s="16"/>
      <c r="B45" s="17" t="s">
        <v>33</v>
      </c>
      <c r="C45" s="17" t="s">
        <v>1465</v>
      </c>
      <c r="D45" s="17" t="s">
        <v>1614</v>
      </c>
      <c r="E45" s="17">
        <v>4</v>
      </c>
      <c r="F45" s="17" t="s">
        <v>1472</v>
      </c>
      <c r="G45" s="17" t="s">
        <v>1618</v>
      </c>
      <c r="H45" s="17" t="s">
        <v>1627</v>
      </c>
      <c r="I45" s="17" t="s">
        <v>1628</v>
      </c>
      <c r="J45" s="17" t="s">
        <v>1629</v>
      </c>
      <c r="K45" s="17" t="s">
        <v>1630</v>
      </c>
    </row>
    <row r="46" spans="1:11" ht="89.25">
      <c r="A46" s="16"/>
      <c r="B46" s="17" t="s">
        <v>33</v>
      </c>
      <c r="C46" s="17" t="s">
        <v>1465</v>
      </c>
      <c r="D46" s="17" t="s">
        <v>1614</v>
      </c>
      <c r="E46" s="17">
        <v>5</v>
      </c>
      <c r="F46" s="17" t="s">
        <v>1472</v>
      </c>
      <c r="G46" s="17" t="s">
        <v>1618</v>
      </c>
      <c r="H46" s="17" t="s">
        <v>1631</v>
      </c>
      <c r="I46" s="17" t="s">
        <v>1632</v>
      </c>
      <c r="J46" s="17" t="s">
        <v>1633</v>
      </c>
      <c r="K46" s="17" t="s">
        <v>1634</v>
      </c>
    </row>
    <row r="47" spans="1:11" ht="89.25">
      <c r="A47" s="16"/>
      <c r="B47" s="17" t="s">
        <v>33</v>
      </c>
      <c r="C47" s="17" t="s">
        <v>1465</v>
      </c>
      <c r="D47" s="17" t="s">
        <v>1614</v>
      </c>
      <c r="E47" s="17">
        <v>6</v>
      </c>
      <c r="F47" s="17" t="s">
        <v>1472</v>
      </c>
      <c r="G47" s="17" t="s">
        <v>1615</v>
      </c>
      <c r="H47" s="17" t="s">
        <v>1635</v>
      </c>
      <c r="I47" s="17" t="s">
        <v>1635</v>
      </c>
      <c r="J47" s="17" t="s">
        <v>1636</v>
      </c>
      <c r="K47" s="17" t="s">
        <v>1637</v>
      </c>
    </row>
    <row r="48" spans="1:11" ht="89.25">
      <c r="A48" s="16"/>
      <c r="B48" s="17" t="s">
        <v>33</v>
      </c>
      <c r="C48" s="17" t="s">
        <v>1465</v>
      </c>
      <c r="D48" s="17" t="s">
        <v>1614</v>
      </c>
      <c r="E48" s="17">
        <v>7</v>
      </c>
      <c r="F48" s="17" t="s">
        <v>1472</v>
      </c>
      <c r="G48" s="17" t="s">
        <v>1618</v>
      </c>
      <c r="H48" s="17" t="s">
        <v>1638</v>
      </c>
      <c r="I48" s="17" t="s">
        <v>1638</v>
      </c>
      <c r="J48" s="17" t="s">
        <v>1639</v>
      </c>
      <c r="K48" s="17" t="s">
        <v>1640</v>
      </c>
    </row>
    <row r="49" spans="1:11" ht="89.25">
      <c r="A49" s="16"/>
      <c r="B49" s="17" t="s">
        <v>33</v>
      </c>
      <c r="C49" s="17" t="s">
        <v>1465</v>
      </c>
      <c r="D49" s="17" t="s">
        <v>1614</v>
      </c>
      <c r="E49" s="17">
        <v>8</v>
      </c>
      <c r="F49" s="17" t="s">
        <v>1472</v>
      </c>
      <c r="G49" s="17" t="s">
        <v>1618</v>
      </c>
      <c r="H49" s="17" t="s">
        <v>1641</v>
      </c>
      <c r="I49" s="17" t="s">
        <v>1641</v>
      </c>
      <c r="J49" s="17" t="s">
        <v>1642</v>
      </c>
      <c r="K49" s="17" t="s">
        <v>1643</v>
      </c>
    </row>
    <row r="50" spans="1:11" ht="127.5">
      <c r="A50" s="16"/>
      <c r="B50" s="17" t="s">
        <v>33</v>
      </c>
      <c r="C50" s="17" t="s">
        <v>1465</v>
      </c>
      <c r="D50" s="17" t="s">
        <v>1614</v>
      </c>
      <c r="E50" s="17">
        <v>9</v>
      </c>
      <c r="F50" s="17" t="s">
        <v>1500</v>
      </c>
      <c r="G50" s="17" t="s">
        <v>1644</v>
      </c>
      <c r="H50" s="17" t="s">
        <v>1645</v>
      </c>
      <c r="I50" s="17" t="s">
        <v>1645</v>
      </c>
      <c r="J50" s="17" t="s">
        <v>1645</v>
      </c>
      <c r="K50" s="17" t="s">
        <v>1646</v>
      </c>
    </row>
    <row r="51" spans="1:11" ht="127.5">
      <c r="A51" s="16"/>
      <c r="B51" s="17" t="s">
        <v>33</v>
      </c>
      <c r="C51" s="17" t="s">
        <v>1465</v>
      </c>
      <c r="D51" s="17" t="s">
        <v>1614</v>
      </c>
      <c r="E51" s="17">
        <v>10</v>
      </c>
      <c r="F51" s="17" t="s">
        <v>1500</v>
      </c>
      <c r="G51" s="17" t="s">
        <v>1644</v>
      </c>
      <c r="H51" s="17" t="s">
        <v>1647</v>
      </c>
      <c r="I51" s="17" t="s">
        <v>1647</v>
      </c>
      <c r="J51" s="17" t="s">
        <v>1648</v>
      </c>
      <c r="K51" s="17" t="s">
        <v>1649</v>
      </c>
    </row>
    <row r="52" spans="1:11" ht="76.5">
      <c r="A52" s="16"/>
      <c r="B52" s="17" t="s">
        <v>33</v>
      </c>
      <c r="C52" s="17" t="s">
        <v>1465</v>
      </c>
      <c r="D52" s="17" t="s">
        <v>1614</v>
      </c>
      <c r="E52" s="17">
        <v>11</v>
      </c>
      <c r="F52" s="17" t="s">
        <v>1472</v>
      </c>
      <c r="G52" s="17" t="s">
        <v>1615</v>
      </c>
      <c r="H52" s="17" t="s">
        <v>1650</v>
      </c>
      <c r="I52" s="17" t="s">
        <v>1651</v>
      </c>
      <c r="J52" s="17" t="s">
        <v>1650</v>
      </c>
      <c r="K52" s="17" t="s">
        <v>1652</v>
      </c>
    </row>
    <row r="53" spans="1:11" ht="140.25">
      <c r="A53" s="16"/>
      <c r="B53" s="17" t="s">
        <v>33</v>
      </c>
      <c r="C53" s="17" t="s">
        <v>1465</v>
      </c>
      <c r="D53" s="17" t="s">
        <v>1614</v>
      </c>
      <c r="E53" s="17">
        <v>12</v>
      </c>
      <c r="F53" s="17" t="s">
        <v>1500</v>
      </c>
      <c r="G53" s="17" t="s">
        <v>1644</v>
      </c>
      <c r="H53" s="17" t="s">
        <v>1653</v>
      </c>
      <c r="I53" s="17" t="s">
        <v>1653</v>
      </c>
      <c r="J53" s="17" t="s">
        <v>1654</v>
      </c>
      <c r="K53" s="17" t="s">
        <v>1655</v>
      </c>
    </row>
  </sheetData>
  <autoFilter ref="A1:K53"/>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sheetPr>
    <tabColor rgb="FFFFBFFC"/>
  </sheetPr>
  <dimension ref="A1:L105"/>
  <sheetViews>
    <sheetView workbookViewId="0">
      <pane ySplit="1" topLeftCell="A2" activePane="bottomLeft" state="frozen"/>
      <selection pane="bottomLeft" activeCell="B3" sqref="B3"/>
    </sheetView>
  </sheetViews>
  <sheetFormatPr defaultColWidth="12.5703125" defaultRowHeight="15" customHeight="1"/>
  <cols>
    <col min="1" max="1" width="17.7109375" customWidth="1"/>
    <col min="2" max="2" width="9.140625" customWidth="1"/>
    <col min="3" max="3" width="8.42578125" customWidth="1"/>
    <col min="4" max="4" width="12.140625" customWidth="1"/>
    <col min="5" max="5" width="8.140625" customWidth="1"/>
    <col min="6" max="6" width="15" customWidth="1"/>
    <col min="7" max="7" width="31.42578125" customWidth="1"/>
    <col min="8" max="8" width="15" customWidth="1"/>
    <col min="9" max="9" width="25.140625" customWidth="1"/>
    <col min="10" max="10" width="13.140625" customWidth="1"/>
    <col min="11" max="11" width="22.42578125" customWidth="1"/>
    <col min="12" max="12" width="31.28515625" customWidth="1"/>
  </cols>
  <sheetData>
    <row r="1" spans="1:12" ht="27" customHeight="1">
      <c r="A1" s="31" t="s">
        <v>20</v>
      </c>
      <c r="B1" s="25" t="s">
        <v>21</v>
      </c>
      <c r="C1" s="13" t="s">
        <v>22</v>
      </c>
      <c r="D1" s="32" t="s">
        <v>23</v>
      </c>
      <c r="E1" s="32" t="s">
        <v>24</v>
      </c>
      <c r="F1" s="32" t="s">
        <v>1656</v>
      </c>
      <c r="G1" s="32" t="s">
        <v>1657</v>
      </c>
      <c r="H1" s="32" t="s">
        <v>26</v>
      </c>
      <c r="I1" s="32" t="s">
        <v>835</v>
      </c>
      <c r="J1" s="32" t="s">
        <v>1464</v>
      </c>
      <c r="K1" s="32" t="s">
        <v>30</v>
      </c>
      <c r="L1" s="32" t="s">
        <v>31</v>
      </c>
    </row>
    <row r="2" spans="1:12" ht="127.5">
      <c r="A2" s="16"/>
      <c r="B2" s="16" t="s">
        <v>33</v>
      </c>
      <c r="C2" s="9" t="s">
        <v>1658</v>
      </c>
      <c r="D2" s="9" t="s">
        <v>1070</v>
      </c>
      <c r="E2" s="9">
        <v>1</v>
      </c>
      <c r="F2" s="9" t="s">
        <v>1659</v>
      </c>
      <c r="G2" s="9" t="s">
        <v>1660</v>
      </c>
      <c r="H2" s="9" t="s">
        <v>1661</v>
      </c>
      <c r="I2" s="9" t="s">
        <v>1662</v>
      </c>
      <c r="J2" s="9" t="s">
        <v>1663</v>
      </c>
      <c r="K2" s="9" t="s">
        <v>1664</v>
      </c>
      <c r="L2" s="9" t="s">
        <v>1665</v>
      </c>
    </row>
    <row r="3" spans="1:12" ht="280.5">
      <c r="A3" s="16"/>
      <c r="B3" s="16" t="s">
        <v>33</v>
      </c>
      <c r="C3" s="9" t="s">
        <v>1658</v>
      </c>
      <c r="D3" s="9" t="s">
        <v>1070</v>
      </c>
      <c r="E3" s="9">
        <v>2</v>
      </c>
      <c r="F3" s="9" t="s">
        <v>1666</v>
      </c>
      <c r="G3" s="9" t="s">
        <v>1667</v>
      </c>
      <c r="H3" s="9" t="s">
        <v>1661</v>
      </c>
      <c r="I3" s="9" t="s">
        <v>1662</v>
      </c>
      <c r="J3" s="9" t="s">
        <v>1668</v>
      </c>
      <c r="K3" s="9" t="s">
        <v>1669</v>
      </c>
      <c r="L3" s="9" t="s">
        <v>1670</v>
      </c>
    </row>
    <row r="4" spans="1:12" ht="242.25">
      <c r="A4" s="16"/>
      <c r="B4" s="16" t="s">
        <v>33</v>
      </c>
      <c r="C4" s="9" t="s">
        <v>1658</v>
      </c>
      <c r="D4" s="9" t="s">
        <v>1070</v>
      </c>
      <c r="E4" s="9">
        <v>3</v>
      </c>
      <c r="F4" s="9" t="s">
        <v>1671</v>
      </c>
      <c r="G4" s="9" t="s">
        <v>1672</v>
      </c>
      <c r="H4" s="9" t="s">
        <v>1673</v>
      </c>
      <c r="I4" s="9" t="s">
        <v>1674</v>
      </c>
      <c r="J4" s="9" t="s">
        <v>1675</v>
      </c>
      <c r="K4" s="9" t="s">
        <v>1676</v>
      </c>
      <c r="L4" s="9" t="s">
        <v>1677</v>
      </c>
    </row>
    <row r="5" spans="1:12" ht="140.25">
      <c r="A5" s="16"/>
      <c r="B5" s="16" t="s">
        <v>33</v>
      </c>
      <c r="C5" s="9" t="s">
        <v>1658</v>
      </c>
      <c r="D5" s="9" t="s">
        <v>1070</v>
      </c>
      <c r="E5" s="9">
        <v>4</v>
      </c>
      <c r="F5" s="9" t="s">
        <v>1678</v>
      </c>
      <c r="G5" s="9" t="s">
        <v>1679</v>
      </c>
      <c r="H5" s="9" t="s">
        <v>1673</v>
      </c>
      <c r="I5" s="9" t="s">
        <v>1674</v>
      </c>
      <c r="J5" s="9" t="s">
        <v>1680</v>
      </c>
      <c r="K5" s="9" t="s">
        <v>1681</v>
      </c>
      <c r="L5" s="9" t="s">
        <v>1682</v>
      </c>
    </row>
    <row r="6" spans="1:12" ht="127.5">
      <c r="A6" s="16"/>
      <c r="B6" s="16" t="s">
        <v>33</v>
      </c>
      <c r="C6" s="9" t="s">
        <v>1658</v>
      </c>
      <c r="D6" s="9" t="s">
        <v>1070</v>
      </c>
      <c r="E6" s="9">
        <v>5</v>
      </c>
      <c r="F6" s="9" t="s">
        <v>1683</v>
      </c>
      <c r="G6" s="9" t="s">
        <v>1684</v>
      </c>
      <c r="H6" s="9" t="s">
        <v>1685</v>
      </c>
      <c r="I6" s="9" t="s">
        <v>1686</v>
      </c>
      <c r="J6" s="9" t="s">
        <v>1687</v>
      </c>
      <c r="K6" s="9" t="s">
        <v>1688</v>
      </c>
      <c r="L6" s="9" t="s">
        <v>1689</v>
      </c>
    </row>
    <row r="7" spans="1:12" ht="318.75">
      <c r="A7" s="16"/>
      <c r="B7" s="16" t="s">
        <v>33</v>
      </c>
      <c r="C7" s="9" t="s">
        <v>1658</v>
      </c>
      <c r="D7" s="9" t="s">
        <v>1070</v>
      </c>
      <c r="E7" s="9">
        <v>6</v>
      </c>
      <c r="F7" s="9" t="s">
        <v>1690</v>
      </c>
      <c r="G7" s="9" t="s">
        <v>1691</v>
      </c>
      <c r="H7" s="9" t="s">
        <v>1685</v>
      </c>
      <c r="I7" s="9" t="s">
        <v>1686</v>
      </c>
      <c r="J7" s="9" t="s">
        <v>1692</v>
      </c>
      <c r="K7" s="9" t="s">
        <v>1693</v>
      </c>
      <c r="L7" s="9" t="s">
        <v>1694</v>
      </c>
    </row>
    <row r="8" spans="1:12" ht="165.75">
      <c r="A8" s="16"/>
      <c r="B8" s="16" t="s">
        <v>33</v>
      </c>
      <c r="C8" s="9" t="s">
        <v>1658</v>
      </c>
      <c r="D8" s="9" t="s">
        <v>1070</v>
      </c>
      <c r="E8" s="9">
        <v>7</v>
      </c>
      <c r="F8" s="9" t="s">
        <v>1695</v>
      </c>
      <c r="G8" s="9" t="s">
        <v>1696</v>
      </c>
      <c r="H8" s="9" t="s">
        <v>1685</v>
      </c>
      <c r="I8" s="9" t="s">
        <v>1686</v>
      </c>
      <c r="J8" s="9" t="s">
        <v>1697</v>
      </c>
      <c r="K8" s="9" t="s">
        <v>1698</v>
      </c>
      <c r="L8" s="9" t="s">
        <v>1699</v>
      </c>
    </row>
    <row r="9" spans="1:12" ht="229.5">
      <c r="A9" s="16"/>
      <c r="B9" s="16" t="s">
        <v>33</v>
      </c>
      <c r="C9" s="9" t="s">
        <v>1658</v>
      </c>
      <c r="D9" s="9" t="s">
        <v>1070</v>
      </c>
      <c r="E9" s="9">
        <v>8</v>
      </c>
      <c r="F9" s="9" t="s">
        <v>1700</v>
      </c>
      <c r="G9" s="9" t="s">
        <v>1701</v>
      </c>
      <c r="H9" s="9" t="s">
        <v>1685</v>
      </c>
      <c r="I9" s="9" t="s">
        <v>1686</v>
      </c>
      <c r="J9" s="9" t="s">
        <v>1702</v>
      </c>
      <c r="K9" s="9" t="s">
        <v>1703</v>
      </c>
      <c r="L9" s="9" t="s">
        <v>1704</v>
      </c>
    </row>
    <row r="10" spans="1:12" ht="153">
      <c r="A10" s="16"/>
      <c r="B10" s="16" t="s">
        <v>33</v>
      </c>
      <c r="C10" s="9" t="s">
        <v>1658</v>
      </c>
      <c r="D10" s="9" t="s">
        <v>1070</v>
      </c>
      <c r="E10" s="9">
        <v>9</v>
      </c>
      <c r="F10" s="9" t="s">
        <v>1705</v>
      </c>
      <c r="G10" s="9" t="s">
        <v>1706</v>
      </c>
      <c r="H10" s="9" t="s">
        <v>1707</v>
      </c>
      <c r="I10" s="9" t="s">
        <v>1708</v>
      </c>
      <c r="J10" s="9" t="s">
        <v>1709</v>
      </c>
      <c r="K10" s="9" t="s">
        <v>1710</v>
      </c>
      <c r="L10" s="9" t="s">
        <v>1711</v>
      </c>
    </row>
    <row r="11" spans="1:12" ht="216.75">
      <c r="A11" s="16"/>
      <c r="B11" s="16" t="s">
        <v>33</v>
      </c>
      <c r="C11" s="9" t="s">
        <v>1658</v>
      </c>
      <c r="D11" s="9" t="s">
        <v>1070</v>
      </c>
      <c r="E11" s="9">
        <v>10</v>
      </c>
      <c r="F11" s="9" t="s">
        <v>1712</v>
      </c>
      <c r="G11" s="9" t="s">
        <v>1713</v>
      </c>
      <c r="H11" s="9" t="s">
        <v>1707</v>
      </c>
      <c r="I11" s="9" t="s">
        <v>1708</v>
      </c>
      <c r="J11" s="9" t="s">
        <v>1714</v>
      </c>
      <c r="K11" s="9" t="s">
        <v>1715</v>
      </c>
      <c r="L11" s="9" t="s">
        <v>1716</v>
      </c>
    </row>
    <row r="12" spans="1:12" ht="255">
      <c r="A12" s="16"/>
      <c r="B12" s="16" t="s">
        <v>33</v>
      </c>
      <c r="C12" s="9" t="s">
        <v>1658</v>
      </c>
      <c r="D12" s="9" t="s">
        <v>1070</v>
      </c>
      <c r="E12" s="9">
        <v>11</v>
      </c>
      <c r="F12" s="9" t="s">
        <v>1717</v>
      </c>
      <c r="G12" s="9" t="s">
        <v>1718</v>
      </c>
      <c r="H12" s="9" t="s">
        <v>1707</v>
      </c>
      <c r="I12" s="9" t="s">
        <v>1708</v>
      </c>
      <c r="J12" s="9" t="s">
        <v>1719</v>
      </c>
      <c r="K12" s="9" t="s">
        <v>1720</v>
      </c>
      <c r="L12" s="9" t="s">
        <v>1721</v>
      </c>
    </row>
    <row r="13" spans="1:12" ht="216.75">
      <c r="A13" s="16"/>
      <c r="B13" s="16" t="s">
        <v>33</v>
      </c>
      <c r="C13" s="9" t="s">
        <v>1658</v>
      </c>
      <c r="D13" s="9" t="s">
        <v>1070</v>
      </c>
      <c r="E13" s="9">
        <v>12</v>
      </c>
      <c r="F13" s="9" t="s">
        <v>1712</v>
      </c>
      <c r="G13" s="9" t="s">
        <v>1713</v>
      </c>
      <c r="H13" s="9" t="s">
        <v>1707</v>
      </c>
      <c r="I13" s="9" t="s">
        <v>1708</v>
      </c>
      <c r="J13" s="9" t="s">
        <v>1722</v>
      </c>
      <c r="K13" s="9" t="s">
        <v>1723</v>
      </c>
      <c r="L13" s="9" t="s">
        <v>1724</v>
      </c>
    </row>
    <row r="14" spans="1:12" ht="114.75">
      <c r="A14" s="16"/>
      <c r="B14" s="16" t="s">
        <v>33</v>
      </c>
      <c r="C14" s="9" t="s">
        <v>1658</v>
      </c>
      <c r="D14" s="9" t="s">
        <v>1070</v>
      </c>
      <c r="E14" s="9">
        <v>13</v>
      </c>
      <c r="F14" s="9" t="s">
        <v>1725</v>
      </c>
      <c r="G14" s="9" t="s">
        <v>1726</v>
      </c>
      <c r="H14" s="9" t="s">
        <v>1707</v>
      </c>
      <c r="I14" s="9" t="s">
        <v>1727</v>
      </c>
      <c r="J14" s="9" t="s">
        <v>1728</v>
      </c>
      <c r="K14" s="9" t="s">
        <v>1729</v>
      </c>
      <c r="L14" s="9" t="s">
        <v>1730</v>
      </c>
    </row>
    <row r="15" spans="1:12" ht="153">
      <c r="A15" s="16"/>
      <c r="B15" s="16" t="s">
        <v>33</v>
      </c>
      <c r="C15" s="9" t="s">
        <v>1658</v>
      </c>
      <c r="D15" s="9" t="s">
        <v>1070</v>
      </c>
      <c r="E15" s="9">
        <v>14</v>
      </c>
      <c r="F15" s="9" t="s">
        <v>1705</v>
      </c>
      <c r="G15" s="9" t="s">
        <v>1706</v>
      </c>
      <c r="H15" s="9" t="s">
        <v>1707</v>
      </c>
      <c r="I15" s="9" t="s">
        <v>1727</v>
      </c>
      <c r="J15" s="9" t="s">
        <v>1731</v>
      </c>
      <c r="K15" s="9" t="s">
        <v>1732</v>
      </c>
      <c r="L15" s="9" t="s">
        <v>1733</v>
      </c>
    </row>
    <row r="16" spans="1:12" ht="191.25">
      <c r="A16" s="16"/>
      <c r="B16" s="16" t="s">
        <v>33</v>
      </c>
      <c r="C16" s="9" t="s">
        <v>1658</v>
      </c>
      <c r="D16" s="9" t="s">
        <v>1106</v>
      </c>
      <c r="E16" s="9">
        <v>1</v>
      </c>
      <c r="F16" s="9" t="s">
        <v>1734</v>
      </c>
      <c r="G16" s="9" t="s">
        <v>1735</v>
      </c>
      <c r="H16" s="9" t="s">
        <v>1673</v>
      </c>
      <c r="I16" s="9" t="s">
        <v>1736</v>
      </c>
      <c r="J16" s="9" t="s">
        <v>1737</v>
      </c>
      <c r="K16" s="9" t="s">
        <v>1738</v>
      </c>
      <c r="L16" s="9" t="s">
        <v>1739</v>
      </c>
    </row>
    <row r="17" spans="1:12" ht="114.75">
      <c r="A17" s="16"/>
      <c r="B17" s="16" t="s">
        <v>33</v>
      </c>
      <c r="C17" s="9" t="s">
        <v>1658</v>
      </c>
      <c r="D17" s="9" t="s">
        <v>1106</v>
      </c>
      <c r="E17" s="9">
        <v>2</v>
      </c>
      <c r="F17" s="9" t="s">
        <v>1725</v>
      </c>
      <c r="G17" s="9" t="s">
        <v>1726</v>
      </c>
      <c r="H17" s="9" t="s">
        <v>1673</v>
      </c>
      <c r="I17" s="9" t="s">
        <v>1736</v>
      </c>
      <c r="J17" s="9" t="s">
        <v>1740</v>
      </c>
      <c r="K17" s="9" t="s">
        <v>1741</v>
      </c>
      <c r="L17" s="9" t="s">
        <v>1742</v>
      </c>
    </row>
    <row r="18" spans="1:12" ht="191.25">
      <c r="A18" s="16"/>
      <c r="B18" s="16" t="s">
        <v>33</v>
      </c>
      <c r="C18" s="9" t="s">
        <v>1658</v>
      </c>
      <c r="D18" s="9" t="s">
        <v>1106</v>
      </c>
      <c r="E18" s="9">
        <v>3</v>
      </c>
      <c r="F18" s="9" t="s">
        <v>1734</v>
      </c>
      <c r="G18" s="9" t="s">
        <v>1735</v>
      </c>
      <c r="H18" s="9" t="s">
        <v>1661</v>
      </c>
      <c r="I18" s="9" t="s">
        <v>1743</v>
      </c>
      <c r="J18" s="9" t="s">
        <v>1744</v>
      </c>
      <c r="K18" s="9" t="s">
        <v>1745</v>
      </c>
      <c r="L18" s="9" t="s">
        <v>1746</v>
      </c>
    </row>
    <row r="19" spans="1:12" ht="165.75">
      <c r="A19" s="16"/>
      <c r="B19" s="16" t="s">
        <v>33</v>
      </c>
      <c r="C19" s="9" t="s">
        <v>1658</v>
      </c>
      <c r="D19" s="9" t="s">
        <v>1106</v>
      </c>
      <c r="E19" s="9">
        <v>4</v>
      </c>
      <c r="F19" s="9" t="s">
        <v>1695</v>
      </c>
      <c r="G19" s="9" t="s">
        <v>1696</v>
      </c>
      <c r="H19" s="9" t="s">
        <v>1661</v>
      </c>
      <c r="I19" s="9" t="s">
        <v>1743</v>
      </c>
      <c r="J19" s="9" t="s">
        <v>1747</v>
      </c>
      <c r="K19" s="9" t="s">
        <v>1748</v>
      </c>
      <c r="L19" s="9" t="s">
        <v>1749</v>
      </c>
    </row>
    <row r="20" spans="1:12" ht="102">
      <c r="A20" s="16" t="s">
        <v>1750</v>
      </c>
      <c r="B20" s="16" t="s">
        <v>33</v>
      </c>
      <c r="C20" s="9" t="s">
        <v>1658</v>
      </c>
      <c r="D20" s="9" t="s">
        <v>1106</v>
      </c>
      <c r="E20" s="9">
        <v>5</v>
      </c>
      <c r="F20" s="9" t="s">
        <v>1751</v>
      </c>
      <c r="G20" s="9" t="s">
        <v>1752</v>
      </c>
      <c r="H20" s="9" t="s">
        <v>1753</v>
      </c>
      <c r="I20" s="9" t="s">
        <v>1754</v>
      </c>
      <c r="J20" s="9" t="s">
        <v>1755</v>
      </c>
      <c r="K20" s="9" t="s">
        <v>1756</v>
      </c>
      <c r="L20" s="9" t="s">
        <v>1757</v>
      </c>
    </row>
    <row r="21" spans="1:12" ht="204">
      <c r="A21" s="16"/>
      <c r="B21" s="16" t="s">
        <v>33</v>
      </c>
      <c r="C21" s="9" t="s">
        <v>1658</v>
      </c>
      <c r="D21" s="9" t="s">
        <v>1106</v>
      </c>
      <c r="E21" s="9">
        <v>6</v>
      </c>
      <c r="F21" s="9" t="s">
        <v>1758</v>
      </c>
      <c r="G21" s="9" t="s">
        <v>1759</v>
      </c>
      <c r="H21" s="9" t="s">
        <v>1753</v>
      </c>
      <c r="I21" s="9" t="s">
        <v>1754</v>
      </c>
      <c r="J21" s="9" t="s">
        <v>1760</v>
      </c>
      <c r="K21" s="9" t="s">
        <v>1761</v>
      </c>
      <c r="L21" s="9" t="s">
        <v>1762</v>
      </c>
    </row>
    <row r="22" spans="1:12" ht="216.75">
      <c r="A22" s="16"/>
      <c r="B22" s="16" t="s">
        <v>33</v>
      </c>
      <c r="C22" s="9" t="s">
        <v>1658</v>
      </c>
      <c r="D22" s="9" t="s">
        <v>1106</v>
      </c>
      <c r="E22" s="9">
        <v>7</v>
      </c>
      <c r="F22" s="9" t="s">
        <v>1763</v>
      </c>
      <c r="G22" s="9" t="s">
        <v>1764</v>
      </c>
      <c r="H22" s="9" t="s">
        <v>1707</v>
      </c>
      <c r="I22" s="9" t="s">
        <v>1765</v>
      </c>
      <c r="J22" s="9" t="s">
        <v>1766</v>
      </c>
      <c r="K22" s="9" t="s">
        <v>1767</v>
      </c>
      <c r="L22" s="9" t="s">
        <v>1768</v>
      </c>
    </row>
    <row r="23" spans="1:12" ht="114.75">
      <c r="A23" s="16" t="s">
        <v>1750</v>
      </c>
      <c r="B23" s="16" t="s">
        <v>33</v>
      </c>
      <c r="C23" s="9" t="s">
        <v>1658</v>
      </c>
      <c r="D23" s="9" t="s">
        <v>1106</v>
      </c>
      <c r="E23" s="9">
        <v>8</v>
      </c>
      <c r="F23" s="9" t="s">
        <v>1725</v>
      </c>
      <c r="G23" s="9" t="s">
        <v>1726</v>
      </c>
      <c r="H23" s="9" t="s">
        <v>1707</v>
      </c>
      <c r="I23" s="9" t="s">
        <v>1769</v>
      </c>
      <c r="J23" s="9" t="s">
        <v>1770</v>
      </c>
      <c r="K23" s="9" t="s">
        <v>1771</v>
      </c>
      <c r="L23" s="9" t="s">
        <v>1772</v>
      </c>
    </row>
    <row r="24" spans="1:12" ht="216.75">
      <c r="A24" s="16"/>
      <c r="B24" s="16" t="s">
        <v>33</v>
      </c>
      <c r="C24" s="9" t="s">
        <v>1658</v>
      </c>
      <c r="D24" s="9" t="s">
        <v>1106</v>
      </c>
      <c r="E24" s="9">
        <v>9</v>
      </c>
      <c r="F24" s="9" t="s">
        <v>1763</v>
      </c>
      <c r="G24" s="9" t="s">
        <v>1764</v>
      </c>
      <c r="H24" s="9" t="s">
        <v>1707</v>
      </c>
      <c r="I24" s="9" t="s">
        <v>1773</v>
      </c>
      <c r="J24" s="9" t="s">
        <v>1774</v>
      </c>
      <c r="K24" s="9" t="s">
        <v>1775</v>
      </c>
      <c r="L24" s="9" t="s">
        <v>1776</v>
      </c>
    </row>
    <row r="25" spans="1:12" ht="191.25">
      <c r="A25" s="16"/>
      <c r="B25" s="16" t="s">
        <v>33</v>
      </c>
      <c r="C25" s="9" t="s">
        <v>1658</v>
      </c>
      <c r="D25" s="9" t="s">
        <v>1106</v>
      </c>
      <c r="E25" s="9">
        <v>10</v>
      </c>
      <c r="F25" s="9" t="s">
        <v>1777</v>
      </c>
      <c r="G25" s="9" t="s">
        <v>1778</v>
      </c>
      <c r="H25" s="9" t="s">
        <v>1673</v>
      </c>
      <c r="I25" s="9" t="s">
        <v>1779</v>
      </c>
      <c r="J25" s="9" t="s">
        <v>1780</v>
      </c>
      <c r="K25" s="9" t="s">
        <v>1781</v>
      </c>
      <c r="L25" s="9" t="s">
        <v>1782</v>
      </c>
    </row>
    <row r="26" spans="1:12" ht="102">
      <c r="A26" s="16"/>
      <c r="B26" s="16" t="s">
        <v>33</v>
      </c>
      <c r="C26" s="9" t="s">
        <v>1658</v>
      </c>
      <c r="D26" s="9" t="s">
        <v>1106</v>
      </c>
      <c r="E26" s="9">
        <v>11</v>
      </c>
      <c r="F26" s="9" t="s">
        <v>1783</v>
      </c>
      <c r="G26" s="9" t="s">
        <v>1784</v>
      </c>
      <c r="H26" s="9" t="s">
        <v>1753</v>
      </c>
      <c r="I26" s="9" t="s">
        <v>1727</v>
      </c>
      <c r="J26" s="9" t="s">
        <v>1785</v>
      </c>
      <c r="K26" s="9" t="s">
        <v>1786</v>
      </c>
      <c r="L26" s="9" t="s">
        <v>1787</v>
      </c>
    </row>
    <row r="27" spans="1:12" ht="89.25">
      <c r="A27" s="16"/>
      <c r="B27" s="16" t="s">
        <v>33</v>
      </c>
      <c r="C27" s="9" t="s">
        <v>1658</v>
      </c>
      <c r="D27" s="9" t="s">
        <v>1106</v>
      </c>
      <c r="E27" s="9">
        <v>12</v>
      </c>
      <c r="F27" s="9" t="s">
        <v>1783</v>
      </c>
      <c r="G27" s="9" t="s">
        <v>1784</v>
      </c>
      <c r="H27" s="9" t="s">
        <v>1753</v>
      </c>
      <c r="I27" s="9" t="s">
        <v>1727</v>
      </c>
      <c r="J27" s="9" t="s">
        <v>1788</v>
      </c>
      <c r="K27" s="9" t="s">
        <v>1789</v>
      </c>
      <c r="L27" s="9" t="s">
        <v>1790</v>
      </c>
    </row>
    <row r="28" spans="1:12" ht="89.25">
      <c r="A28" s="16"/>
      <c r="B28" s="16" t="s">
        <v>33</v>
      </c>
      <c r="C28" s="9" t="s">
        <v>1658</v>
      </c>
      <c r="D28" s="9" t="s">
        <v>1106</v>
      </c>
      <c r="E28" s="9">
        <v>13</v>
      </c>
      <c r="F28" s="9" t="s">
        <v>1783</v>
      </c>
      <c r="G28" s="9" t="s">
        <v>1784</v>
      </c>
      <c r="H28" s="9" t="s">
        <v>1753</v>
      </c>
      <c r="I28" s="9" t="s">
        <v>1791</v>
      </c>
      <c r="J28" s="9" t="s">
        <v>1792</v>
      </c>
      <c r="K28" s="9" t="s">
        <v>1793</v>
      </c>
      <c r="L28" s="9" t="s">
        <v>1794</v>
      </c>
    </row>
    <row r="29" spans="1:12" ht="102">
      <c r="A29" s="16"/>
      <c r="B29" s="16" t="s">
        <v>33</v>
      </c>
      <c r="C29" s="9" t="s">
        <v>1658</v>
      </c>
      <c r="D29" s="9" t="s">
        <v>1106</v>
      </c>
      <c r="E29" s="9">
        <v>14</v>
      </c>
      <c r="F29" s="9" t="s">
        <v>1783</v>
      </c>
      <c r="G29" s="9" t="s">
        <v>1784</v>
      </c>
      <c r="H29" s="9" t="s">
        <v>1753</v>
      </c>
      <c r="I29" s="9" t="s">
        <v>1791</v>
      </c>
      <c r="J29" s="9" t="s">
        <v>1795</v>
      </c>
      <c r="K29" s="9" t="s">
        <v>1793</v>
      </c>
      <c r="L29" s="9" t="s">
        <v>1796</v>
      </c>
    </row>
    <row r="30" spans="1:12" ht="102">
      <c r="A30" s="16"/>
      <c r="B30" s="16" t="s">
        <v>33</v>
      </c>
      <c r="C30" s="9" t="s">
        <v>1069</v>
      </c>
      <c r="D30" s="9" t="s">
        <v>1070</v>
      </c>
      <c r="E30" s="9">
        <v>1</v>
      </c>
      <c r="F30" s="9" t="s">
        <v>1797</v>
      </c>
      <c r="G30" s="9" t="s">
        <v>1798</v>
      </c>
      <c r="H30" s="9" t="s">
        <v>1707</v>
      </c>
      <c r="I30" s="9" t="s">
        <v>1799</v>
      </c>
      <c r="J30" s="9" t="s">
        <v>1800</v>
      </c>
      <c r="K30" s="9" t="s">
        <v>1801</v>
      </c>
      <c r="L30" s="9" t="s">
        <v>1802</v>
      </c>
    </row>
    <row r="31" spans="1:12" ht="114.75">
      <c r="A31" s="16"/>
      <c r="B31" s="16" t="s">
        <v>33</v>
      </c>
      <c r="C31" s="9" t="s">
        <v>1069</v>
      </c>
      <c r="D31" s="9" t="s">
        <v>1070</v>
      </c>
      <c r="E31" s="9">
        <v>2</v>
      </c>
      <c r="F31" s="9" t="s">
        <v>1725</v>
      </c>
      <c r="G31" s="9" t="s">
        <v>1726</v>
      </c>
      <c r="H31" s="9" t="s">
        <v>1707</v>
      </c>
      <c r="I31" s="9" t="s">
        <v>1708</v>
      </c>
      <c r="J31" s="9" t="s">
        <v>1803</v>
      </c>
      <c r="K31" s="9" t="s">
        <v>1804</v>
      </c>
      <c r="L31" s="9" t="s">
        <v>1805</v>
      </c>
    </row>
    <row r="32" spans="1:12" ht="114.75">
      <c r="A32" s="16"/>
      <c r="B32" s="16" t="s">
        <v>33</v>
      </c>
      <c r="C32" s="9" t="s">
        <v>1069</v>
      </c>
      <c r="D32" s="9" t="s">
        <v>1070</v>
      </c>
      <c r="E32" s="9">
        <v>3</v>
      </c>
      <c r="F32" s="9" t="s">
        <v>1725</v>
      </c>
      <c r="G32" s="9" t="s">
        <v>1726</v>
      </c>
      <c r="H32" s="9" t="s">
        <v>1707</v>
      </c>
      <c r="I32" s="9" t="s">
        <v>1708</v>
      </c>
      <c r="J32" s="9" t="s">
        <v>1806</v>
      </c>
      <c r="K32" s="9" t="s">
        <v>1807</v>
      </c>
      <c r="L32" s="9" t="s">
        <v>1808</v>
      </c>
    </row>
    <row r="33" spans="1:12" ht="114.75">
      <c r="A33" s="16"/>
      <c r="B33" s="16" t="s">
        <v>33</v>
      </c>
      <c r="C33" s="9" t="s">
        <v>1069</v>
      </c>
      <c r="D33" s="9" t="s">
        <v>1070</v>
      </c>
      <c r="E33" s="9">
        <v>4</v>
      </c>
      <c r="F33" s="9" t="s">
        <v>1725</v>
      </c>
      <c r="G33" s="9" t="s">
        <v>1726</v>
      </c>
      <c r="H33" s="9" t="s">
        <v>1707</v>
      </c>
      <c r="I33" s="9" t="s">
        <v>1708</v>
      </c>
      <c r="J33" s="9" t="s">
        <v>1809</v>
      </c>
      <c r="K33" s="9" t="s">
        <v>1810</v>
      </c>
      <c r="L33" s="9" t="s">
        <v>1811</v>
      </c>
    </row>
    <row r="34" spans="1:12" ht="114.75">
      <c r="A34" s="16"/>
      <c r="B34" s="16" t="s">
        <v>33</v>
      </c>
      <c r="C34" s="9" t="s">
        <v>1069</v>
      </c>
      <c r="D34" s="9" t="s">
        <v>1070</v>
      </c>
      <c r="E34" s="9">
        <v>5</v>
      </c>
      <c r="F34" s="9" t="s">
        <v>1725</v>
      </c>
      <c r="G34" s="9" t="s">
        <v>1726</v>
      </c>
      <c r="H34" s="9" t="s">
        <v>1707</v>
      </c>
      <c r="I34" s="9" t="s">
        <v>1708</v>
      </c>
      <c r="J34" s="9" t="s">
        <v>1812</v>
      </c>
      <c r="K34" s="9" t="s">
        <v>1813</v>
      </c>
      <c r="L34" s="9" t="s">
        <v>1814</v>
      </c>
    </row>
    <row r="35" spans="1:12" ht="114.75">
      <c r="A35" s="16"/>
      <c r="B35" s="16" t="s">
        <v>33</v>
      </c>
      <c r="C35" s="9" t="s">
        <v>1069</v>
      </c>
      <c r="D35" s="9" t="s">
        <v>1070</v>
      </c>
      <c r="E35" s="9">
        <v>6</v>
      </c>
      <c r="F35" s="9" t="s">
        <v>1725</v>
      </c>
      <c r="G35" s="9" t="s">
        <v>1726</v>
      </c>
      <c r="H35" s="9" t="s">
        <v>1707</v>
      </c>
      <c r="I35" s="9" t="s">
        <v>1708</v>
      </c>
      <c r="J35" s="9" t="s">
        <v>1815</v>
      </c>
      <c r="K35" s="9" t="s">
        <v>1813</v>
      </c>
      <c r="L35" s="9" t="s">
        <v>1816</v>
      </c>
    </row>
    <row r="36" spans="1:12" ht="102">
      <c r="A36" s="16"/>
      <c r="B36" s="16" t="s">
        <v>33</v>
      </c>
      <c r="C36" s="9" t="s">
        <v>1069</v>
      </c>
      <c r="D36" s="9" t="s">
        <v>1070</v>
      </c>
      <c r="E36" s="9">
        <v>7</v>
      </c>
      <c r="F36" s="9" t="s">
        <v>1683</v>
      </c>
      <c r="G36" s="9" t="s">
        <v>1817</v>
      </c>
      <c r="H36" s="9" t="s">
        <v>1685</v>
      </c>
      <c r="I36" s="9" t="s">
        <v>1818</v>
      </c>
      <c r="J36" s="9" t="s">
        <v>1819</v>
      </c>
      <c r="K36" s="9" t="s">
        <v>1820</v>
      </c>
      <c r="L36" s="9" t="s">
        <v>1821</v>
      </c>
    </row>
    <row r="37" spans="1:12" ht="114.75">
      <c r="A37" s="16"/>
      <c r="B37" s="16" t="s">
        <v>33</v>
      </c>
      <c r="C37" s="9" t="s">
        <v>1069</v>
      </c>
      <c r="D37" s="9" t="s">
        <v>1070</v>
      </c>
      <c r="E37" s="9">
        <v>8</v>
      </c>
      <c r="F37" s="9" t="s">
        <v>1783</v>
      </c>
      <c r="G37" s="9" t="s">
        <v>1822</v>
      </c>
      <c r="H37" s="9" t="s">
        <v>1661</v>
      </c>
      <c r="I37" s="9" t="s">
        <v>1662</v>
      </c>
      <c r="J37" s="9" t="s">
        <v>1823</v>
      </c>
      <c r="K37" s="9" t="s">
        <v>1824</v>
      </c>
      <c r="L37" s="9" t="s">
        <v>1825</v>
      </c>
    </row>
    <row r="38" spans="1:12" ht="114.75">
      <c r="A38" s="16"/>
      <c r="B38" s="16" t="s">
        <v>33</v>
      </c>
      <c r="C38" s="9" t="s">
        <v>1069</v>
      </c>
      <c r="D38" s="9" t="s">
        <v>1070</v>
      </c>
      <c r="E38" s="9">
        <v>9</v>
      </c>
      <c r="F38" s="9" t="s">
        <v>1783</v>
      </c>
      <c r="G38" s="9" t="s">
        <v>1822</v>
      </c>
      <c r="H38" s="9" t="s">
        <v>1673</v>
      </c>
      <c r="I38" s="9" t="s">
        <v>1826</v>
      </c>
      <c r="J38" s="9" t="s">
        <v>1827</v>
      </c>
      <c r="K38" s="9" t="s">
        <v>1828</v>
      </c>
      <c r="L38" s="9" t="s">
        <v>1829</v>
      </c>
    </row>
    <row r="39" spans="1:12" ht="127.5">
      <c r="A39" s="16"/>
      <c r="B39" s="16" t="s">
        <v>33</v>
      </c>
      <c r="C39" s="9" t="s">
        <v>1069</v>
      </c>
      <c r="D39" s="9" t="s">
        <v>1070</v>
      </c>
      <c r="E39" s="9">
        <v>10</v>
      </c>
      <c r="F39" s="9" t="s">
        <v>1783</v>
      </c>
      <c r="G39" s="9" t="s">
        <v>1822</v>
      </c>
      <c r="H39" s="9" t="s">
        <v>1685</v>
      </c>
      <c r="I39" s="9" t="s">
        <v>1830</v>
      </c>
      <c r="J39" s="9" t="s">
        <v>1831</v>
      </c>
      <c r="K39" s="9" t="s">
        <v>1832</v>
      </c>
      <c r="L39" s="9" t="s">
        <v>1833</v>
      </c>
    </row>
    <row r="40" spans="1:12" ht="76.5">
      <c r="A40" s="16"/>
      <c r="B40" s="16" t="s">
        <v>33</v>
      </c>
      <c r="C40" s="9" t="s">
        <v>1069</v>
      </c>
      <c r="D40" s="9" t="s">
        <v>1070</v>
      </c>
      <c r="E40" s="9">
        <v>11</v>
      </c>
      <c r="F40" s="9" t="s">
        <v>1783</v>
      </c>
      <c r="G40" s="9" t="s">
        <v>1822</v>
      </c>
      <c r="H40" s="9" t="s">
        <v>1685</v>
      </c>
      <c r="I40" s="9" t="s">
        <v>1830</v>
      </c>
      <c r="J40" s="9" t="s">
        <v>1834</v>
      </c>
      <c r="K40" s="9" t="s">
        <v>1835</v>
      </c>
      <c r="L40" s="9" t="s">
        <v>1836</v>
      </c>
    </row>
    <row r="41" spans="1:12" ht="76.5">
      <c r="A41" s="16"/>
      <c r="B41" s="16" t="s">
        <v>33</v>
      </c>
      <c r="C41" s="9" t="s">
        <v>1069</v>
      </c>
      <c r="D41" s="9" t="s">
        <v>1070</v>
      </c>
      <c r="E41" s="9">
        <v>12</v>
      </c>
      <c r="F41" s="9" t="s">
        <v>1783</v>
      </c>
      <c r="G41" s="9" t="s">
        <v>1822</v>
      </c>
      <c r="H41" s="9" t="s">
        <v>1673</v>
      </c>
      <c r="I41" s="9" t="s">
        <v>1837</v>
      </c>
      <c r="J41" s="9" t="s">
        <v>1838</v>
      </c>
      <c r="K41" s="9" t="s">
        <v>1839</v>
      </c>
      <c r="L41" s="9" t="s">
        <v>1840</v>
      </c>
    </row>
    <row r="42" spans="1:12" ht="76.5">
      <c r="A42" s="16"/>
      <c r="B42" s="16" t="s">
        <v>33</v>
      </c>
      <c r="C42" s="9" t="s">
        <v>1069</v>
      </c>
      <c r="D42" s="9" t="s">
        <v>1070</v>
      </c>
      <c r="E42" s="9">
        <v>13</v>
      </c>
      <c r="F42" s="9" t="s">
        <v>1783</v>
      </c>
      <c r="G42" s="9" t="s">
        <v>1822</v>
      </c>
      <c r="H42" s="9" t="s">
        <v>1673</v>
      </c>
      <c r="I42" s="9" t="s">
        <v>1837</v>
      </c>
      <c r="J42" s="9" t="s">
        <v>1841</v>
      </c>
      <c r="K42" s="9" t="s">
        <v>1842</v>
      </c>
      <c r="L42" s="9" t="s">
        <v>1843</v>
      </c>
    </row>
    <row r="43" spans="1:12" ht="127.5">
      <c r="A43" s="16"/>
      <c r="B43" s="16" t="s">
        <v>33</v>
      </c>
      <c r="C43" s="9" t="s">
        <v>1069</v>
      </c>
      <c r="D43" s="9" t="s">
        <v>1070</v>
      </c>
      <c r="E43" s="9">
        <v>14</v>
      </c>
      <c r="F43" s="9" t="s">
        <v>1844</v>
      </c>
      <c r="G43" s="9" t="s">
        <v>1845</v>
      </c>
      <c r="H43" s="9" t="s">
        <v>1661</v>
      </c>
      <c r="I43" s="9" t="s">
        <v>1662</v>
      </c>
      <c r="J43" s="9" t="s">
        <v>1846</v>
      </c>
      <c r="K43" s="9" t="s">
        <v>1847</v>
      </c>
      <c r="L43" s="9" t="s">
        <v>1848</v>
      </c>
    </row>
    <row r="44" spans="1:12" ht="89.25">
      <c r="A44" s="16"/>
      <c r="B44" s="16" t="s">
        <v>33</v>
      </c>
      <c r="C44" s="16" t="s">
        <v>1069</v>
      </c>
      <c r="D44" s="16" t="s">
        <v>1106</v>
      </c>
      <c r="E44" s="16">
        <v>1</v>
      </c>
      <c r="F44" s="16" t="s">
        <v>1751</v>
      </c>
      <c r="G44" s="16" t="s">
        <v>1752</v>
      </c>
      <c r="H44" s="16" t="s">
        <v>1753</v>
      </c>
      <c r="I44" s="16" t="s">
        <v>1849</v>
      </c>
      <c r="J44" s="16" t="s">
        <v>1850</v>
      </c>
      <c r="K44" s="16" t="s">
        <v>1851</v>
      </c>
      <c r="L44" s="16" t="s">
        <v>1852</v>
      </c>
    </row>
    <row r="45" spans="1:12" ht="89.25">
      <c r="A45" s="16"/>
      <c r="B45" s="16" t="s">
        <v>33</v>
      </c>
      <c r="C45" s="16" t="s">
        <v>1069</v>
      </c>
      <c r="D45" s="16" t="s">
        <v>1106</v>
      </c>
      <c r="E45" s="16">
        <v>2</v>
      </c>
      <c r="F45" s="16" t="s">
        <v>1853</v>
      </c>
      <c r="G45" s="16" t="s">
        <v>1854</v>
      </c>
      <c r="H45" s="16" t="s">
        <v>1707</v>
      </c>
      <c r="I45" s="16" t="s">
        <v>1855</v>
      </c>
      <c r="J45" s="16" t="s">
        <v>1856</v>
      </c>
      <c r="K45" s="16" t="s">
        <v>1857</v>
      </c>
      <c r="L45" s="16" t="s">
        <v>1858</v>
      </c>
    </row>
    <row r="46" spans="1:12" ht="89.25">
      <c r="A46" s="16"/>
      <c r="B46" s="16" t="s">
        <v>33</v>
      </c>
      <c r="C46" s="16" t="s">
        <v>1069</v>
      </c>
      <c r="D46" s="16" t="s">
        <v>1106</v>
      </c>
      <c r="E46" s="16">
        <v>3</v>
      </c>
      <c r="F46" s="16" t="s">
        <v>1853</v>
      </c>
      <c r="G46" s="16" t="s">
        <v>1854</v>
      </c>
      <c r="H46" s="16" t="s">
        <v>1707</v>
      </c>
      <c r="I46" s="16" t="s">
        <v>1855</v>
      </c>
      <c r="J46" s="16" t="s">
        <v>1859</v>
      </c>
      <c r="K46" s="16" t="s">
        <v>1860</v>
      </c>
      <c r="L46" s="16" t="s">
        <v>1861</v>
      </c>
    </row>
    <row r="47" spans="1:12" ht="114.75">
      <c r="A47" s="16"/>
      <c r="B47" s="16" t="s">
        <v>33</v>
      </c>
      <c r="C47" s="16" t="s">
        <v>1069</v>
      </c>
      <c r="D47" s="16" t="s">
        <v>1106</v>
      </c>
      <c r="E47" s="16">
        <v>4</v>
      </c>
      <c r="F47" s="16" t="s">
        <v>1725</v>
      </c>
      <c r="G47" s="16" t="s">
        <v>1726</v>
      </c>
      <c r="H47" s="16" t="s">
        <v>1707</v>
      </c>
      <c r="I47" s="16" t="s">
        <v>1862</v>
      </c>
      <c r="J47" s="16" t="s">
        <v>1863</v>
      </c>
      <c r="K47" s="16" t="s">
        <v>1864</v>
      </c>
      <c r="L47" s="16" t="s">
        <v>1865</v>
      </c>
    </row>
    <row r="48" spans="1:12" ht="102">
      <c r="A48" s="16"/>
      <c r="B48" s="16" t="s">
        <v>33</v>
      </c>
      <c r="C48" s="16" t="s">
        <v>1069</v>
      </c>
      <c r="D48" s="16" t="s">
        <v>1106</v>
      </c>
      <c r="E48" s="16">
        <v>5</v>
      </c>
      <c r="F48" s="16" t="s">
        <v>1783</v>
      </c>
      <c r="G48" s="16" t="s">
        <v>1784</v>
      </c>
      <c r="H48" s="16" t="s">
        <v>1707</v>
      </c>
      <c r="I48" s="16" t="s">
        <v>1866</v>
      </c>
      <c r="J48" s="16" t="s">
        <v>1867</v>
      </c>
      <c r="K48" s="16" t="s">
        <v>1868</v>
      </c>
      <c r="L48" s="16" t="s">
        <v>1869</v>
      </c>
    </row>
    <row r="49" spans="1:12" ht="89.25">
      <c r="A49" s="16"/>
      <c r="B49" s="16" t="s">
        <v>33</v>
      </c>
      <c r="C49" s="16" t="s">
        <v>1069</v>
      </c>
      <c r="D49" s="16" t="s">
        <v>1106</v>
      </c>
      <c r="E49" s="16">
        <v>6</v>
      </c>
      <c r="F49" s="16" t="s">
        <v>1783</v>
      </c>
      <c r="G49" s="16" t="s">
        <v>1784</v>
      </c>
      <c r="H49" s="16" t="s">
        <v>1673</v>
      </c>
      <c r="I49" s="16" t="s">
        <v>1870</v>
      </c>
      <c r="J49" s="16" t="s">
        <v>1871</v>
      </c>
      <c r="K49" s="16" t="s">
        <v>1872</v>
      </c>
      <c r="L49" s="16" t="s">
        <v>1873</v>
      </c>
    </row>
    <row r="50" spans="1:12" ht="89.25">
      <c r="A50" s="26" t="s">
        <v>1750</v>
      </c>
      <c r="B50" s="16" t="s">
        <v>33</v>
      </c>
      <c r="C50" s="16" t="s">
        <v>1069</v>
      </c>
      <c r="D50" s="16" t="s">
        <v>1106</v>
      </c>
      <c r="E50" s="16">
        <v>7</v>
      </c>
      <c r="F50" s="16" t="s">
        <v>1751</v>
      </c>
      <c r="G50" s="16" t="s">
        <v>1752</v>
      </c>
      <c r="H50" s="16" t="s">
        <v>1753</v>
      </c>
      <c r="I50" s="16" t="s">
        <v>1874</v>
      </c>
      <c r="J50" s="16" t="s">
        <v>1875</v>
      </c>
      <c r="K50" s="16" t="s">
        <v>1876</v>
      </c>
      <c r="L50" s="16" t="s">
        <v>1833</v>
      </c>
    </row>
    <row r="51" spans="1:12" ht="89.25">
      <c r="A51" s="16"/>
      <c r="B51" s="16" t="s">
        <v>33</v>
      </c>
      <c r="C51" s="16" t="s">
        <v>1069</v>
      </c>
      <c r="D51" s="16" t="s">
        <v>1106</v>
      </c>
      <c r="E51" s="16">
        <v>8</v>
      </c>
      <c r="F51" s="16" t="s">
        <v>1751</v>
      </c>
      <c r="G51" s="16" t="s">
        <v>1752</v>
      </c>
      <c r="H51" s="16" t="s">
        <v>1707</v>
      </c>
      <c r="I51" s="16" t="s">
        <v>1877</v>
      </c>
      <c r="J51" s="16" t="s">
        <v>1878</v>
      </c>
      <c r="K51" s="16" t="s">
        <v>1879</v>
      </c>
      <c r="L51" s="16" t="s">
        <v>1880</v>
      </c>
    </row>
    <row r="52" spans="1:12" ht="89.25">
      <c r="A52" s="16"/>
      <c r="B52" s="16" t="s">
        <v>33</v>
      </c>
      <c r="C52" s="16" t="s">
        <v>1069</v>
      </c>
      <c r="D52" s="16" t="s">
        <v>1106</v>
      </c>
      <c r="E52" s="16">
        <v>9</v>
      </c>
      <c r="F52" s="16" t="s">
        <v>1853</v>
      </c>
      <c r="G52" s="16" t="s">
        <v>1854</v>
      </c>
      <c r="H52" s="16" t="s">
        <v>1707</v>
      </c>
      <c r="I52" s="16" t="s">
        <v>1862</v>
      </c>
      <c r="J52" s="26" t="s">
        <v>1881</v>
      </c>
      <c r="K52" s="16" t="s">
        <v>1882</v>
      </c>
      <c r="L52" s="16" t="s">
        <v>1883</v>
      </c>
    </row>
    <row r="53" spans="1:12" ht="89.25">
      <c r="A53" s="16"/>
      <c r="B53" s="16" t="s">
        <v>33</v>
      </c>
      <c r="C53" s="16" t="s">
        <v>1069</v>
      </c>
      <c r="D53" s="16" t="s">
        <v>1106</v>
      </c>
      <c r="E53" s="16">
        <v>10</v>
      </c>
      <c r="F53" s="16" t="s">
        <v>1853</v>
      </c>
      <c r="G53" s="16" t="s">
        <v>1854</v>
      </c>
      <c r="H53" s="16" t="s">
        <v>1707</v>
      </c>
      <c r="I53" s="16" t="s">
        <v>1862</v>
      </c>
      <c r="J53" s="26" t="s">
        <v>1884</v>
      </c>
      <c r="K53" s="26" t="s">
        <v>1885</v>
      </c>
      <c r="L53" s="16" t="s">
        <v>1886</v>
      </c>
    </row>
    <row r="54" spans="1:12" ht="89.25">
      <c r="A54" s="16"/>
      <c r="B54" s="16" t="s">
        <v>33</v>
      </c>
      <c r="C54" s="16" t="s">
        <v>1069</v>
      </c>
      <c r="D54" s="16" t="s">
        <v>1106</v>
      </c>
      <c r="E54" s="16">
        <v>11</v>
      </c>
      <c r="F54" s="16" t="s">
        <v>1853</v>
      </c>
      <c r="G54" s="16" t="s">
        <v>1854</v>
      </c>
      <c r="H54" s="16" t="s">
        <v>1707</v>
      </c>
      <c r="I54" s="16" t="s">
        <v>1862</v>
      </c>
      <c r="J54" s="16" t="s">
        <v>1887</v>
      </c>
      <c r="K54" s="16" t="s">
        <v>1888</v>
      </c>
      <c r="L54" s="16" t="s">
        <v>1889</v>
      </c>
    </row>
    <row r="55" spans="1:12" ht="89.25">
      <c r="A55" s="16"/>
      <c r="B55" s="16" t="s">
        <v>33</v>
      </c>
      <c r="C55" s="16" t="s">
        <v>1069</v>
      </c>
      <c r="D55" s="16" t="s">
        <v>1106</v>
      </c>
      <c r="E55" s="16">
        <v>12</v>
      </c>
      <c r="F55" s="16" t="s">
        <v>1853</v>
      </c>
      <c r="G55" s="16" t="s">
        <v>1854</v>
      </c>
      <c r="H55" s="16" t="s">
        <v>1707</v>
      </c>
      <c r="I55" s="16" t="s">
        <v>1862</v>
      </c>
      <c r="J55" s="16" t="s">
        <v>1890</v>
      </c>
      <c r="K55" s="16" t="s">
        <v>1891</v>
      </c>
      <c r="L55" s="16" t="s">
        <v>1892</v>
      </c>
    </row>
    <row r="56" spans="1:12" ht="89.25">
      <c r="A56" s="16"/>
      <c r="B56" s="16" t="s">
        <v>33</v>
      </c>
      <c r="C56" s="16" t="s">
        <v>1069</v>
      </c>
      <c r="D56" s="16" t="s">
        <v>1106</v>
      </c>
      <c r="E56" s="16">
        <v>13</v>
      </c>
      <c r="F56" s="16" t="s">
        <v>1853</v>
      </c>
      <c r="G56" s="16" t="s">
        <v>1854</v>
      </c>
      <c r="H56" s="16" t="s">
        <v>1707</v>
      </c>
      <c r="I56" s="16" t="s">
        <v>1862</v>
      </c>
      <c r="J56" s="16" t="s">
        <v>1893</v>
      </c>
      <c r="K56" s="16" t="s">
        <v>1894</v>
      </c>
      <c r="L56" s="16" t="s">
        <v>1892</v>
      </c>
    </row>
    <row r="57" spans="1:12" ht="89.25">
      <c r="A57" s="26" t="s">
        <v>1750</v>
      </c>
      <c r="B57" s="16" t="s">
        <v>33</v>
      </c>
      <c r="C57" s="16" t="s">
        <v>1069</v>
      </c>
      <c r="D57" s="16" t="s">
        <v>1106</v>
      </c>
      <c r="E57" s="16">
        <v>14</v>
      </c>
      <c r="F57" s="16" t="s">
        <v>1853</v>
      </c>
      <c r="G57" s="16" t="s">
        <v>1854</v>
      </c>
      <c r="H57" s="16" t="s">
        <v>1707</v>
      </c>
      <c r="I57" s="16" t="s">
        <v>1862</v>
      </c>
      <c r="J57" s="16" t="s">
        <v>1895</v>
      </c>
      <c r="K57" s="16" t="s">
        <v>1894</v>
      </c>
      <c r="L57" s="16" t="s">
        <v>1896</v>
      </c>
    </row>
    <row r="58" spans="1:12" ht="12.75" customHeight="1">
      <c r="A58" s="16"/>
      <c r="B58" s="26" t="s">
        <v>33</v>
      </c>
      <c r="C58" s="26" t="s">
        <v>1658</v>
      </c>
      <c r="D58" s="26" t="s">
        <v>542</v>
      </c>
      <c r="E58" s="26">
        <v>1</v>
      </c>
      <c r="F58" s="26" t="s">
        <v>1897</v>
      </c>
      <c r="G58" s="26" t="s">
        <v>1898</v>
      </c>
      <c r="H58" s="26" t="s">
        <v>1707</v>
      </c>
      <c r="I58" s="26" t="s">
        <v>1899</v>
      </c>
      <c r="J58" s="26" t="s">
        <v>1900</v>
      </c>
      <c r="K58" s="26" t="s">
        <v>1901</v>
      </c>
      <c r="L58" s="26" t="s">
        <v>1902</v>
      </c>
    </row>
    <row r="59" spans="1:12" ht="12.75" customHeight="1">
      <c r="A59" s="16"/>
      <c r="B59" s="26" t="s">
        <v>33</v>
      </c>
      <c r="C59" s="26" t="s">
        <v>1658</v>
      </c>
      <c r="D59" s="26" t="s">
        <v>542</v>
      </c>
      <c r="E59" s="26">
        <v>2</v>
      </c>
      <c r="F59" s="26" t="s">
        <v>1725</v>
      </c>
      <c r="G59" s="26" t="s">
        <v>1726</v>
      </c>
      <c r="H59" s="26" t="s">
        <v>1707</v>
      </c>
      <c r="I59" s="26" t="s">
        <v>1899</v>
      </c>
      <c r="J59" s="26" t="s">
        <v>1903</v>
      </c>
      <c r="K59" s="26" t="s">
        <v>1904</v>
      </c>
      <c r="L59" s="26" t="s">
        <v>1905</v>
      </c>
    </row>
    <row r="60" spans="1:12" ht="12.75" customHeight="1">
      <c r="A60" s="16"/>
      <c r="B60" s="26" t="s">
        <v>33</v>
      </c>
      <c r="C60" s="26" t="s">
        <v>1658</v>
      </c>
      <c r="D60" s="26" t="s">
        <v>542</v>
      </c>
      <c r="E60" s="26">
        <v>3</v>
      </c>
      <c r="F60" s="26" t="s">
        <v>1906</v>
      </c>
      <c r="G60" s="26" t="s">
        <v>1907</v>
      </c>
      <c r="H60" s="26" t="s">
        <v>1707</v>
      </c>
      <c r="I60" s="26" t="s">
        <v>1899</v>
      </c>
      <c r="J60" s="26" t="s">
        <v>1908</v>
      </c>
      <c r="K60" s="26" t="s">
        <v>1909</v>
      </c>
      <c r="L60" s="26" t="s">
        <v>1910</v>
      </c>
    </row>
    <row r="61" spans="1:12" ht="12.75" customHeight="1">
      <c r="A61" s="16"/>
      <c r="B61" s="26" t="s">
        <v>33</v>
      </c>
      <c r="C61" s="26" t="s">
        <v>1658</v>
      </c>
      <c r="D61" s="26" t="s">
        <v>542</v>
      </c>
      <c r="E61" s="26">
        <v>4</v>
      </c>
      <c r="F61" s="26" t="s">
        <v>1911</v>
      </c>
      <c r="G61" s="26" t="s">
        <v>1912</v>
      </c>
      <c r="H61" s="26" t="s">
        <v>1707</v>
      </c>
      <c r="I61" s="26" t="s">
        <v>1899</v>
      </c>
      <c r="J61" s="26" t="s">
        <v>1913</v>
      </c>
      <c r="K61" s="26" t="s">
        <v>1914</v>
      </c>
      <c r="L61" s="26" t="s">
        <v>1915</v>
      </c>
    </row>
    <row r="62" spans="1:12" ht="12.75" customHeight="1">
      <c r="A62" s="16"/>
      <c r="B62" s="26" t="s">
        <v>33</v>
      </c>
      <c r="C62" s="26" t="s">
        <v>1658</v>
      </c>
      <c r="D62" s="26" t="s">
        <v>542</v>
      </c>
      <c r="E62" s="26">
        <v>5</v>
      </c>
      <c r="F62" s="26" t="s">
        <v>1725</v>
      </c>
      <c r="G62" s="26" t="s">
        <v>1726</v>
      </c>
      <c r="H62" s="26" t="s">
        <v>1707</v>
      </c>
      <c r="I62" s="26" t="s">
        <v>1899</v>
      </c>
      <c r="J62" s="26" t="s">
        <v>1916</v>
      </c>
      <c r="K62" s="26" t="s">
        <v>1917</v>
      </c>
      <c r="L62" s="26" t="s">
        <v>1918</v>
      </c>
    </row>
    <row r="63" spans="1:12" ht="12.75" customHeight="1">
      <c r="A63" s="16"/>
      <c r="B63" s="26" t="s">
        <v>33</v>
      </c>
      <c r="C63" s="26" t="s">
        <v>1658</v>
      </c>
      <c r="D63" s="26" t="s">
        <v>542</v>
      </c>
      <c r="E63" s="26">
        <v>6</v>
      </c>
      <c r="F63" s="26" t="s">
        <v>1783</v>
      </c>
      <c r="G63" s="26" t="s">
        <v>1784</v>
      </c>
      <c r="H63" s="26" t="s">
        <v>1707</v>
      </c>
      <c r="I63" s="26" t="s">
        <v>1919</v>
      </c>
      <c r="J63" s="26" t="s">
        <v>1920</v>
      </c>
      <c r="K63" s="26" t="s">
        <v>1921</v>
      </c>
      <c r="L63" s="26" t="s">
        <v>1922</v>
      </c>
    </row>
    <row r="64" spans="1:12" ht="12.75" customHeight="1">
      <c r="A64" s="16"/>
      <c r="B64" s="26" t="s">
        <v>33</v>
      </c>
      <c r="C64" s="26" t="s">
        <v>1658</v>
      </c>
      <c r="D64" s="26" t="s">
        <v>542</v>
      </c>
      <c r="E64" s="26">
        <v>7</v>
      </c>
      <c r="F64" s="26" t="s">
        <v>1923</v>
      </c>
      <c r="G64" s="26" t="s">
        <v>1924</v>
      </c>
      <c r="H64" s="26" t="s">
        <v>1707</v>
      </c>
      <c r="I64" s="26" t="s">
        <v>1919</v>
      </c>
      <c r="J64" s="26" t="s">
        <v>1925</v>
      </c>
      <c r="K64" s="26" t="s">
        <v>1921</v>
      </c>
      <c r="L64" s="26" t="s">
        <v>1926</v>
      </c>
    </row>
    <row r="65" spans="1:12" ht="12.75" customHeight="1">
      <c r="A65" s="16"/>
      <c r="B65" s="26" t="s">
        <v>33</v>
      </c>
      <c r="C65" s="26" t="s">
        <v>1658</v>
      </c>
      <c r="D65" s="26" t="s">
        <v>542</v>
      </c>
      <c r="E65" s="26">
        <v>8</v>
      </c>
      <c r="F65" s="26" t="s">
        <v>1897</v>
      </c>
      <c r="G65" s="26" t="s">
        <v>1927</v>
      </c>
      <c r="H65" s="26" t="s">
        <v>1707</v>
      </c>
      <c r="I65" s="26" t="s">
        <v>1919</v>
      </c>
      <c r="J65" s="26" t="s">
        <v>1928</v>
      </c>
      <c r="K65" s="26" t="s">
        <v>1929</v>
      </c>
      <c r="L65" s="26" t="s">
        <v>1930</v>
      </c>
    </row>
    <row r="66" spans="1:12" ht="12.75" customHeight="1">
      <c r="A66" s="16"/>
      <c r="B66" s="26" t="s">
        <v>33</v>
      </c>
      <c r="C66" s="26" t="s">
        <v>1658</v>
      </c>
      <c r="D66" s="26" t="s">
        <v>542</v>
      </c>
      <c r="E66" s="26">
        <v>9</v>
      </c>
      <c r="F66" s="26" t="s">
        <v>1725</v>
      </c>
      <c r="G66" s="26" t="s">
        <v>1726</v>
      </c>
      <c r="H66" s="26" t="s">
        <v>1707</v>
      </c>
      <c r="I66" s="26" t="s">
        <v>1919</v>
      </c>
      <c r="J66" s="26" t="s">
        <v>1931</v>
      </c>
      <c r="K66" s="26" t="s">
        <v>1932</v>
      </c>
      <c r="L66" s="26" t="s">
        <v>1933</v>
      </c>
    </row>
    <row r="67" spans="1:12" ht="12.75" customHeight="1">
      <c r="A67" s="16"/>
      <c r="B67" s="26" t="s">
        <v>33</v>
      </c>
      <c r="C67" s="26" t="s">
        <v>1658</v>
      </c>
      <c r="D67" s="26" t="s">
        <v>542</v>
      </c>
      <c r="E67" s="26">
        <v>10</v>
      </c>
      <c r="F67" s="26" t="s">
        <v>1783</v>
      </c>
      <c r="G67" s="26" t="s">
        <v>1784</v>
      </c>
      <c r="H67" s="26" t="s">
        <v>1707</v>
      </c>
      <c r="I67" s="26" t="s">
        <v>1934</v>
      </c>
      <c r="J67" s="26" t="s">
        <v>1935</v>
      </c>
      <c r="K67" s="26" t="s">
        <v>1936</v>
      </c>
      <c r="L67" s="26" t="s">
        <v>1937</v>
      </c>
    </row>
    <row r="68" spans="1:12" ht="12.75" customHeight="1">
      <c r="A68" s="16"/>
      <c r="B68" s="26" t="s">
        <v>33</v>
      </c>
      <c r="C68" s="26" t="s">
        <v>1658</v>
      </c>
      <c r="D68" s="26" t="s">
        <v>542</v>
      </c>
      <c r="E68" s="26">
        <v>11</v>
      </c>
      <c r="F68" s="26" t="s">
        <v>1938</v>
      </c>
      <c r="G68" s="26" t="s">
        <v>1939</v>
      </c>
      <c r="H68" s="26" t="s">
        <v>1661</v>
      </c>
      <c r="I68" s="26" t="s">
        <v>1934</v>
      </c>
      <c r="J68" s="26" t="s">
        <v>1747</v>
      </c>
      <c r="K68" s="26" t="s">
        <v>1940</v>
      </c>
      <c r="L68" s="26" t="s">
        <v>1941</v>
      </c>
    </row>
    <row r="69" spans="1:12" ht="12.75" customHeight="1">
      <c r="A69" s="16"/>
      <c r="B69" s="26" t="s">
        <v>33</v>
      </c>
      <c r="C69" s="26" t="s">
        <v>1658</v>
      </c>
      <c r="D69" s="26" t="s">
        <v>542</v>
      </c>
      <c r="E69" s="26">
        <v>12</v>
      </c>
      <c r="F69" s="26" t="s">
        <v>1938</v>
      </c>
      <c r="G69" s="26" t="s">
        <v>1939</v>
      </c>
      <c r="H69" s="26" t="s">
        <v>1661</v>
      </c>
      <c r="I69" s="26" t="s">
        <v>1934</v>
      </c>
      <c r="J69" s="26" t="s">
        <v>1942</v>
      </c>
      <c r="K69" s="26" t="s">
        <v>1943</v>
      </c>
      <c r="L69" s="26" t="s">
        <v>1944</v>
      </c>
    </row>
    <row r="70" spans="1:12" ht="12.75" customHeight="1">
      <c r="A70" s="16"/>
      <c r="B70" s="26" t="s">
        <v>33</v>
      </c>
      <c r="C70" s="26" t="s">
        <v>1658</v>
      </c>
      <c r="D70" s="26" t="s">
        <v>1171</v>
      </c>
      <c r="E70" s="26">
        <v>1</v>
      </c>
      <c r="F70" s="26" t="s">
        <v>1725</v>
      </c>
      <c r="G70" s="26" t="s">
        <v>1726</v>
      </c>
      <c r="H70" s="26" t="s">
        <v>1707</v>
      </c>
      <c r="I70" s="26" t="s">
        <v>1945</v>
      </c>
      <c r="J70" s="26" t="s">
        <v>1946</v>
      </c>
      <c r="K70" s="26" t="s">
        <v>1947</v>
      </c>
      <c r="L70" s="26" t="s">
        <v>1948</v>
      </c>
    </row>
    <row r="71" spans="1:12" ht="12.75" customHeight="1">
      <c r="A71" s="16"/>
      <c r="B71" s="26" t="s">
        <v>33</v>
      </c>
      <c r="C71" s="26" t="s">
        <v>1658</v>
      </c>
      <c r="D71" s="26" t="s">
        <v>1171</v>
      </c>
      <c r="E71" s="26">
        <v>2</v>
      </c>
      <c r="F71" s="26" t="s">
        <v>1783</v>
      </c>
      <c r="G71" s="26" t="s">
        <v>1784</v>
      </c>
      <c r="H71" s="26" t="s">
        <v>1707</v>
      </c>
      <c r="I71" s="26" t="s">
        <v>1949</v>
      </c>
      <c r="J71" s="26" t="s">
        <v>1950</v>
      </c>
      <c r="K71" s="26" t="s">
        <v>1951</v>
      </c>
      <c r="L71" s="26" t="s">
        <v>1952</v>
      </c>
    </row>
    <row r="72" spans="1:12" ht="12.75" customHeight="1">
      <c r="A72" s="16"/>
      <c r="B72" s="26" t="s">
        <v>33</v>
      </c>
      <c r="C72" s="26" t="s">
        <v>1658</v>
      </c>
      <c r="D72" s="26" t="s">
        <v>1171</v>
      </c>
      <c r="E72" s="26">
        <v>3</v>
      </c>
      <c r="F72" s="26" t="s">
        <v>1751</v>
      </c>
      <c r="G72" s="26" t="s">
        <v>1752</v>
      </c>
      <c r="H72" s="26" t="s">
        <v>1753</v>
      </c>
      <c r="I72" s="26" t="s">
        <v>1953</v>
      </c>
      <c r="J72" s="26" t="s">
        <v>1954</v>
      </c>
      <c r="K72" s="26" t="s">
        <v>1955</v>
      </c>
      <c r="L72" s="26" t="s">
        <v>1956</v>
      </c>
    </row>
    <row r="73" spans="1:12" ht="12.75" customHeight="1">
      <c r="A73" s="16"/>
      <c r="B73" s="26" t="s">
        <v>33</v>
      </c>
      <c r="C73" s="26" t="s">
        <v>1658</v>
      </c>
      <c r="D73" s="26" t="s">
        <v>1171</v>
      </c>
      <c r="E73" s="26">
        <v>4</v>
      </c>
      <c r="F73" s="26" t="s">
        <v>1783</v>
      </c>
      <c r="G73" s="26" t="s">
        <v>1784</v>
      </c>
      <c r="H73" s="26" t="s">
        <v>1753</v>
      </c>
      <c r="I73" s="26" t="s">
        <v>1957</v>
      </c>
      <c r="J73" s="26" t="s">
        <v>1958</v>
      </c>
      <c r="K73" s="26" t="s">
        <v>1959</v>
      </c>
      <c r="L73" s="26" t="s">
        <v>1960</v>
      </c>
    </row>
    <row r="74" spans="1:12" ht="12.75" customHeight="1">
      <c r="A74" s="16"/>
      <c r="B74" s="26" t="s">
        <v>33</v>
      </c>
      <c r="C74" s="26" t="s">
        <v>1658</v>
      </c>
      <c r="D74" s="26" t="s">
        <v>1171</v>
      </c>
      <c r="E74" s="26">
        <v>5</v>
      </c>
      <c r="F74" s="26" t="s">
        <v>1783</v>
      </c>
      <c r="G74" s="26" t="s">
        <v>1784</v>
      </c>
      <c r="H74" s="26" t="s">
        <v>1753</v>
      </c>
      <c r="I74" s="26" t="s">
        <v>1961</v>
      </c>
      <c r="J74" s="26" t="s">
        <v>1962</v>
      </c>
      <c r="K74" s="26" t="s">
        <v>1963</v>
      </c>
      <c r="L74" s="26" t="s">
        <v>1964</v>
      </c>
    </row>
    <row r="75" spans="1:12" ht="12.75" customHeight="1">
      <c r="A75" s="16"/>
      <c r="B75" s="26" t="s">
        <v>33</v>
      </c>
      <c r="C75" s="26" t="s">
        <v>1658</v>
      </c>
      <c r="D75" s="26" t="s">
        <v>1171</v>
      </c>
      <c r="E75" s="26">
        <v>6</v>
      </c>
      <c r="F75" s="26" t="s">
        <v>1725</v>
      </c>
      <c r="G75" s="26" t="s">
        <v>1726</v>
      </c>
      <c r="H75" s="26" t="s">
        <v>1965</v>
      </c>
      <c r="I75" s="26" t="s">
        <v>1966</v>
      </c>
      <c r="J75" s="26" t="s">
        <v>1967</v>
      </c>
      <c r="K75" s="26" t="s">
        <v>1968</v>
      </c>
      <c r="L75" s="26" t="s">
        <v>1969</v>
      </c>
    </row>
    <row r="76" spans="1:12" ht="12.75" customHeight="1">
      <c r="A76" s="16"/>
      <c r="B76" s="26" t="s">
        <v>33</v>
      </c>
      <c r="C76" s="26" t="s">
        <v>1658</v>
      </c>
      <c r="D76" s="26" t="s">
        <v>1171</v>
      </c>
      <c r="E76" s="26">
        <v>7</v>
      </c>
      <c r="F76" s="26" t="s">
        <v>1725</v>
      </c>
      <c r="G76" s="26" t="s">
        <v>1726</v>
      </c>
      <c r="H76" s="26" t="s">
        <v>1965</v>
      </c>
      <c r="I76" s="26" t="s">
        <v>1970</v>
      </c>
      <c r="J76" s="26" t="s">
        <v>1971</v>
      </c>
      <c r="K76" s="26" t="s">
        <v>1972</v>
      </c>
      <c r="L76" s="26" t="s">
        <v>1973</v>
      </c>
    </row>
    <row r="77" spans="1:12" ht="12.75" customHeight="1">
      <c r="A77" s="16"/>
      <c r="B77" s="26" t="s">
        <v>33</v>
      </c>
      <c r="C77" s="26" t="s">
        <v>1658</v>
      </c>
      <c r="D77" s="26" t="s">
        <v>1171</v>
      </c>
      <c r="E77" s="26">
        <v>8</v>
      </c>
      <c r="F77" s="26" t="s">
        <v>1725</v>
      </c>
      <c r="G77" s="26" t="s">
        <v>1726</v>
      </c>
      <c r="H77" s="26" t="s">
        <v>1965</v>
      </c>
      <c r="I77" s="26" t="s">
        <v>1974</v>
      </c>
      <c r="J77" s="26" t="s">
        <v>1975</v>
      </c>
      <c r="K77" s="26" t="s">
        <v>1976</v>
      </c>
      <c r="L77" s="26" t="s">
        <v>1977</v>
      </c>
    </row>
    <row r="78" spans="1:12" ht="12.75" customHeight="1">
      <c r="A78" s="16"/>
      <c r="B78" s="26" t="s">
        <v>33</v>
      </c>
      <c r="C78" s="26" t="s">
        <v>1658</v>
      </c>
      <c r="D78" s="26" t="s">
        <v>1171</v>
      </c>
      <c r="E78" s="26">
        <v>9</v>
      </c>
      <c r="F78" s="26" t="s">
        <v>1725</v>
      </c>
      <c r="G78" s="26" t="s">
        <v>1726</v>
      </c>
      <c r="H78" s="26" t="s">
        <v>1965</v>
      </c>
      <c r="I78" s="26" t="s">
        <v>1978</v>
      </c>
      <c r="J78" s="26" t="s">
        <v>1979</v>
      </c>
      <c r="K78" s="26" t="s">
        <v>1980</v>
      </c>
      <c r="L78" s="26" t="s">
        <v>1981</v>
      </c>
    </row>
    <row r="79" spans="1:12" ht="12.75" customHeight="1">
      <c r="A79" s="16"/>
      <c r="B79" s="26" t="s">
        <v>33</v>
      </c>
      <c r="C79" s="26" t="s">
        <v>1658</v>
      </c>
      <c r="D79" s="26" t="s">
        <v>1171</v>
      </c>
      <c r="E79" s="26">
        <v>10</v>
      </c>
      <c r="F79" s="26" t="s">
        <v>1725</v>
      </c>
      <c r="G79" s="26" t="s">
        <v>1726</v>
      </c>
      <c r="H79" s="26" t="s">
        <v>1965</v>
      </c>
      <c r="I79" s="26" t="s">
        <v>1982</v>
      </c>
      <c r="J79" s="26" t="s">
        <v>1983</v>
      </c>
      <c r="K79" s="26" t="s">
        <v>1984</v>
      </c>
      <c r="L79" s="26" t="s">
        <v>1985</v>
      </c>
    </row>
    <row r="80" spans="1:12" ht="12.75" customHeight="1">
      <c r="A80" s="16"/>
      <c r="B80" s="26" t="s">
        <v>33</v>
      </c>
      <c r="C80" s="26" t="s">
        <v>1658</v>
      </c>
      <c r="D80" s="26" t="s">
        <v>1171</v>
      </c>
      <c r="E80" s="26">
        <v>11</v>
      </c>
      <c r="F80" s="26" t="s">
        <v>1986</v>
      </c>
      <c r="G80" s="26" t="s">
        <v>1987</v>
      </c>
      <c r="H80" s="26" t="s">
        <v>1988</v>
      </c>
      <c r="I80" s="26" t="s">
        <v>1989</v>
      </c>
      <c r="J80" s="26" t="s">
        <v>1990</v>
      </c>
      <c r="K80" s="26" t="s">
        <v>1991</v>
      </c>
      <c r="L80" s="26" t="s">
        <v>1992</v>
      </c>
    </row>
    <row r="81" spans="1:12" ht="12.75" customHeight="1">
      <c r="A81" s="16"/>
      <c r="B81" s="26" t="s">
        <v>33</v>
      </c>
      <c r="C81" s="26" t="s">
        <v>1658</v>
      </c>
      <c r="D81" s="26" t="s">
        <v>1171</v>
      </c>
      <c r="E81" s="26">
        <v>12</v>
      </c>
      <c r="F81" s="26" t="s">
        <v>1993</v>
      </c>
      <c r="G81" s="26" t="s">
        <v>1994</v>
      </c>
      <c r="H81" s="26" t="s">
        <v>1988</v>
      </c>
      <c r="I81" s="26" t="s">
        <v>1995</v>
      </c>
      <c r="J81" s="26" t="s">
        <v>1996</v>
      </c>
      <c r="K81" s="26" t="s">
        <v>1997</v>
      </c>
      <c r="L81" s="26" t="s">
        <v>1998</v>
      </c>
    </row>
    <row r="82" spans="1:12" ht="12.75" customHeight="1">
      <c r="A82" s="16"/>
      <c r="B82" s="26" t="s">
        <v>33</v>
      </c>
      <c r="C82" s="26" t="s">
        <v>1069</v>
      </c>
      <c r="D82" s="26" t="s">
        <v>542</v>
      </c>
      <c r="E82" s="26">
        <v>1</v>
      </c>
      <c r="F82" s="26" t="s">
        <v>1783</v>
      </c>
      <c r="G82" s="26" t="s">
        <v>1784</v>
      </c>
      <c r="H82" s="26" t="s">
        <v>1673</v>
      </c>
      <c r="I82" s="26" t="s">
        <v>1999</v>
      </c>
      <c r="J82" s="26" t="s">
        <v>2000</v>
      </c>
      <c r="K82" s="26" t="s">
        <v>2001</v>
      </c>
      <c r="L82" s="26" t="s">
        <v>2002</v>
      </c>
    </row>
    <row r="83" spans="1:12" ht="12.75" customHeight="1">
      <c r="A83" s="16"/>
      <c r="B83" s="26" t="s">
        <v>33</v>
      </c>
      <c r="C83" s="26" t="s">
        <v>1069</v>
      </c>
      <c r="D83" s="26" t="s">
        <v>542</v>
      </c>
      <c r="E83" s="26">
        <v>2</v>
      </c>
      <c r="F83" s="26" t="s">
        <v>1783</v>
      </c>
      <c r="G83" s="26" t="s">
        <v>1784</v>
      </c>
      <c r="H83" s="26" t="s">
        <v>1707</v>
      </c>
      <c r="I83" s="26" t="s">
        <v>1999</v>
      </c>
      <c r="J83" s="26" t="s">
        <v>2003</v>
      </c>
      <c r="K83" s="26" t="s">
        <v>2001</v>
      </c>
      <c r="L83" s="26" t="s">
        <v>2004</v>
      </c>
    </row>
    <row r="84" spans="1:12" ht="12.75" customHeight="1">
      <c r="A84" s="16"/>
      <c r="B84" s="26" t="s">
        <v>33</v>
      </c>
      <c r="C84" s="26" t="s">
        <v>1069</v>
      </c>
      <c r="D84" s="26" t="s">
        <v>542</v>
      </c>
      <c r="E84" s="26">
        <v>3</v>
      </c>
      <c r="F84" s="26" t="s">
        <v>2005</v>
      </c>
      <c r="G84" s="26" t="s">
        <v>2006</v>
      </c>
      <c r="H84" s="26" t="s">
        <v>1661</v>
      </c>
      <c r="I84" s="26" t="s">
        <v>2007</v>
      </c>
      <c r="J84" s="26" t="s">
        <v>2008</v>
      </c>
      <c r="K84" s="26" t="s">
        <v>2009</v>
      </c>
      <c r="L84" s="26" t="s">
        <v>2010</v>
      </c>
    </row>
    <row r="85" spans="1:12" ht="12.75" customHeight="1">
      <c r="A85" s="16"/>
      <c r="B85" s="26" t="s">
        <v>33</v>
      </c>
      <c r="C85" s="26" t="s">
        <v>1069</v>
      </c>
      <c r="D85" s="26" t="s">
        <v>542</v>
      </c>
      <c r="E85" s="26">
        <v>4</v>
      </c>
      <c r="F85" s="26" t="s">
        <v>2011</v>
      </c>
      <c r="G85" s="26" t="s">
        <v>2012</v>
      </c>
      <c r="H85" s="26" t="s">
        <v>1661</v>
      </c>
      <c r="I85" s="26" t="s">
        <v>2007</v>
      </c>
      <c r="J85" s="26" t="s">
        <v>2013</v>
      </c>
      <c r="K85" s="26" t="s">
        <v>2014</v>
      </c>
      <c r="L85" s="26" t="s">
        <v>2015</v>
      </c>
    </row>
    <row r="86" spans="1:12" ht="12.75" customHeight="1">
      <c r="A86" s="16"/>
      <c r="B86" s="26" t="s">
        <v>33</v>
      </c>
      <c r="C86" s="26" t="s">
        <v>1069</v>
      </c>
      <c r="D86" s="26" t="s">
        <v>542</v>
      </c>
      <c r="E86" s="26">
        <v>5</v>
      </c>
      <c r="F86" s="26" t="s">
        <v>1783</v>
      </c>
      <c r="G86" s="26" t="s">
        <v>1784</v>
      </c>
      <c r="H86" s="26" t="s">
        <v>1661</v>
      </c>
      <c r="I86" s="26" t="s">
        <v>2016</v>
      </c>
      <c r="J86" s="26" t="s">
        <v>2017</v>
      </c>
      <c r="K86" s="26" t="s">
        <v>2018</v>
      </c>
      <c r="L86" s="26" t="s">
        <v>2019</v>
      </c>
    </row>
    <row r="87" spans="1:12" ht="12.75" customHeight="1">
      <c r="A87" s="16"/>
      <c r="B87" s="26" t="s">
        <v>33</v>
      </c>
      <c r="C87" s="26" t="s">
        <v>1069</v>
      </c>
      <c r="D87" s="26" t="s">
        <v>542</v>
      </c>
      <c r="E87" s="26">
        <v>6</v>
      </c>
      <c r="F87" s="26" t="s">
        <v>1783</v>
      </c>
      <c r="G87" s="26" t="s">
        <v>1784</v>
      </c>
      <c r="H87" s="26" t="s">
        <v>1661</v>
      </c>
      <c r="I87" s="26" t="s">
        <v>2016</v>
      </c>
      <c r="J87" s="26" t="s">
        <v>2020</v>
      </c>
      <c r="K87" s="26" t="s">
        <v>2021</v>
      </c>
      <c r="L87" s="26" t="s">
        <v>2022</v>
      </c>
    </row>
    <row r="88" spans="1:12" ht="12.75" customHeight="1">
      <c r="A88" s="16"/>
      <c r="B88" s="26" t="s">
        <v>33</v>
      </c>
      <c r="C88" s="26" t="s">
        <v>1069</v>
      </c>
      <c r="D88" s="26" t="s">
        <v>542</v>
      </c>
      <c r="E88" s="26">
        <v>7</v>
      </c>
      <c r="F88" s="26" t="s">
        <v>1853</v>
      </c>
      <c r="G88" s="26" t="s">
        <v>1854</v>
      </c>
      <c r="H88" s="26" t="s">
        <v>1707</v>
      </c>
      <c r="I88" s="26" t="s">
        <v>2023</v>
      </c>
      <c r="J88" s="26" t="s">
        <v>2024</v>
      </c>
      <c r="K88" s="26" t="s">
        <v>2025</v>
      </c>
      <c r="L88" s="26" t="s">
        <v>2026</v>
      </c>
    </row>
    <row r="89" spans="1:12" ht="12.75" customHeight="1">
      <c r="A89" s="16"/>
      <c r="B89" s="26" t="s">
        <v>33</v>
      </c>
      <c r="C89" s="26" t="s">
        <v>1069</v>
      </c>
      <c r="D89" s="26" t="s">
        <v>542</v>
      </c>
      <c r="E89" s="26">
        <v>8</v>
      </c>
      <c r="F89" s="26" t="s">
        <v>1853</v>
      </c>
      <c r="G89" s="26" t="s">
        <v>1854</v>
      </c>
      <c r="H89" s="26" t="s">
        <v>1707</v>
      </c>
      <c r="I89" s="26" t="s">
        <v>2023</v>
      </c>
      <c r="J89" s="26" t="s">
        <v>2027</v>
      </c>
      <c r="K89" s="26" t="s">
        <v>2028</v>
      </c>
      <c r="L89" s="26" t="s">
        <v>2026</v>
      </c>
    </row>
    <row r="90" spans="1:12" ht="12.75" customHeight="1">
      <c r="A90" s="16"/>
      <c r="B90" s="26" t="s">
        <v>33</v>
      </c>
      <c r="C90" s="26" t="s">
        <v>1069</v>
      </c>
      <c r="D90" s="26" t="s">
        <v>542</v>
      </c>
      <c r="E90" s="26">
        <v>9</v>
      </c>
      <c r="F90" s="26" t="s">
        <v>1853</v>
      </c>
      <c r="G90" s="26" t="s">
        <v>1854</v>
      </c>
      <c r="H90" s="26" t="s">
        <v>1707</v>
      </c>
      <c r="I90" s="26" t="s">
        <v>2023</v>
      </c>
      <c r="J90" s="26" t="s">
        <v>2029</v>
      </c>
      <c r="K90" s="26" t="s">
        <v>2030</v>
      </c>
      <c r="L90" s="26" t="s">
        <v>2031</v>
      </c>
    </row>
    <row r="91" spans="1:12" ht="12.75" customHeight="1">
      <c r="A91" s="16"/>
      <c r="B91" s="26" t="s">
        <v>33</v>
      </c>
      <c r="C91" s="26" t="s">
        <v>1069</v>
      </c>
      <c r="D91" s="26" t="s">
        <v>542</v>
      </c>
      <c r="E91" s="26">
        <v>10</v>
      </c>
      <c r="F91" s="26" t="s">
        <v>1853</v>
      </c>
      <c r="G91" s="26" t="s">
        <v>1854</v>
      </c>
      <c r="H91" s="26" t="s">
        <v>1707</v>
      </c>
      <c r="I91" s="26" t="s">
        <v>2023</v>
      </c>
      <c r="J91" s="26" t="s">
        <v>2032</v>
      </c>
      <c r="K91" s="26" t="s">
        <v>2033</v>
      </c>
      <c r="L91" s="26" t="s">
        <v>2034</v>
      </c>
    </row>
    <row r="92" spans="1:12" ht="12.75" customHeight="1">
      <c r="A92" s="16"/>
      <c r="B92" s="26" t="s">
        <v>33</v>
      </c>
      <c r="C92" s="26" t="s">
        <v>1069</v>
      </c>
      <c r="D92" s="26" t="s">
        <v>542</v>
      </c>
      <c r="E92" s="26">
        <v>11</v>
      </c>
      <c r="F92" s="26" t="s">
        <v>1751</v>
      </c>
      <c r="G92" s="26" t="s">
        <v>1752</v>
      </c>
      <c r="H92" s="26" t="s">
        <v>1661</v>
      </c>
      <c r="I92" s="26" t="s">
        <v>2035</v>
      </c>
      <c r="J92" s="26" t="s">
        <v>2036</v>
      </c>
      <c r="K92" s="26" t="s">
        <v>2037</v>
      </c>
      <c r="L92" s="26" t="s">
        <v>2038</v>
      </c>
    </row>
    <row r="93" spans="1:12" ht="12.75" customHeight="1">
      <c r="A93" s="16"/>
      <c r="B93" s="26" t="s">
        <v>33</v>
      </c>
      <c r="C93" s="26" t="s">
        <v>1069</v>
      </c>
      <c r="D93" s="26" t="s">
        <v>542</v>
      </c>
      <c r="E93" s="26">
        <v>12</v>
      </c>
      <c r="F93" s="26" t="s">
        <v>1751</v>
      </c>
      <c r="G93" s="26" t="s">
        <v>1752</v>
      </c>
      <c r="H93" s="26" t="s">
        <v>1661</v>
      </c>
      <c r="I93" s="26" t="s">
        <v>2035</v>
      </c>
      <c r="J93" s="26" t="s">
        <v>2039</v>
      </c>
      <c r="K93" s="26" t="s">
        <v>2037</v>
      </c>
      <c r="L93" s="26" t="s">
        <v>2038</v>
      </c>
    </row>
    <row r="94" spans="1:12" ht="12.75" customHeight="1">
      <c r="A94" s="16"/>
      <c r="B94" s="26" t="s">
        <v>33</v>
      </c>
      <c r="C94" s="26" t="s">
        <v>1069</v>
      </c>
      <c r="D94" s="26" t="s">
        <v>1171</v>
      </c>
      <c r="E94" s="26">
        <v>1</v>
      </c>
      <c r="F94" s="26" t="s">
        <v>1797</v>
      </c>
      <c r="G94" s="26" t="s">
        <v>1798</v>
      </c>
      <c r="H94" s="26" t="s">
        <v>2040</v>
      </c>
      <c r="I94" s="26" t="s">
        <v>2041</v>
      </c>
      <c r="J94" s="26" t="s">
        <v>2042</v>
      </c>
      <c r="K94" s="26" t="s">
        <v>2043</v>
      </c>
      <c r="L94" s="26" t="s">
        <v>2044</v>
      </c>
    </row>
    <row r="95" spans="1:12" ht="12.75" customHeight="1">
      <c r="A95" s="16"/>
      <c r="B95" s="26" t="s">
        <v>33</v>
      </c>
      <c r="C95" s="26" t="s">
        <v>1069</v>
      </c>
      <c r="D95" s="26" t="s">
        <v>1171</v>
      </c>
      <c r="E95" s="26">
        <v>2</v>
      </c>
      <c r="F95" s="26" t="s">
        <v>1797</v>
      </c>
      <c r="G95" s="26" t="s">
        <v>1798</v>
      </c>
      <c r="H95" s="26" t="s">
        <v>2040</v>
      </c>
      <c r="I95" s="26" t="s">
        <v>2041</v>
      </c>
      <c r="J95" s="26" t="s">
        <v>2045</v>
      </c>
      <c r="K95" s="26" t="s">
        <v>2046</v>
      </c>
      <c r="L95" s="26" t="s">
        <v>2047</v>
      </c>
    </row>
    <row r="96" spans="1:12" ht="12.75" customHeight="1">
      <c r="A96" s="16"/>
      <c r="B96" s="26" t="s">
        <v>33</v>
      </c>
      <c r="C96" s="26" t="s">
        <v>1069</v>
      </c>
      <c r="D96" s="26" t="s">
        <v>1171</v>
      </c>
      <c r="E96" s="26">
        <v>3</v>
      </c>
      <c r="F96" s="26" t="s">
        <v>1751</v>
      </c>
      <c r="G96" s="26" t="s">
        <v>1752</v>
      </c>
      <c r="H96" s="26" t="s">
        <v>2048</v>
      </c>
      <c r="I96" s="26" t="s">
        <v>2049</v>
      </c>
      <c r="J96" s="26" t="s">
        <v>2050</v>
      </c>
      <c r="K96" s="26" t="s">
        <v>2051</v>
      </c>
      <c r="L96" s="26" t="s">
        <v>2052</v>
      </c>
    </row>
    <row r="97" spans="1:12" ht="12.75" customHeight="1">
      <c r="A97" s="16"/>
      <c r="B97" s="26" t="s">
        <v>33</v>
      </c>
      <c r="C97" s="26" t="s">
        <v>1069</v>
      </c>
      <c r="D97" s="26" t="s">
        <v>1171</v>
      </c>
      <c r="E97" s="26">
        <v>4</v>
      </c>
      <c r="F97" s="26" t="s">
        <v>1783</v>
      </c>
      <c r="G97" s="26" t="s">
        <v>1784</v>
      </c>
      <c r="H97" s="26" t="s">
        <v>2048</v>
      </c>
      <c r="I97" s="26" t="s">
        <v>2049</v>
      </c>
      <c r="J97" s="26" t="s">
        <v>2053</v>
      </c>
      <c r="K97" s="26" t="s">
        <v>2054</v>
      </c>
      <c r="L97" s="26" t="s">
        <v>2055</v>
      </c>
    </row>
    <row r="98" spans="1:12" ht="12.75" customHeight="1">
      <c r="A98" s="16"/>
      <c r="B98" s="26" t="s">
        <v>33</v>
      </c>
      <c r="C98" s="26" t="s">
        <v>1069</v>
      </c>
      <c r="D98" s="26" t="s">
        <v>1171</v>
      </c>
      <c r="E98" s="26">
        <v>5</v>
      </c>
      <c r="F98" s="26" t="s">
        <v>1783</v>
      </c>
      <c r="G98" s="26" t="s">
        <v>1784</v>
      </c>
      <c r="H98" s="26" t="s">
        <v>2048</v>
      </c>
      <c r="I98" s="26" t="s">
        <v>2049</v>
      </c>
      <c r="J98" s="26" t="s">
        <v>2056</v>
      </c>
      <c r="K98" s="26" t="s">
        <v>2057</v>
      </c>
      <c r="L98" s="26" t="s">
        <v>2058</v>
      </c>
    </row>
    <row r="99" spans="1:12" ht="12.75" customHeight="1">
      <c r="A99" s="16"/>
      <c r="B99" s="26" t="s">
        <v>33</v>
      </c>
      <c r="C99" s="26" t="s">
        <v>1069</v>
      </c>
      <c r="D99" s="26" t="s">
        <v>1171</v>
      </c>
      <c r="E99" s="26">
        <v>6</v>
      </c>
      <c r="F99" s="26" t="s">
        <v>1783</v>
      </c>
      <c r="G99" s="26" t="s">
        <v>1784</v>
      </c>
      <c r="H99" s="26" t="s">
        <v>1661</v>
      </c>
      <c r="I99" s="26" t="s">
        <v>2059</v>
      </c>
      <c r="J99" s="26" t="s">
        <v>2060</v>
      </c>
      <c r="K99" s="26" t="s">
        <v>2061</v>
      </c>
      <c r="L99" s="26" t="s">
        <v>2062</v>
      </c>
    </row>
    <row r="100" spans="1:12" ht="12.75" customHeight="1">
      <c r="A100" s="16"/>
      <c r="B100" s="26" t="s">
        <v>33</v>
      </c>
      <c r="C100" s="26" t="s">
        <v>1069</v>
      </c>
      <c r="D100" s="26" t="s">
        <v>1171</v>
      </c>
      <c r="E100" s="26">
        <v>7</v>
      </c>
      <c r="F100" s="26" t="s">
        <v>1783</v>
      </c>
      <c r="G100" s="26" t="s">
        <v>1784</v>
      </c>
      <c r="H100" s="26" t="s">
        <v>1661</v>
      </c>
      <c r="I100" s="26" t="s">
        <v>2063</v>
      </c>
      <c r="J100" s="26" t="s">
        <v>2064</v>
      </c>
      <c r="K100" s="26" t="s">
        <v>2065</v>
      </c>
      <c r="L100" s="26" t="s">
        <v>2066</v>
      </c>
    </row>
    <row r="101" spans="1:12" ht="12.75" customHeight="1">
      <c r="A101" s="16"/>
      <c r="B101" s="26" t="s">
        <v>33</v>
      </c>
      <c r="C101" s="26" t="s">
        <v>1069</v>
      </c>
      <c r="D101" s="26" t="s">
        <v>1171</v>
      </c>
      <c r="E101" s="26">
        <v>8</v>
      </c>
      <c r="F101" s="26" t="s">
        <v>1797</v>
      </c>
      <c r="G101" s="26" t="s">
        <v>1798</v>
      </c>
      <c r="H101" s="26" t="s">
        <v>1661</v>
      </c>
      <c r="I101" s="26" t="s">
        <v>2063</v>
      </c>
      <c r="J101" s="26" t="s">
        <v>2067</v>
      </c>
      <c r="K101" s="26" t="s">
        <v>2068</v>
      </c>
      <c r="L101" s="26" t="s">
        <v>2069</v>
      </c>
    </row>
    <row r="102" spans="1:12" ht="12.75" customHeight="1">
      <c r="A102" s="16"/>
      <c r="B102" s="26" t="s">
        <v>33</v>
      </c>
      <c r="C102" s="26" t="s">
        <v>1069</v>
      </c>
      <c r="D102" s="26" t="s">
        <v>1171</v>
      </c>
      <c r="E102" s="26">
        <v>9</v>
      </c>
      <c r="F102" s="26" t="s">
        <v>1797</v>
      </c>
      <c r="G102" s="26" t="s">
        <v>1798</v>
      </c>
      <c r="H102" s="26" t="s">
        <v>2070</v>
      </c>
      <c r="I102" s="26" t="s">
        <v>2071</v>
      </c>
      <c r="J102" s="26" t="s">
        <v>2072</v>
      </c>
      <c r="K102" s="26" t="s">
        <v>2073</v>
      </c>
      <c r="L102" s="26" t="s">
        <v>2074</v>
      </c>
    </row>
    <row r="103" spans="1:12" ht="12.75" customHeight="1">
      <c r="A103" s="16"/>
      <c r="B103" s="26" t="s">
        <v>33</v>
      </c>
      <c r="C103" s="26" t="s">
        <v>1069</v>
      </c>
      <c r="D103" s="26" t="s">
        <v>1171</v>
      </c>
      <c r="E103" s="26">
        <v>10</v>
      </c>
      <c r="F103" s="26" t="s">
        <v>1751</v>
      </c>
      <c r="G103" s="26" t="s">
        <v>1752</v>
      </c>
      <c r="H103" s="26" t="s">
        <v>2070</v>
      </c>
      <c r="I103" s="26" t="s">
        <v>2075</v>
      </c>
      <c r="J103" s="26" t="s">
        <v>2076</v>
      </c>
      <c r="K103" s="26" t="s">
        <v>2077</v>
      </c>
      <c r="L103" s="26" t="s">
        <v>2078</v>
      </c>
    </row>
    <row r="104" spans="1:12" ht="12.75" customHeight="1">
      <c r="A104" s="16"/>
      <c r="B104" s="26" t="s">
        <v>33</v>
      </c>
      <c r="C104" s="26" t="s">
        <v>1069</v>
      </c>
      <c r="D104" s="26" t="s">
        <v>1171</v>
      </c>
      <c r="E104" s="26">
        <v>11</v>
      </c>
      <c r="F104" s="26" t="s">
        <v>1783</v>
      </c>
      <c r="G104" s="26" t="s">
        <v>1784</v>
      </c>
      <c r="H104" s="26" t="s">
        <v>2070</v>
      </c>
      <c r="I104" s="26" t="s">
        <v>2079</v>
      </c>
      <c r="J104" s="26" t="s">
        <v>2080</v>
      </c>
      <c r="K104" s="26" t="s">
        <v>2081</v>
      </c>
      <c r="L104" s="26" t="s">
        <v>2082</v>
      </c>
    </row>
    <row r="105" spans="1:12" ht="12.75" customHeight="1">
      <c r="A105" s="16"/>
      <c r="B105" s="26" t="s">
        <v>33</v>
      </c>
      <c r="C105" s="26" t="s">
        <v>1069</v>
      </c>
      <c r="D105" s="26" t="s">
        <v>1171</v>
      </c>
      <c r="E105" s="26">
        <v>12</v>
      </c>
      <c r="F105" s="26" t="s">
        <v>1797</v>
      </c>
      <c r="G105" s="26" t="s">
        <v>1798</v>
      </c>
      <c r="H105" s="26" t="s">
        <v>2070</v>
      </c>
      <c r="I105" s="26" t="s">
        <v>2079</v>
      </c>
      <c r="J105" s="26" t="s">
        <v>2083</v>
      </c>
      <c r="K105" s="26" t="s">
        <v>2084</v>
      </c>
      <c r="L105" s="26" t="s">
        <v>2085</v>
      </c>
    </row>
  </sheetData>
  <autoFilter ref="A1:L105"/>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sheetPr>
    <tabColor rgb="FFFFBFFC"/>
  </sheetPr>
  <dimension ref="A1:K79"/>
  <sheetViews>
    <sheetView workbookViewId="0">
      <pane ySplit="1" topLeftCell="A2" activePane="bottomLeft" state="frozen"/>
      <selection pane="bottomLeft" activeCell="B3" sqref="B3"/>
    </sheetView>
  </sheetViews>
  <sheetFormatPr defaultColWidth="12.5703125" defaultRowHeight="15" customHeight="1"/>
  <cols>
    <col min="1" max="1" width="18" customWidth="1"/>
    <col min="2" max="2" width="8.85546875" customWidth="1"/>
    <col min="3" max="3" width="8.42578125" customWidth="1"/>
    <col min="4" max="4" width="12.85546875" customWidth="1"/>
    <col min="5" max="5" width="8.85546875" customWidth="1"/>
    <col min="6" max="6" width="40" customWidth="1"/>
    <col min="7" max="7" width="21.42578125" customWidth="1"/>
    <col min="8" max="8" width="22.7109375" customWidth="1"/>
    <col min="9" max="9" width="27.7109375" customWidth="1"/>
    <col min="10" max="10" width="26.28515625" customWidth="1"/>
    <col min="11" max="11" width="26.140625" customWidth="1"/>
  </cols>
  <sheetData>
    <row r="1" spans="1:11">
      <c r="A1" s="24" t="s">
        <v>20</v>
      </c>
      <c r="B1" s="25" t="s">
        <v>21</v>
      </c>
      <c r="C1" s="24" t="s">
        <v>22</v>
      </c>
      <c r="D1" s="25" t="s">
        <v>23</v>
      </c>
      <c r="E1" s="25" t="s">
        <v>24</v>
      </c>
      <c r="F1" s="24" t="s">
        <v>2086</v>
      </c>
      <c r="G1" s="14" t="s">
        <v>835</v>
      </c>
      <c r="H1" s="14" t="s">
        <v>1464</v>
      </c>
      <c r="I1" s="14" t="s">
        <v>30</v>
      </c>
      <c r="J1" s="14" t="s">
        <v>31</v>
      </c>
      <c r="K1" s="13" t="s">
        <v>2087</v>
      </c>
    </row>
    <row r="2" spans="1:11">
      <c r="A2" s="16"/>
      <c r="B2" s="16" t="s">
        <v>33</v>
      </c>
      <c r="C2" s="16" t="s">
        <v>1069</v>
      </c>
      <c r="D2" s="16" t="s">
        <v>2088</v>
      </c>
      <c r="E2" s="16">
        <v>1</v>
      </c>
      <c r="F2" s="9" t="s">
        <v>2089</v>
      </c>
      <c r="G2" s="9" t="s">
        <v>2090</v>
      </c>
      <c r="H2" s="9" t="s">
        <v>2091</v>
      </c>
      <c r="I2" s="9" t="s">
        <v>2092</v>
      </c>
      <c r="J2" s="9" t="s">
        <v>2093</v>
      </c>
      <c r="K2" s="9"/>
    </row>
    <row r="3" spans="1:11">
      <c r="A3" s="16"/>
      <c r="B3" s="16" t="s">
        <v>33</v>
      </c>
      <c r="C3" s="16" t="s">
        <v>1069</v>
      </c>
      <c r="D3" s="16" t="s">
        <v>2088</v>
      </c>
      <c r="E3" s="16">
        <v>2</v>
      </c>
      <c r="F3" s="9" t="s">
        <v>2094</v>
      </c>
      <c r="G3" s="9" t="s">
        <v>2095</v>
      </c>
      <c r="H3" s="9" t="s">
        <v>2096</v>
      </c>
      <c r="I3" s="9" t="s">
        <v>2097</v>
      </c>
      <c r="J3" s="9" t="s">
        <v>2098</v>
      </c>
      <c r="K3" s="9"/>
    </row>
    <row r="4" spans="1:11">
      <c r="A4" s="16"/>
      <c r="B4" s="16" t="s">
        <v>33</v>
      </c>
      <c r="C4" s="16" t="s">
        <v>1069</v>
      </c>
      <c r="D4" s="16" t="s">
        <v>2088</v>
      </c>
      <c r="E4" s="16">
        <v>3</v>
      </c>
      <c r="F4" s="9" t="s">
        <v>2094</v>
      </c>
      <c r="G4" s="9" t="s">
        <v>2095</v>
      </c>
      <c r="H4" s="9" t="s">
        <v>2099</v>
      </c>
      <c r="I4" s="9" t="s">
        <v>2100</v>
      </c>
      <c r="J4" s="9" t="s">
        <v>2101</v>
      </c>
      <c r="K4" s="9"/>
    </row>
    <row r="5" spans="1:11">
      <c r="A5" s="16"/>
      <c r="B5" s="16" t="s">
        <v>33</v>
      </c>
      <c r="C5" s="16" t="s">
        <v>1069</v>
      </c>
      <c r="D5" s="16" t="s">
        <v>2088</v>
      </c>
      <c r="E5" s="16">
        <v>4</v>
      </c>
      <c r="F5" s="9" t="s">
        <v>2102</v>
      </c>
      <c r="G5" s="9" t="s">
        <v>2103</v>
      </c>
      <c r="H5" s="9" t="s">
        <v>2104</v>
      </c>
      <c r="I5" s="9" t="s">
        <v>2105</v>
      </c>
      <c r="J5" s="9" t="s">
        <v>2106</v>
      </c>
      <c r="K5" s="9"/>
    </row>
    <row r="6" spans="1:11">
      <c r="A6" s="16"/>
      <c r="B6" s="16" t="s">
        <v>33</v>
      </c>
      <c r="C6" s="16" t="s">
        <v>1069</v>
      </c>
      <c r="D6" s="16" t="s">
        <v>2088</v>
      </c>
      <c r="E6" s="16">
        <v>5</v>
      </c>
      <c r="F6" s="9" t="s">
        <v>2094</v>
      </c>
      <c r="G6" s="9" t="s">
        <v>2107</v>
      </c>
      <c r="H6" s="9" t="s">
        <v>2108</v>
      </c>
      <c r="I6" s="9" t="s">
        <v>2109</v>
      </c>
      <c r="J6" s="9" t="s">
        <v>2110</v>
      </c>
      <c r="K6" s="9"/>
    </row>
    <row r="7" spans="1:11">
      <c r="A7" s="16"/>
      <c r="B7" s="16" t="s">
        <v>33</v>
      </c>
      <c r="C7" s="16" t="s">
        <v>1069</v>
      </c>
      <c r="D7" s="16" t="s">
        <v>2088</v>
      </c>
      <c r="E7" s="16">
        <v>6</v>
      </c>
      <c r="F7" s="9" t="s">
        <v>2094</v>
      </c>
      <c r="G7" s="9" t="s">
        <v>2111</v>
      </c>
      <c r="H7" s="9" t="s">
        <v>2112</v>
      </c>
      <c r="I7" s="9" t="s">
        <v>2113</v>
      </c>
      <c r="J7" s="9" t="s">
        <v>2114</v>
      </c>
      <c r="K7" s="9"/>
    </row>
    <row r="8" spans="1:11">
      <c r="A8" s="16"/>
      <c r="B8" s="16" t="s">
        <v>33</v>
      </c>
      <c r="C8" s="16" t="s">
        <v>1069</v>
      </c>
      <c r="D8" s="16" t="s">
        <v>2088</v>
      </c>
      <c r="E8" s="16">
        <v>7</v>
      </c>
      <c r="F8" s="9" t="s">
        <v>2102</v>
      </c>
      <c r="G8" s="9" t="s">
        <v>2115</v>
      </c>
      <c r="H8" s="9" t="s">
        <v>2116</v>
      </c>
      <c r="I8" s="9" t="s">
        <v>2117</v>
      </c>
      <c r="J8" s="9" t="s">
        <v>2118</v>
      </c>
      <c r="K8" s="9"/>
    </row>
    <row r="9" spans="1:11">
      <c r="A9" s="16" t="s">
        <v>1750</v>
      </c>
      <c r="B9" s="16" t="s">
        <v>33</v>
      </c>
      <c r="C9" s="16" t="s">
        <v>1069</v>
      </c>
      <c r="D9" s="16" t="s">
        <v>2119</v>
      </c>
      <c r="E9" s="16">
        <v>1</v>
      </c>
      <c r="F9" s="9" t="s">
        <v>2102</v>
      </c>
      <c r="G9" s="9" t="s">
        <v>2103</v>
      </c>
      <c r="H9" s="9" t="s">
        <v>2120</v>
      </c>
      <c r="I9" s="9" t="s">
        <v>2121</v>
      </c>
      <c r="J9" s="9" t="s">
        <v>2122</v>
      </c>
      <c r="K9" s="9"/>
    </row>
    <row r="10" spans="1:11">
      <c r="A10" s="16"/>
      <c r="B10" s="16" t="s">
        <v>33</v>
      </c>
      <c r="C10" s="16" t="s">
        <v>1069</v>
      </c>
      <c r="D10" s="16" t="s">
        <v>2119</v>
      </c>
      <c r="E10" s="16">
        <v>2</v>
      </c>
      <c r="F10" s="9" t="s">
        <v>2094</v>
      </c>
      <c r="G10" s="9" t="s">
        <v>2095</v>
      </c>
      <c r="H10" s="9" t="s">
        <v>2123</v>
      </c>
      <c r="I10" s="9" t="s">
        <v>2124</v>
      </c>
      <c r="J10" s="9" t="s">
        <v>2125</v>
      </c>
      <c r="K10" s="9"/>
    </row>
    <row r="11" spans="1:11">
      <c r="A11" s="16"/>
      <c r="B11" s="16" t="s">
        <v>33</v>
      </c>
      <c r="C11" s="16" t="s">
        <v>1069</v>
      </c>
      <c r="D11" s="16" t="s">
        <v>2119</v>
      </c>
      <c r="E11" s="16">
        <v>3</v>
      </c>
      <c r="F11" s="9" t="s">
        <v>2102</v>
      </c>
      <c r="G11" s="9" t="s">
        <v>2126</v>
      </c>
      <c r="H11" s="9" t="s">
        <v>2127</v>
      </c>
      <c r="I11" s="9" t="s">
        <v>2128</v>
      </c>
      <c r="J11" s="9" t="s">
        <v>2129</v>
      </c>
      <c r="K11" s="9"/>
    </row>
    <row r="12" spans="1:11">
      <c r="A12" s="16"/>
      <c r="B12" s="16" t="s">
        <v>33</v>
      </c>
      <c r="C12" s="16" t="s">
        <v>1069</v>
      </c>
      <c r="D12" s="16" t="s">
        <v>2119</v>
      </c>
      <c r="E12" s="16">
        <v>4</v>
      </c>
      <c r="F12" s="9" t="s">
        <v>2094</v>
      </c>
      <c r="G12" s="9" t="s">
        <v>2095</v>
      </c>
      <c r="H12" s="9" t="s">
        <v>2130</v>
      </c>
      <c r="I12" s="9" t="s">
        <v>2131</v>
      </c>
      <c r="J12" s="9" t="s">
        <v>2132</v>
      </c>
      <c r="K12" s="9"/>
    </row>
    <row r="13" spans="1:11">
      <c r="A13" s="16"/>
      <c r="B13" s="16" t="s">
        <v>33</v>
      </c>
      <c r="C13" s="16" t="s">
        <v>1069</v>
      </c>
      <c r="D13" s="16" t="s">
        <v>2119</v>
      </c>
      <c r="E13" s="16">
        <v>5</v>
      </c>
      <c r="F13" s="9" t="s">
        <v>2102</v>
      </c>
      <c r="G13" s="9" t="s">
        <v>2133</v>
      </c>
      <c r="H13" s="9" t="s">
        <v>2134</v>
      </c>
      <c r="I13" s="9" t="s">
        <v>2135</v>
      </c>
      <c r="J13" s="9" t="s">
        <v>2136</v>
      </c>
      <c r="K13" s="9"/>
    </row>
    <row r="14" spans="1:11">
      <c r="A14" s="16"/>
      <c r="B14" s="16" t="s">
        <v>33</v>
      </c>
      <c r="C14" s="16" t="s">
        <v>1069</v>
      </c>
      <c r="D14" s="16" t="s">
        <v>2119</v>
      </c>
      <c r="E14" s="16">
        <v>6</v>
      </c>
      <c r="F14" s="9" t="s">
        <v>2094</v>
      </c>
      <c r="G14" s="9" t="s">
        <v>2095</v>
      </c>
      <c r="H14" s="9" t="s">
        <v>2137</v>
      </c>
      <c r="I14" s="9" t="s">
        <v>2103</v>
      </c>
      <c r="J14" s="9" t="s">
        <v>2138</v>
      </c>
      <c r="K14" s="9"/>
    </row>
    <row r="15" spans="1:11">
      <c r="A15" s="16"/>
      <c r="B15" s="16" t="s">
        <v>33</v>
      </c>
      <c r="C15" s="16" t="s">
        <v>1069</v>
      </c>
      <c r="D15" s="16" t="s">
        <v>2119</v>
      </c>
      <c r="E15" s="16">
        <v>7</v>
      </c>
      <c r="F15" s="9" t="s">
        <v>2139</v>
      </c>
      <c r="G15" s="9" t="s">
        <v>2095</v>
      </c>
      <c r="H15" s="9" t="s">
        <v>2140</v>
      </c>
      <c r="I15" s="9" t="s">
        <v>2141</v>
      </c>
      <c r="J15" s="9" t="s">
        <v>2142</v>
      </c>
      <c r="K15" s="9"/>
    </row>
    <row r="16" spans="1:11">
      <c r="A16" s="16"/>
      <c r="B16" s="16" t="s">
        <v>33</v>
      </c>
      <c r="C16" s="16" t="s">
        <v>34</v>
      </c>
      <c r="D16" s="26" t="s">
        <v>1070</v>
      </c>
      <c r="E16" s="16">
        <v>1</v>
      </c>
      <c r="F16" s="16" t="s">
        <v>2143</v>
      </c>
      <c r="G16" s="16" t="s">
        <v>2144</v>
      </c>
      <c r="H16" s="16" t="s">
        <v>2145</v>
      </c>
      <c r="I16" s="16" t="s">
        <v>2146</v>
      </c>
      <c r="J16" s="16" t="s">
        <v>2147</v>
      </c>
      <c r="K16" s="33"/>
    </row>
    <row r="17" spans="1:11">
      <c r="A17" s="16"/>
      <c r="B17" s="16" t="s">
        <v>33</v>
      </c>
      <c r="C17" s="16" t="s">
        <v>34</v>
      </c>
      <c r="D17" s="26" t="s">
        <v>1070</v>
      </c>
      <c r="E17" s="16">
        <v>2</v>
      </c>
      <c r="F17" s="16" t="s">
        <v>2143</v>
      </c>
      <c r="G17" s="16" t="s">
        <v>2144</v>
      </c>
      <c r="H17" s="16" t="s">
        <v>2148</v>
      </c>
      <c r="I17" s="16" t="s">
        <v>2149</v>
      </c>
      <c r="J17" s="16" t="s">
        <v>2150</v>
      </c>
      <c r="K17" s="33"/>
    </row>
    <row r="18" spans="1:11">
      <c r="A18" s="16"/>
      <c r="B18" s="16" t="s">
        <v>33</v>
      </c>
      <c r="C18" s="16" t="s">
        <v>34</v>
      </c>
      <c r="D18" s="26" t="s">
        <v>1070</v>
      </c>
      <c r="E18" s="16">
        <v>3</v>
      </c>
      <c r="F18" s="16" t="s">
        <v>2151</v>
      </c>
      <c r="G18" s="16" t="s">
        <v>2152</v>
      </c>
      <c r="H18" s="16" t="s">
        <v>2153</v>
      </c>
      <c r="I18" s="16" t="s">
        <v>2154</v>
      </c>
      <c r="J18" s="16" t="s">
        <v>2155</v>
      </c>
      <c r="K18" s="33"/>
    </row>
    <row r="19" spans="1:11">
      <c r="A19" s="16"/>
      <c r="B19" s="16" t="s">
        <v>33</v>
      </c>
      <c r="C19" s="16" t="s">
        <v>34</v>
      </c>
      <c r="D19" s="26" t="s">
        <v>1070</v>
      </c>
      <c r="E19" s="16">
        <v>4</v>
      </c>
      <c r="F19" s="16" t="s">
        <v>2156</v>
      </c>
      <c r="G19" s="16" t="s">
        <v>2152</v>
      </c>
      <c r="H19" s="16" t="s">
        <v>2157</v>
      </c>
      <c r="I19" s="16" t="s">
        <v>2158</v>
      </c>
      <c r="J19" s="16" t="s">
        <v>2159</v>
      </c>
      <c r="K19" s="34" t="s">
        <v>2160</v>
      </c>
    </row>
    <row r="20" spans="1:11">
      <c r="A20" s="16"/>
      <c r="B20" s="16" t="s">
        <v>33</v>
      </c>
      <c r="C20" s="16" t="s">
        <v>34</v>
      </c>
      <c r="D20" s="26" t="s">
        <v>1070</v>
      </c>
      <c r="E20" s="16">
        <v>5</v>
      </c>
      <c r="F20" s="16" t="s">
        <v>2161</v>
      </c>
      <c r="G20" s="16" t="s">
        <v>2162</v>
      </c>
      <c r="H20" s="16" t="s">
        <v>2163</v>
      </c>
      <c r="I20" s="16" t="s">
        <v>2164</v>
      </c>
      <c r="J20" s="16" t="s">
        <v>2165</v>
      </c>
      <c r="K20" s="33"/>
    </row>
    <row r="21" spans="1:11">
      <c r="A21" s="16"/>
      <c r="B21" s="16" t="s">
        <v>33</v>
      </c>
      <c r="C21" s="16" t="s">
        <v>34</v>
      </c>
      <c r="D21" s="26" t="s">
        <v>1070</v>
      </c>
      <c r="E21" s="16">
        <v>6</v>
      </c>
      <c r="F21" s="16" t="s">
        <v>2161</v>
      </c>
      <c r="G21" s="16" t="s">
        <v>2162</v>
      </c>
      <c r="H21" s="16" t="s">
        <v>2166</v>
      </c>
      <c r="I21" s="16" t="s">
        <v>2167</v>
      </c>
      <c r="J21" s="16" t="s">
        <v>2168</v>
      </c>
      <c r="K21" s="34" t="s">
        <v>2160</v>
      </c>
    </row>
    <row r="22" spans="1:11">
      <c r="A22" s="16"/>
      <c r="B22" s="16" t="s">
        <v>33</v>
      </c>
      <c r="C22" s="16" t="s">
        <v>34</v>
      </c>
      <c r="D22" s="26" t="s">
        <v>1070</v>
      </c>
      <c r="E22" s="16">
        <v>7</v>
      </c>
      <c r="F22" s="16" t="s">
        <v>2161</v>
      </c>
      <c r="G22" s="16" t="s">
        <v>2169</v>
      </c>
      <c r="H22" s="16" t="s">
        <v>2170</v>
      </c>
      <c r="I22" s="16" t="s">
        <v>2171</v>
      </c>
      <c r="J22" s="16" t="s">
        <v>2172</v>
      </c>
      <c r="K22" s="34" t="s">
        <v>2160</v>
      </c>
    </row>
    <row r="23" spans="1:11">
      <c r="A23" s="16"/>
      <c r="B23" s="16" t="s">
        <v>33</v>
      </c>
      <c r="C23" s="16" t="s">
        <v>34</v>
      </c>
      <c r="D23" s="26" t="s">
        <v>1070</v>
      </c>
      <c r="E23" s="16">
        <v>8</v>
      </c>
      <c r="F23" s="16" t="s">
        <v>2173</v>
      </c>
      <c r="G23" s="16" t="s">
        <v>2169</v>
      </c>
      <c r="H23" s="16" t="s">
        <v>2174</v>
      </c>
      <c r="I23" s="16" t="s">
        <v>2175</v>
      </c>
      <c r="J23" s="16" t="s">
        <v>2176</v>
      </c>
      <c r="K23" s="33"/>
    </row>
    <row r="24" spans="1:11">
      <c r="A24" s="16"/>
      <c r="B24" s="16" t="s">
        <v>33</v>
      </c>
      <c r="C24" s="16" t="s">
        <v>34</v>
      </c>
      <c r="D24" s="26" t="s">
        <v>1070</v>
      </c>
      <c r="E24" s="16">
        <v>9</v>
      </c>
      <c r="F24" s="16" t="s">
        <v>2173</v>
      </c>
      <c r="G24" s="16" t="s">
        <v>2177</v>
      </c>
      <c r="H24" s="16" t="s">
        <v>2178</v>
      </c>
      <c r="I24" s="16" t="s">
        <v>2179</v>
      </c>
      <c r="J24" s="16" t="s">
        <v>2180</v>
      </c>
      <c r="K24" s="33"/>
    </row>
    <row r="25" spans="1:11">
      <c r="A25" s="16"/>
      <c r="B25" s="16" t="s">
        <v>33</v>
      </c>
      <c r="C25" s="16" t="s">
        <v>34</v>
      </c>
      <c r="D25" s="26" t="s">
        <v>1070</v>
      </c>
      <c r="E25" s="16">
        <v>10</v>
      </c>
      <c r="F25" s="16" t="s">
        <v>2181</v>
      </c>
      <c r="G25" s="16" t="s">
        <v>2177</v>
      </c>
      <c r="H25" s="16" t="s">
        <v>2182</v>
      </c>
      <c r="I25" s="16" t="s">
        <v>2183</v>
      </c>
      <c r="J25" s="16" t="s">
        <v>2184</v>
      </c>
      <c r="K25" s="33"/>
    </row>
    <row r="26" spans="1:11">
      <c r="A26" s="16"/>
      <c r="B26" s="16" t="s">
        <v>33</v>
      </c>
      <c r="C26" s="16" t="s">
        <v>34</v>
      </c>
      <c r="D26" s="26" t="s">
        <v>1070</v>
      </c>
      <c r="E26" s="16">
        <v>11</v>
      </c>
      <c r="F26" s="16" t="s">
        <v>2181</v>
      </c>
      <c r="G26" s="16" t="s">
        <v>2185</v>
      </c>
      <c r="H26" s="16" t="s">
        <v>2186</v>
      </c>
      <c r="I26" s="16" t="s">
        <v>2187</v>
      </c>
      <c r="J26" s="16" t="s">
        <v>2188</v>
      </c>
      <c r="K26" s="33"/>
    </row>
    <row r="27" spans="1:11">
      <c r="A27" s="16"/>
      <c r="B27" s="16" t="s">
        <v>33</v>
      </c>
      <c r="C27" s="16" t="s">
        <v>34</v>
      </c>
      <c r="D27" s="26" t="s">
        <v>1070</v>
      </c>
      <c r="E27" s="16">
        <v>12</v>
      </c>
      <c r="F27" s="16" t="s">
        <v>2181</v>
      </c>
      <c r="G27" s="16" t="s">
        <v>2185</v>
      </c>
      <c r="H27" s="16" t="s">
        <v>2189</v>
      </c>
      <c r="I27" s="16" t="s">
        <v>2190</v>
      </c>
      <c r="J27" s="16" t="s">
        <v>2191</v>
      </c>
      <c r="K27" s="33"/>
    </row>
    <row r="28" spans="1:11">
      <c r="A28" s="16"/>
      <c r="B28" s="16" t="s">
        <v>33</v>
      </c>
      <c r="C28" s="16" t="s">
        <v>34</v>
      </c>
      <c r="D28" s="26" t="s">
        <v>1070</v>
      </c>
      <c r="E28" s="16">
        <v>13</v>
      </c>
      <c r="F28" s="16" t="s">
        <v>2181</v>
      </c>
      <c r="G28" s="16" t="s">
        <v>2185</v>
      </c>
      <c r="H28" s="16" t="s">
        <v>2192</v>
      </c>
      <c r="I28" s="16" t="s">
        <v>2193</v>
      </c>
      <c r="J28" s="16" t="s">
        <v>2194</v>
      </c>
      <c r="K28" s="34" t="s">
        <v>2160</v>
      </c>
    </row>
    <row r="29" spans="1:11">
      <c r="A29" s="16"/>
      <c r="B29" s="16" t="s">
        <v>33</v>
      </c>
      <c r="C29" s="16" t="s">
        <v>34</v>
      </c>
      <c r="D29" s="26" t="s">
        <v>1070</v>
      </c>
      <c r="E29" s="16">
        <v>14</v>
      </c>
      <c r="F29" s="16" t="s">
        <v>2195</v>
      </c>
      <c r="G29" s="16" t="s">
        <v>2185</v>
      </c>
      <c r="H29" s="16" t="s">
        <v>2196</v>
      </c>
      <c r="I29" s="16" t="s">
        <v>2197</v>
      </c>
      <c r="J29" s="16" t="s">
        <v>2198</v>
      </c>
      <c r="K29" s="33"/>
    </row>
    <row r="30" spans="1:11">
      <c r="A30" s="16"/>
      <c r="B30" s="16" t="s">
        <v>33</v>
      </c>
      <c r="C30" s="16" t="s">
        <v>34</v>
      </c>
      <c r="D30" s="16" t="s">
        <v>1106</v>
      </c>
      <c r="E30" s="16">
        <v>1</v>
      </c>
      <c r="F30" s="16" t="s">
        <v>2195</v>
      </c>
      <c r="G30" s="16" t="s">
        <v>2199</v>
      </c>
      <c r="H30" s="16" t="s">
        <v>2200</v>
      </c>
      <c r="I30" s="16" t="s">
        <v>2201</v>
      </c>
      <c r="J30" s="16" t="s">
        <v>2202</v>
      </c>
      <c r="K30" s="33"/>
    </row>
    <row r="31" spans="1:11">
      <c r="A31" s="16"/>
      <c r="B31" s="16" t="s">
        <v>33</v>
      </c>
      <c r="C31" s="16" t="s">
        <v>34</v>
      </c>
      <c r="D31" s="16" t="s">
        <v>1106</v>
      </c>
      <c r="E31" s="16">
        <v>2</v>
      </c>
      <c r="F31" s="16" t="s">
        <v>2102</v>
      </c>
      <c r="G31" s="16" t="s">
        <v>2203</v>
      </c>
      <c r="H31" s="16" t="s">
        <v>2204</v>
      </c>
      <c r="I31" s="16" t="s">
        <v>2201</v>
      </c>
      <c r="J31" s="16" t="s">
        <v>2205</v>
      </c>
      <c r="K31" s="34" t="s">
        <v>2160</v>
      </c>
    </row>
    <row r="32" spans="1:11">
      <c r="A32" s="16"/>
      <c r="B32" s="16" t="s">
        <v>33</v>
      </c>
      <c r="C32" s="16" t="s">
        <v>34</v>
      </c>
      <c r="D32" s="16" t="s">
        <v>1106</v>
      </c>
      <c r="E32" s="16">
        <v>3</v>
      </c>
      <c r="F32" s="16" t="s">
        <v>2206</v>
      </c>
      <c r="G32" s="16" t="s">
        <v>2207</v>
      </c>
      <c r="H32" s="16" t="s">
        <v>2208</v>
      </c>
      <c r="I32" s="16" t="s">
        <v>2209</v>
      </c>
      <c r="J32" s="16" t="s">
        <v>2210</v>
      </c>
      <c r="K32" s="33"/>
    </row>
    <row r="33" spans="1:11">
      <c r="A33" s="16"/>
      <c r="B33" s="16" t="s">
        <v>33</v>
      </c>
      <c r="C33" s="16" t="s">
        <v>34</v>
      </c>
      <c r="D33" s="16" t="s">
        <v>1106</v>
      </c>
      <c r="E33" s="16">
        <v>4</v>
      </c>
      <c r="F33" s="16" t="s">
        <v>2211</v>
      </c>
      <c r="G33" s="16" t="s">
        <v>2207</v>
      </c>
      <c r="H33" s="16" t="s">
        <v>2212</v>
      </c>
      <c r="I33" s="16" t="s">
        <v>2213</v>
      </c>
      <c r="J33" s="16" t="s">
        <v>2214</v>
      </c>
      <c r="K33" s="33"/>
    </row>
    <row r="34" spans="1:11">
      <c r="A34" s="16"/>
      <c r="B34" s="16" t="s">
        <v>33</v>
      </c>
      <c r="C34" s="16" t="s">
        <v>34</v>
      </c>
      <c r="D34" s="16" t="s">
        <v>1106</v>
      </c>
      <c r="E34" s="16">
        <v>5</v>
      </c>
      <c r="F34" s="16" t="s">
        <v>2211</v>
      </c>
      <c r="G34" s="16" t="s">
        <v>2215</v>
      </c>
      <c r="H34" s="16" t="s">
        <v>2216</v>
      </c>
      <c r="I34" s="16" t="s">
        <v>2217</v>
      </c>
      <c r="J34" s="16" t="s">
        <v>2218</v>
      </c>
      <c r="K34" s="33"/>
    </row>
    <row r="35" spans="1:11">
      <c r="A35" s="16"/>
      <c r="B35" s="16" t="s">
        <v>33</v>
      </c>
      <c r="C35" s="16" t="s">
        <v>34</v>
      </c>
      <c r="D35" s="16" t="s">
        <v>1106</v>
      </c>
      <c r="E35" s="16">
        <v>6</v>
      </c>
      <c r="F35" s="16" t="s">
        <v>2211</v>
      </c>
      <c r="G35" s="16" t="s">
        <v>2215</v>
      </c>
      <c r="H35" s="16" t="s">
        <v>2219</v>
      </c>
      <c r="I35" s="16" t="s">
        <v>2217</v>
      </c>
      <c r="J35" s="16" t="s">
        <v>2218</v>
      </c>
      <c r="K35" s="33"/>
    </row>
    <row r="36" spans="1:11">
      <c r="A36" s="16"/>
      <c r="B36" s="16" t="s">
        <v>33</v>
      </c>
      <c r="C36" s="16" t="s">
        <v>34</v>
      </c>
      <c r="D36" s="16" t="s">
        <v>1106</v>
      </c>
      <c r="E36" s="16">
        <v>7</v>
      </c>
      <c r="F36" s="16" t="s">
        <v>2220</v>
      </c>
      <c r="G36" s="16" t="s">
        <v>2221</v>
      </c>
      <c r="H36" s="16" t="s">
        <v>2222</v>
      </c>
      <c r="I36" s="16" t="s">
        <v>2223</v>
      </c>
      <c r="J36" s="16" t="s">
        <v>2224</v>
      </c>
      <c r="K36" s="33"/>
    </row>
    <row r="37" spans="1:11">
      <c r="A37" s="16"/>
      <c r="B37" s="16" t="s">
        <v>33</v>
      </c>
      <c r="C37" s="16" t="s">
        <v>34</v>
      </c>
      <c r="D37" s="16" t="s">
        <v>1106</v>
      </c>
      <c r="E37" s="16">
        <v>8</v>
      </c>
      <c r="F37" s="16" t="s">
        <v>2225</v>
      </c>
      <c r="G37" s="16" t="s">
        <v>2221</v>
      </c>
      <c r="H37" s="16" t="s">
        <v>2226</v>
      </c>
      <c r="I37" s="16" t="s">
        <v>2227</v>
      </c>
      <c r="J37" s="16" t="s">
        <v>2228</v>
      </c>
      <c r="K37" s="34" t="s">
        <v>2160</v>
      </c>
    </row>
    <row r="38" spans="1:11">
      <c r="A38" s="16"/>
      <c r="B38" s="16" t="s">
        <v>33</v>
      </c>
      <c r="C38" s="16" t="s">
        <v>34</v>
      </c>
      <c r="D38" s="16" t="s">
        <v>1106</v>
      </c>
      <c r="E38" s="16">
        <v>9</v>
      </c>
      <c r="F38" s="16" t="s">
        <v>2206</v>
      </c>
      <c r="G38" s="16" t="s">
        <v>2229</v>
      </c>
      <c r="H38" s="16" t="s">
        <v>2230</v>
      </c>
      <c r="I38" s="16" t="s">
        <v>2231</v>
      </c>
      <c r="J38" s="16" t="s">
        <v>2232</v>
      </c>
      <c r="K38" s="33"/>
    </row>
    <row r="39" spans="1:11">
      <c r="A39" s="16"/>
      <c r="B39" s="16" t="s">
        <v>33</v>
      </c>
      <c r="C39" s="16" t="s">
        <v>34</v>
      </c>
      <c r="D39" s="16" t="s">
        <v>1106</v>
      </c>
      <c r="E39" s="16">
        <v>10</v>
      </c>
      <c r="F39" s="16" t="s">
        <v>2102</v>
      </c>
      <c r="G39" s="16" t="s">
        <v>2229</v>
      </c>
      <c r="H39" s="16" t="s">
        <v>2233</v>
      </c>
      <c r="I39" s="16" t="s">
        <v>2234</v>
      </c>
      <c r="J39" s="16" t="s">
        <v>2235</v>
      </c>
      <c r="K39" s="34" t="s">
        <v>2160</v>
      </c>
    </row>
    <row r="40" spans="1:11">
      <c r="A40" s="16"/>
      <c r="B40" s="16" t="s">
        <v>33</v>
      </c>
      <c r="C40" s="16" t="s">
        <v>34</v>
      </c>
      <c r="D40" s="16" t="s">
        <v>1106</v>
      </c>
      <c r="E40" s="16">
        <v>11</v>
      </c>
      <c r="F40" s="16" t="s">
        <v>2102</v>
      </c>
      <c r="G40" s="16" t="s">
        <v>2236</v>
      </c>
      <c r="H40" s="16" t="s">
        <v>2237</v>
      </c>
      <c r="I40" s="16" t="s">
        <v>2238</v>
      </c>
      <c r="J40" s="16" t="s">
        <v>2239</v>
      </c>
      <c r="K40" s="33"/>
    </row>
    <row r="41" spans="1:11">
      <c r="A41" s="16"/>
      <c r="B41" s="16" t="s">
        <v>33</v>
      </c>
      <c r="C41" s="16" t="s">
        <v>34</v>
      </c>
      <c r="D41" s="16" t="s">
        <v>1106</v>
      </c>
      <c r="E41" s="16">
        <v>12</v>
      </c>
      <c r="F41" s="16" t="s">
        <v>2102</v>
      </c>
      <c r="G41" s="16" t="s">
        <v>2236</v>
      </c>
      <c r="H41" s="16" t="s">
        <v>2240</v>
      </c>
      <c r="I41" s="16" t="s">
        <v>2241</v>
      </c>
      <c r="J41" s="16" t="s">
        <v>2242</v>
      </c>
      <c r="K41" s="33"/>
    </row>
    <row r="42" spans="1:11">
      <c r="A42" s="16" t="s">
        <v>1750</v>
      </c>
      <c r="B42" s="16" t="s">
        <v>33</v>
      </c>
      <c r="C42" s="16" t="s">
        <v>34</v>
      </c>
      <c r="D42" s="16" t="s">
        <v>1106</v>
      </c>
      <c r="E42" s="16">
        <v>13</v>
      </c>
      <c r="F42" s="16" t="s">
        <v>2102</v>
      </c>
      <c r="G42" s="16" t="s">
        <v>2243</v>
      </c>
      <c r="H42" s="16" t="s">
        <v>2244</v>
      </c>
      <c r="I42" s="16" t="s">
        <v>2245</v>
      </c>
      <c r="J42" s="16" t="s">
        <v>2246</v>
      </c>
      <c r="K42" s="33"/>
    </row>
    <row r="43" spans="1:11">
      <c r="A43" s="16" t="s">
        <v>1750</v>
      </c>
      <c r="B43" s="16" t="s">
        <v>33</v>
      </c>
      <c r="C43" s="16" t="s">
        <v>34</v>
      </c>
      <c r="D43" s="16" t="s">
        <v>1106</v>
      </c>
      <c r="E43" s="16">
        <v>14</v>
      </c>
      <c r="F43" s="16" t="s">
        <v>2139</v>
      </c>
      <c r="G43" s="16" t="s">
        <v>2243</v>
      </c>
      <c r="H43" s="16" t="s">
        <v>2247</v>
      </c>
      <c r="I43" s="16" t="s">
        <v>2248</v>
      </c>
      <c r="J43" s="16" t="s">
        <v>2249</v>
      </c>
      <c r="K43" s="33"/>
    </row>
    <row r="44" spans="1:11">
      <c r="A44" s="16"/>
      <c r="B44" s="26" t="s">
        <v>33</v>
      </c>
      <c r="C44" s="26" t="s">
        <v>1069</v>
      </c>
      <c r="D44" s="26" t="s">
        <v>542</v>
      </c>
      <c r="E44" s="26">
        <v>1</v>
      </c>
      <c r="F44" s="26" t="s">
        <v>2139</v>
      </c>
      <c r="G44" s="26" t="s">
        <v>2250</v>
      </c>
      <c r="H44" s="26" t="s">
        <v>2251</v>
      </c>
      <c r="I44" s="26" t="s">
        <v>2252</v>
      </c>
      <c r="J44" s="26" t="s">
        <v>2253</v>
      </c>
      <c r="K44" s="33"/>
    </row>
    <row r="45" spans="1:11">
      <c r="A45" s="16"/>
      <c r="B45" s="26" t="s">
        <v>33</v>
      </c>
      <c r="C45" s="26" t="s">
        <v>1069</v>
      </c>
      <c r="D45" s="26" t="s">
        <v>542</v>
      </c>
      <c r="E45" s="26">
        <v>2</v>
      </c>
      <c r="F45" s="26" t="s">
        <v>2195</v>
      </c>
      <c r="G45" s="26" t="s">
        <v>2254</v>
      </c>
      <c r="H45" s="26" t="s">
        <v>2255</v>
      </c>
      <c r="I45" s="26" t="s">
        <v>2256</v>
      </c>
      <c r="J45" s="26" t="s">
        <v>2257</v>
      </c>
      <c r="K45" s="33"/>
    </row>
    <row r="46" spans="1:11">
      <c r="A46" s="16"/>
      <c r="B46" s="26" t="s">
        <v>33</v>
      </c>
      <c r="C46" s="26" t="s">
        <v>1069</v>
      </c>
      <c r="D46" s="26" t="s">
        <v>542</v>
      </c>
      <c r="E46" s="26">
        <v>3</v>
      </c>
      <c r="F46" s="26" t="s">
        <v>2258</v>
      </c>
      <c r="G46" s="26" t="s">
        <v>2259</v>
      </c>
      <c r="H46" s="26" t="s">
        <v>2260</v>
      </c>
      <c r="I46" s="26" t="s">
        <v>2261</v>
      </c>
      <c r="J46" s="26" t="s">
        <v>2262</v>
      </c>
      <c r="K46" s="33"/>
    </row>
    <row r="47" spans="1:11">
      <c r="A47" s="16"/>
      <c r="B47" s="26" t="s">
        <v>33</v>
      </c>
      <c r="C47" s="26" t="s">
        <v>1069</v>
      </c>
      <c r="D47" s="26" t="s">
        <v>542</v>
      </c>
      <c r="E47" s="26">
        <v>4</v>
      </c>
      <c r="F47" s="26" t="s">
        <v>2258</v>
      </c>
      <c r="G47" s="26" t="s">
        <v>2263</v>
      </c>
      <c r="H47" s="26" t="s">
        <v>2264</v>
      </c>
      <c r="I47" s="26" t="s">
        <v>2265</v>
      </c>
      <c r="J47" s="26" t="s">
        <v>2266</v>
      </c>
      <c r="K47" s="33"/>
    </row>
    <row r="48" spans="1:11">
      <c r="A48" s="16"/>
      <c r="B48" s="26" t="s">
        <v>33</v>
      </c>
      <c r="C48" s="26" t="s">
        <v>1069</v>
      </c>
      <c r="D48" s="26" t="s">
        <v>542</v>
      </c>
      <c r="E48" s="26">
        <v>5</v>
      </c>
      <c r="F48" s="26" t="s">
        <v>2102</v>
      </c>
      <c r="G48" s="26" t="s">
        <v>2267</v>
      </c>
      <c r="H48" s="26" t="s">
        <v>2268</v>
      </c>
      <c r="I48" s="26" t="s">
        <v>2269</v>
      </c>
      <c r="J48" s="26" t="s">
        <v>2270</v>
      </c>
      <c r="K48" s="33"/>
    </row>
    <row r="49" spans="1:11">
      <c r="A49" s="16"/>
      <c r="B49" s="26" t="s">
        <v>33</v>
      </c>
      <c r="C49" s="26" t="s">
        <v>1069</v>
      </c>
      <c r="D49" s="26" t="s">
        <v>542</v>
      </c>
      <c r="E49" s="26">
        <v>6</v>
      </c>
      <c r="F49" s="26" t="s">
        <v>2102</v>
      </c>
      <c r="G49" s="26" t="s">
        <v>2271</v>
      </c>
      <c r="H49" s="26" t="s">
        <v>2272</v>
      </c>
      <c r="I49" s="26" t="s">
        <v>2273</v>
      </c>
      <c r="J49" s="26" t="s">
        <v>2274</v>
      </c>
      <c r="K49" s="33"/>
    </row>
    <row r="50" spans="1:11">
      <c r="A50" s="16"/>
      <c r="B50" s="26" t="s">
        <v>33</v>
      </c>
      <c r="C50" s="26" t="s">
        <v>1069</v>
      </c>
      <c r="D50" s="26" t="s">
        <v>1171</v>
      </c>
      <c r="E50" s="26">
        <v>1</v>
      </c>
      <c r="F50" s="26" t="s">
        <v>2275</v>
      </c>
      <c r="G50" s="26" t="s">
        <v>2276</v>
      </c>
      <c r="H50" s="26" t="s">
        <v>2277</v>
      </c>
      <c r="I50" s="26" t="s">
        <v>2278</v>
      </c>
      <c r="J50" s="26" t="s">
        <v>2279</v>
      </c>
      <c r="K50" s="33"/>
    </row>
    <row r="51" spans="1:11">
      <c r="A51" s="16"/>
      <c r="B51" s="26" t="s">
        <v>33</v>
      </c>
      <c r="C51" s="26" t="s">
        <v>1069</v>
      </c>
      <c r="D51" s="26" t="s">
        <v>1171</v>
      </c>
      <c r="E51" s="26">
        <v>2</v>
      </c>
      <c r="F51" s="26" t="s">
        <v>2280</v>
      </c>
      <c r="G51" s="26" t="s">
        <v>2281</v>
      </c>
      <c r="H51" s="26" t="s">
        <v>2282</v>
      </c>
      <c r="I51" s="26" t="s">
        <v>2283</v>
      </c>
      <c r="J51" s="26" t="s">
        <v>2284</v>
      </c>
      <c r="K51" s="33"/>
    </row>
    <row r="52" spans="1:11">
      <c r="A52" s="16"/>
      <c r="B52" s="26" t="s">
        <v>33</v>
      </c>
      <c r="C52" s="26" t="s">
        <v>1069</v>
      </c>
      <c r="D52" s="26" t="s">
        <v>1171</v>
      </c>
      <c r="E52" s="26">
        <v>3</v>
      </c>
      <c r="F52" s="26" t="s">
        <v>2285</v>
      </c>
      <c r="G52" s="26" t="s">
        <v>2286</v>
      </c>
      <c r="H52" s="26" t="s">
        <v>2287</v>
      </c>
      <c r="I52" s="26" t="s">
        <v>2288</v>
      </c>
      <c r="J52" s="26" t="s">
        <v>2289</v>
      </c>
      <c r="K52" s="33"/>
    </row>
    <row r="53" spans="1:11">
      <c r="A53" s="16"/>
      <c r="B53" s="26" t="s">
        <v>33</v>
      </c>
      <c r="C53" s="26" t="s">
        <v>1069</v>
      </c>
      <c r="D53" s="26" t="s">
        <v>1171</v>
      </c>
      <c r="E53" s="26">
        <v>4</v>
      </c>
      <c r="F53" s="26" t="s">
        <v>2285</v>
      </c>
      <c r="G53" s="26" t="s">
        <v>2290</v>
      </c>
      <c r="H53" s="26" t="s">
        <v>2291</v>
      </c>
      <c r="I53" s="26" t="s">
        <v>2292</v>
      </c>
      <c r="J53" s="26" t="s">
        <v>2293</v>
      </c>
      <c r="K53" s="33"/>
    </row>
    <row r="54" spans="1:11">
      <c r="A54" s="16"/>
      <c r="B54" s="26" t="s">
        <v>33</v>
      </c>
      <c r="C54" s="26" t="s">
        <v>1069</v>
      </c>
      <c r="D54" s="26" t="s">
        <v>1171</v>
      </c>
      <c r="E54" s="26">
        <v>5</v>
      </c>
      <c r="F54" s="26" t="s">
        <v>2294</v>
      </c>
      <c r="G54" s="26" t="s">
        <v>2295</v>
      </c>
      <c r="H54" s="26" t="s">
        <v>2296</v>
      </c>
      <c r="I54" s="26" t="s">
        <v>2297</v>
      </c>
      <c r="J54" s="26" t="s">
        <v>2298</v>
      </c>
      <c r="K54" s="33"/>
    </row>
    <row r="55" spans="1:11">
      <c r="A55" s="16"/>
      <c r="B55" s="26" t="s">
        <v>33</v>
      </c>
      <c r="C55" s="26" t="s">
        <v>1069</v>
      </c>
      <c r="D55" s="26" t="s">
        <v>1171</v>
      </c>
      <c r="E55" s="26">
        <v>6</v>
      </c>
      <c r="F55" s="26" t="s">
        <v>2294</v>
      </c>
      <c r="G55" s="26" t="s">
        <v>2299</v>
      </c>
      <c r="H55" s="26" t="s">
        <v>2300</v>
      </c>
      <c r="I55" s="26" t="s">
        <v>2301</v>
      </c>
      <c r="J55" s="26" t="s">
        <v>2302</v>
      </c>
      <c r="K55" s="33"/>
    </row>
    <row r="56" spans="1:11">
      <c r="A56" s="16"/>
      <c r="B56" s="26" t="s">
        <v>33</v>
      </c>
      <c r="C56" s="26" t="s">
        <v>34</v>
      </c>
      <c r="D56" s="26" t="s">
        <v>542</v>
      </c>
      <c r="E56" s="26">
        <v>1</v>
      </c>
      <c r="F56" s="26" t="s">
        <v>2303</v>
      </c>
      <c r="G56" s="26" t="s">
        <v>2304</v>
      </c>
      <c r="H56" s="26" t="s">
        <v>2305</v>
      </c>
      <c r="I56" s="26" t="s">
        <v>2306</v>
      </c>
      <c r="J56" s="26" t="s">
        <v>2307</v>
      </c>
      <c r="K56" s="33"/>
    </row>
    <row r="57" spans="1:11">
      <c r="A57" s="16"/>
      <c r="B57" s="26" t="s">
        <v>33</v>
      </c>
      <c r="C57" s="26" t="s">
        <v>34</v>
      </c>
      <c r="D57" s="26" t="s">
        <v>542</v>
      </c>
      <c r="E57" s="26">
        <v>2</v>
      </c>
      <c r="F57" s="26" t="s">
        <v>2303</v>
      </c>
      <c r="G57" s="26" t="s">
        <v>2304</v>
      </c>
      <c r="H57" s="26" t="s">
        <v>2308</v>
      </c>
      <c r="I57" s="26" t="s">
        <v>2309</v>
      </c>
      <c r="J57" s="26" t="s">
        <v>2310</v>
      </c>
      <c r="K57" s="34" t="s">
        <v>2160</v>
      </c>
    </row>
    <row r="58" spans="1:11">
      <c r="A58" s="16"/>
      <c r="B58" s="26" t="s">
        <v>33</v>
      </c>
      <c r="C58" s="26" t="s">
        <v>34</v>
      </c>
      <c r="D58" s="26" t="s">
        <v>542</v>
      </c>
      <c r="E58" s="26">
        <v>3</v>
      </c>
      <c r="F58" s="26" t="s">
        <v>2311</v>
      </c>
      <c r="G58" s="26" t="s">
        <v>2312</v>
      </c>
      <c r="H58" s="26" t="s">
        <v>2313</v>
      </c>
      <c r="I58" s="26" t="s">
        <v>2314</v>
      </c>
      <c r="J58" s="26" t="s">
        <v>2315</v>
      </c>
      <c r="K58" s="33"/>
    </row>
    <row r="59" spans="1:11">
      <c r="A59" s="16"/>
      <c r="B59" s="26" t="s">
        <v>33</v>
      </c>
      <c r="C59" s="26" t="s">
        <v>34</v>
      </c>
      <c r="D59" s="26" t="s">
        <v>542</v>
      </c>
      <c r="E59" s="26">
        <v>4</v>
      </c>
      <c r="F59" s="26" t="s">
        <v>2311</v>
      </c>
      <c r="G59" s="26" t="s">
        <v>2312</v>
      </c>
      <c r="H59" s="26" t="s">
        <v>2316</v>
      </c>
      <c r="I59" s="26" t="s">
        <v>2317</v>
      </c>
      <c r="J59" s="26" t="s">
        <v>2318</v>
      </c>
      <c r="K59" s="34" t="s">
        <v>2160</v>
      </c>
    </row>
    <row r="60" spans="1:11">
      <c r="A60" s="16"/>
      <c r="B60" s="26" t="s">
        <v>33</v>
      </c>
      <c r="C60" s="26" t="s">
        <v>34</v>
      </c>
      <c r="D60" s="26" t="s">
        <v>542</v>
      </c>
      <c r="E60" s="26">
        <v>5</v>
      </c>
      <c r="F60" s="26" t="s">
        <v>2319</v>
      </c>
      <c r="G60" s="26" t="s">
        <v>2320</v>
      </c>
      <c r="H60" s="26" t="s">
        <v>2321</v>
      </c>
      <c r="I60" s="26" t="s">
        <v>2322</v>
      </c>
      <c r="J60" s="26" t="s">
        <v>2323</v>
      </c>
      <c r="K60" s="33"/>
    </row>
    <row r="61" spans="1:11">
      <c r="A61" s="16"/>
      <c r="B61" s="26" t="s">
        <v>33</v>
      </c>
      <c r="C61" s="26" t="s">
        <v>34</v>
      </c>
      <c r="D61" s="26" t="s">
        <v>542</v>
      </c>
      <c r="E61" s="26">
        <v>6</v>
      </c>
      <c r="F61" s="26" t="s">
        <v>2324</v>
      </c>
      <c r="G61" s="26" t="s">
        <v>2320</v>
      </c>
      <c r="H61" s="26" t="s">
        <v>2325</v>
      </c>
      <c r="I61" s="26" t="s">
        <v>2326</v>
      </c>
      <c r="J61" s="26" t="s">
        <v>2327</v>
      </c>
      <c r="K61" s="34" t="s">
        <v>2160</v>
      </c>
    </row>
    <row r="62" spans="1:11">
      <c r="A62" s="16"/>
      <c r="B62" s="26" t="s">
        <v>33</v>
      </c>
      <c r="C62" s="26" t="s">
        <v>34</v>
      </c>
      <c r="D62" s="26" t="s">
        <v>542</v>
      </c>
      <c r="E62" s="26">
        <v>7</v>
      </c>
      <c r="F62" s="26" t="s">
        <v>2102</v>
      </c>
      <c r="G62" s="26" t="s">
        <v>2328</v>
      </c>
      <c r="H62" s="26" t="s">
        <v>2329</v>
      </c>
      <c r="I62" s="26" t="s">
        <v>2330</v>
      </c>
      <c r="J62" s="26" t="s">
        <v>2331</v>
      </c>
      <c r="K62" s="33"/>
    </row>
    <row r="63" spans="1:11">
      <c r="A63" s="16"/>
      <c r="B63" s="26" t="s">
        <v>33</v>
      </c>
      <c r="C63" s="26" t="s">
        <v>34</v>
      </c>
      <c r="D63" s="26" t="s">
        <v>542</v>
      </c>
      <c r="E63" s="26">
        <v>8</v>
      </c>
      <c r="F63" s="26" t="s">
        <v>2225</v>
      </c>
      <c r="G63" s="26" t="s">
        <v>2328</v>
      </c>
      <c r="H63" s="26" t="s">
        <v>2332</v>
      </c>
      <c r="I63" s="26" t="s">
        <v>2333</v>
      </c>
      <c r="J63" s="26" t="s">
        <v>2334</v>
      </c>
      <c r="K63" s="33"/>
    </row>
    <row r="64" spans="1:11">
      <c r="A64" s="16"/>
      <c r="B64" s="26" t="s">
        <v>33</v>
      </c>
      <c r="C64" s="26" t="s">
        <v>34</v>
      </c>
      <c r="D64" s="26" t="s">
        <v>542</v>
      </c>
      <c r="E64" s="26">
        <v>9</v>
      </c>
      <c r="F64" s="26" t="s">
        <v>2225</v>
      </c>
      <c r="G64" s="26" t="s">
        <v>2335</v>
      </c>
      <c r="H64" s="26" t="s">
        <v>2336</v>
      </c>
      <c r="I64" s="26" t="s">
        <v>2337</v>
      </c>
      <c r="J64" s="26" t="s">
        <v>2338</v>
      </c>
      <c r="K64" s="33"/>
    </row>
    <row r="65" spans="1:11">
      <c r="A65" s="16"/>
      <c r="B65" s="26" t="s">
        <v>33</v>
      </c>
      <c r="C65" s="26" t="s">
        <v>34</v>
      </c>
      <c r="D65" s="26" t="s">
        <v>542</v>
      </c>
      <c r="E65" s="26">
        <v>10</v>
      </c>
      <c r="F65" s="26" t="s">
        <v>2211</v>
      </c>
      <c r="G65" s="26" t="s">
        <v>2335</v>
      </c>
      <c r="H65" s="26" t="s">
        <v>2339</v>
      </c>
      <c r="I65" s="26" t="s">
        <v>2340</v>
      </c>
      <c r="J65" s="26" t="s">
        <v>2341</v>
      </c>
      <c r="K65" s="34" t="s">
        <v>2160</v>
      </c>
    </row>
    <row r="66" spans="1:11">
      <c r="A66" s="16"/>
      <c r="B66" s="26" t="s">
        <v>33</v>
      </c>
      <c r="C66" s="26" t="s">
        <v>34</v>
      </c>
      <c r="D66" s="26" t="s">
        <v>542</v>
      </c>
      <c r="E66" s="26">
        <v>11</v>
      </c>
      <c r="F66" s="26" t="s">
        <v>2102</v>
      </c>
      <c r="G66" s="26" t="s">
        <v>2342</v>
      </c>
      <c r="H66" s="26" t="s">
        <v>2343</v>
      </c>
      <c r="I66" s="26" t="s">
        <v>2344</v>
      </c>
      <c r="J66" s="26" t="s">
        <v>2345</v>
      </c>
      <c r="K66" s="34" t="s">
        <v>2160</v>
      </c>
    </row>
    <row r="67" spans="1:11">
      <c r="A67" s="16"/>
      <c r="B67" s="26" t="s">
        <v>33</v>
      </c>
      <c r="C67" s="26" t="s">
        <v>34</v>
      </c>
      <c r="D67" s="26" t="s">
        <v>542</v>
      </c>
      <c r="E67" s="26">
        <v>12</v>
      </c>
      <c r="F67" s="26" t="s">
        <v>2225</v>
      </c>
      <c r="G67" s="26" t="s">
        <v>2342</v>
      </c>
      <c r="H67" s="26" t="s">
        <v>2346</v>
      </c>
      <c r="I67" s="26" t="s">
        <v>2347</v>
      </c>
      <c r="J67" s="26" t="s">
        <v>2348</v>
      </c>
      <c r="K67" s="33"/>
    </row>
    <row r="68" spans="1:11">
      <c r="A68" s="16"/>
      <c r="B68" s="26" t="s">
        <v>33</v>
      </c>
      <c r="C68" s="26" t="s">
        <v>34</v>
      </c>
      <c r="D68" s="26" t="s">
        <v>1171</v>
      </c>
      <c r="E68" s="26">
        <v>1</v>
      </c>
      <c r="F68" s="26" t="s">
        <v>2280</v>
      </c>
      <c r="G68" s="26" t="s">
        <v>2349</v>
      </c>
      <c r="H68" s="26" t="s">
        <v>2350</v>
      </c>
      <c r="I68" s="26" t="s">
        <v>2351</v>
      </c>
      <c r="J68" s="26" t="s">
        <v>2352</v>
      </c>
      <c r="K68" s="33"/>
    </row>
    <row r="69" spans="1:11">
      <c r="A69" s="16"/>
      <c r="B69" s="26" t="s">
        <v>33</v>
      </c>
      <c r="C69" s="26" t="s">
        <v>34</v>
      </c>
      <c r="D69" s="26" t="s">
        <v>1171</v>
      </c>
      <c r="E69" s="26">
        <v>2</v>
      </c>
      <c r="F69" s="26" t="s">
        <v>2280</v>
      </c>
      <c r="G69" s="26" t="s">
        <v>2349</v>
      </c>
      <c r="H69" s="26" t="s">
        <v>2353</v>
      </c>
      <c r="I69" s="26" t="s">
        <v>2354</v>
      </c>
      <c r="J69" s="26" t="s">
        <v>2355</v>
      </c>
      <c r="K69" s="34" t="s">
        <v>2160</v>
      </c>
    </row>
    <row r="70" spans="1:11">
      <c r="A70" s="16"/>
      <c r="B70" s="26" t="s">
        <v>33</v>
      </c>
      <c r="C70" s="26" t="s">
        <v>34</v>
      </c>
      <c r="D70" s="26" t="s">
        <v>1171</v>
      </c>
      <c r="E70" s="26">
        <v>3</v>
      </c>
      <c r="F70" s="26" t="s">
        <v>2225</v>
      </c>
      <c r="G70" s="26" t="s">
        <v>2356</v>
      </c>
      <c r="H70" s="26" t="s">
        <v>2357</v>
      </c>
      <c r="I70" s="26" t="s">
        <v>2358</v>
      </c>
      <c r="J70" s="26" t="s">
        <v>2359</v>
      </c>
      <c r="K70" s="33"/>
    </row>
    <row r="71" spans="1:11">
      <c r="A71" s="16"/>
      <c r="B71" s="26" t="s">
        <v>33</v>
      </c>
      <c r="C71" s="26" t="s">
        <v>34</v>
      </c>
      <c r="D71" s="26" t="s">
        <v>1171</v>
      </c>
      <c r="E71" s="26">
        <v>4</v>
      </c>
      <c r="F71" s="26" t="s">
        <v>2225</v>
      </c>
      <c r="G71" s="26" t="s">
        <v>2356</v>
      </c>
      <c r="H71" s="26" t="s">
        <v>2360</v>
      </c>
      <c r="I71" s="26" t="s">
        <v>2358</v>
      </c>
      <c r="J71" s="26" t="s">
        <v>2361</v>
      </c>
      <c r="K71" s="34" t="s">
        <v>2160</v>
      </c>
    </row>
    <row r="72" spans="1:11">
      <c r="A72" s="16"/>
      <c r="B72" s="26" t="s">
        <v>33</v>
      </c>
      <c r="C72" s="26" t="s">
        <v>34</v>
      </c>
      <c r="D72" s="26" t="s">
        <v>1171</v>
      </c>
      <c r="E72" s="26">
        <v>5</v>
      </c>
      <c r="F72" s="26" t="s">
        <v>2195</v>
      </c>
      <c r="G72" s="26" t="s">
        <v>2362</v>
      </c>
      <c r="H72" s="26" t="s">
        <v>2363</v>
      </c>
      <c r="I72" s="26" t="s">
        <v>2364</v>
      </c>
      <c r="J72" s="26" t="s">
        <v>2365</v>
      </c>
      <c r="K72" s="33"/>
    </row>
    <row r="73" spans="1:11">
      <c r="A73" s="16"/>
      <c r="B73" s="26" t="s">
        <v>33</v>
      </c>
      <c r="C73" s="26" t="s">
        <v>34</v>
      </c>
      <c r="D73" s="26" t="s">
        <v>1171</v>
      </c>
      <c r="E73" s="26">
        <v>6</v>
      </c>
      <c r="F73" s="26" t="s">
        <v>2195</v>
      </c>
      <c r="G73" s="26" t="s">
        <v>2362</v>
      </c>
      <c r="H73" s="26" t="s">
        <v>2366</v>
      </c>
      <c r="I73" s="26" t="s">
        <v>2364</v>
      </c>
      <c r="J73" s="26" t="s">
        <v>2367</v>
      </c>
      <c r="K73" s="34" t="s">
        <v>2160</v>
      </c>
    </row>
    <row r="74" spans="1:11">
      <c r="A74" s="16"/>
      <c r="B74" s="26" t="s">
        <v>33</v>
      </c>
      <c r="C74" s="26" t="s">
        <v>34</v>
      </c>
      <c r="D74" s="26" t="s">
        <v>1171</v>
      </c>
      <c r="E74" s="26">
        <v>7</v>
      </c>
      <c r="F74" s="26" t="s">
        <v>2195</v>
      </c>
      <c r="G74" s="26" t="s">
        <v>2368</v>
      </c>
      <c r="H74" s="26" t="s">
        <v>2369</v>
      </c>
      <c r="I74" s="26" t="s">
        <v>2370</v>
      </c>
      <c r="J74" s="26" t="s">
        <v>2371</v>
      </c>
      <c r="K74" s="33"/>
    </row>
    <row r="75" spans="1:11">
      <c r="A75" s="16"/>
      <c r="B75" s="26" t="s">
        <v>33</v>
      </c>
      <c r="C75" s="26" t="s">
        <v>34</v>
      </c>
      <c r="D75" s="26" t="s">
        <v>1171</v>
      </c>
      <c r="E75" s="26">
        <v>8</v>
      </c>
      <c r="F75" s="26" t="s">
        <v>2195</v>
      </c>
      <c r="G75" s="26" t="s">
        <v>2368</v>
      </c>
      <c r="H75" s="26" t="s">
        <v>2372</v>
      </c>
      <c r="I75" s="26" t="s">
        <v>2373</v>
      </c>
      <c r="J75" s="26" t="s">
        <v>2374</v>
      </c>
      <c r="K75" s="33"/>
    </row>
    <row r="76" spans="1:11">
      <c r="A76" s="16"/>
      <c r="B76" s="26" t="s">
        <v>33</v>
      </c>
      <c r="C76" s="26" t="s">
        <v>34</v>
      </c>
      <c r="D76" s="26" t="s">
        <v>1171</v>
      </c>
      <c r="E76" s="26">
        <v>9</v>
      </c>
      <c r="F76" s="26" t="s">
        <v>2195</v>
      </c>
      <c r="G76" s="26" t="s">
        <v>2368</v>
      </c>
      <c r="H76" s="26" t="s">
        <v>2375</v>
      </c>
      <c r="I76" s="26" t="s">
        <v>2373</v>
      </c>
      <c r="J76" s="26" t="s">
        <v>2376</v>
      </c>
      <c r="K76" s="33"/>
    </row>
    <row r="77" spans="1:11">
      <c r="A77" s="16"/>
      <c r="B77" s="26" t="s">
        <v>33</v>
      </c>
      <c r="C77" s="26" t="s">
        <v>34</v>
      </c>
      <c r="D77" s="26" t="s">
        <v>1171</v>
      </c>
      <c r="E77" s="26">
        <v>10</v>
      </c>
      <c r="F77" s="26" t="s">
        <v>2195</v>
      </c>
      <c r="G77" s="26" t="s">
        <v>2368</v>
      </c>
      <c r="H77" s="26" t="s">
        <v>2377</v>
      </c>
      <c r="I77" s="26" t="s">
        <v>2373</v>
      </c>
      <c r="J77" s="26" t="s">
        <v>2378</v>
      </c>
      <c r="K77" s="33"/>
    </row>
    <row r="78" spans="1:11">
      <c r="A78" s="16"/>
      <c r="B78" s="26" t="s">
        <v>33</v>
      </c>
      <c r="C78" s="26" t="s">
        <v>34</v>
      </c>
      <c r="D78" s="26" t="s">
        <v>1171</v>
      </c>
      <c r="E78" s="26">
        <v>11</v>
      </c>
      <c r="F78" s="26" t="s">
        <v>2139</v>
      </c>
      <c r="G78" s="26" t="s">
        <v>2379</v>
      </c>
      <c r="H78" s="26" t="s">
        <v>2380</v>
      </c>
      <c r="I78" s="26" t="s">
        <v>2381</v>
      </c>
      <c r="J78" s="26" t="s">
        <v>2382</v>
      </c>
      <c r="K78" s="33"/>
    </row>
    <row r="79" spans="1:11">
      <c r="A79" s="16"/>
      <c r="B79" s="26" t="s">
        <v>33</v>
      </c>
      <c r="C79" s="26" t="s">
        <v>34</v>
      </c>
      <c r="D79" s="26" t="s">
        <v>1171</v>
      </c>
      <c r="E79" s="26">
        <v>12</v>
      </c>
      <c r="F79" s="26" t="s">
        <v>2139</v>
      </c>
      <c r="G79" s="26" t="s">
        <v>2379</v>
      </c>
      <c r="H79" s="26" t="s">
        <v>2383</v>
      </c>
      <c r="I79" s="26" t="s">
        <v>2384</v>
      </c>
      <c r="J79" s="26" t="s">
        <v>2385</v>
      </c>
      <c r="K79" s="33"/>
    </row>
  </sheetData>
  <autoFilter ref="A1:K79"/>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sheetPr>
    <tabColor rgb="FFFFBFFC"/>
  </sheetPr>
  <dimension ref="A1:J53"/>
  <sheetViews>
    <sheetView workbookViewId="0">
      <pane ySplit="1" topLeftCell="A2" activePane="bottomLeft" state="frozen"/>
      <selection pane="bottomLeft" activeCell="B3" sqref="B3"/>
    </sheetView>
  </sheetViews>
  <sheetFormatPr defaultColWidth="12.5703125" defaultRowHeight="15" customHeight="1"/>
  <cols>
    <col min="1" max="1" width="18.42578125" customWidth="1"/>
    <col min="2" max="2" width="9.42578125" customWidth="1"/>
    <col min="3" max="3" width="8.42578125" customWidth="1"/>
    <col min="4" max="4" width="12.140625" customWidth="1"/>
    <col min="5" max="5" width="9.140625" customWidth="1"/>
    <col min="6" max="6" width="52.85546875" customWidth="1"/>
    <col min="7" max="7" width="22.140625" customWidth="1"/>
    <col min="8" max="8" width="23.42578125" customWidth="1"/>
    <col min="9" max="9" width="27.42578125" customWidth="1"/>
    <col min="10" max="10" width="49.42578125" customWidth="1"/>
  </cols>
  <sheetData>
    <row r="1" spans="1:10" ht="27" customHeight="1">
      <c r="A1" s="13" t="s">
        <v>20</v>
      </c>
      <c r="B1" s="14" t="s">
        <v>21</v>
      </c>
      <c r="C1" s="13" t="s">
        <v>22</v>
      </c>
      <c r="D1" s="14" t="s">
        <v>23</v>
      </c>
      <c r="E1" s="14" t="s">
        <v>24</v>
      </c>
      <c r="F1" s="14" t="s">
        <v>27</v>
      </c>
      <c r="G1" s="14" t="s">
        <v>28</v>
      </c>
      <c r="H1" s="14" t="s">
        <v>1464</v>
      </c>
      <c r="I1" s="14" t="s">
        <v>30</v>
      </c>
      <c r="J1" s="14" t="s">
        <v>31</v>
      </c>
    </row>
    <row r="2" spans="1:10" ht="76.5">
      <c r="A2" s="16"/>
      <c r="B2" s="9" t="s">
        <v>33</v>
      </c>
      <c r="C2" s="9" t="s">
        <v>1465</v>
      </c>
      <c r="D2" s="9" t="s">
        <v>1466</v>
      </c>
      <c r="E2" s="9">
        <v>1</v>
      </c>
      <c r="F2" s="16" t="s">
        <v>2386</v>
      </c>
      <c r="G2" s="16" t="s">
        <v>2387</v>
      </c>
      <c r="H2" s="16" t="s">
        <v>2388</v>
      </c>
      <c r="I2" s="16" t="s">
        <v>2389</v>
      </c>
      <c r="J2" s="16" t="s">
        <v>2390</v>
      </c>
    </row>
    <row r="3" spans="1:10" ht="89.25">
      <c r="A3" s="16"/>
      <c r="B3" s="9" t="s">
        <v>33</v>
      </c>
      <c r="C3" s="9" t="s">
        <v>1465</v>
      </c>
      <c r="D3" s="9" t="s">
        <v>1466</v>
      </c>
      <c r="E3" s="9">
        <v>2</v>
      </c>
      <c r="F3" s="9" t="s">
        <v>2391</v>
      </c>
      <c r="G3" s="9" t="s">
        <v>2392</v>
      </c>
      <c r="H3" s="9" t="s">
        <v>2392</v>
      </c>
      <c r="I3" s="9" t="s">
        <v>2393</v>
      </c>
      <c r="J3" s="9" t="s">
        <v>2394</v>
      </c>
    </row>
    <row r="4" spans="1:10" ht="102">
      <c r="A4" s="16"/>
      <c r="B4" s="9" t="s">
        <v>33</v>
      </c>
      <c r="C4" s="9" t="s">
        <v>1465</v>
      </c>
      <c r="D4" s="9" t="s">
        <v>1466</v>
      </c>
      <c r="E4" s="9">
        <v>3</v>
      </c>
      <c r="F4" s="16" t="s">
        <v>2395</v>
      </c>
      <c r="G4" s="16" t="s">
        <v>2396</v>
      </c>
      <c r="H4" s="16" t="s">
        <v>2396</v>
      </c>
      <c r="I4" s="16" t="s">
        <v>2397</v>
      </c>
      <c r="J4" s="16" t="s">
        <v>2398</v>
      </c>
    </row>
    <row r="5" spans="1:10" ht="102">
      <c r="A5" s="16"/>
      <c r="B5" s="9" t="s">
        <v>33</v>
      </c>
      <c r="C5" s="9" t="s">
        <v>1465</v>
      </c>
      <c r="D5" s="9" t="s">
        <v>1466</v>
      </c>
      <c r="E5" s="9">
        <v>4</v>
      </c>
      <c r="F5" s="16" t="s">
        <v>2395</v>
      </c>
      <c r="G5" s="9" t="s">
        <v>2399</v>
      </c>
      <c r="H5" s="16" t="s">
        <v>2400</v>
      </c>
      <c r="I5" s="16" t="s">
        <v>2401</v>
      </c>
      <c r="J5" s="16" t="s">
        <v>2402</v>
      </c>
    </row>
    <row r="6" spans="1:10" ht="102">
      <c r="A6" s="16"/>
      <c r="B6" s="9" t="s">
        <v>33</v>
      </c>
      <c r="C6" s="9" t="s">
        <v>1465</v>
      </c>
      <c r="D6" s="9" t="s">
        <v>1466</v>
      </c>
      <c r="E6" s="9">
        <v>5</v>
      </c>
      <c r="F6" s="16" t="s">
        <v>2395</v>
      </c>
      <c r="G6" s="16" t="s">
        <v>2403</v>
      </c>
      <c r="H6" s="16" t="s">
        <v>2403</v>
      </c>
      <c r="I6" s="16" t="s">
        <v>2404</v>
      </c>
      <c r="J6" s="9" t="s">
        <v>2405</v>
      </c>
    </row>
    <row r="7" spans="1:10" ht="76.5">
      <c r="A7" s="16"/>
      <c r="B7" s="9" t="s">
        <v>33</v>
      </c>
      <c r="C7" s="9" t="s">
        <v>1465</v>
      </c>
      <c r="D7" s="9" t="s">
        <v>1466</v>
      </c>
      <c r="E7" s="9">
        <v>6</v>
      </c>
      <c r="F7" s="9" t="s">
        <v>2386</v>
      </c>
      <c r="G7" s="9" t="s">
        <v>2406</v>
      </c>
      <c r="H7" s="16" t="s">
        <v>2407</v>
      </c>
      <c r="I7" s="9" t="s">
        <v>2408</v>
      </c>
      <c r="J7" s="9" t="s">
        <v>2409</v>
      </c>
    </row>
    <row r="8" spans="1:10" ht="191.25">
      <c r="A8" s="16"/>
      <c r="B8" s="9" t="s">
        <v>33</v>
      </c>
      <c r="C8" s="9" t="s">
        <v>1465</v>
      </c>
      <c r="D8" s="9" t="s">
        <v>1466</v>
      </c>
      <c r="E8" s="9">
        <v>7</v>
      </c>
      <c r="F8" s="9" t="s">
        <v>2410</v>
      </c>
      <c r="G8" s="9" t="s">
        <v>2411</v>
      </c>
      <c r="H8" s="16" t="s">
        <v>2412</v>
      </c>
      <c r="I8" s="9" t="s">
        <v>2413</v>
      </c>
      <c r="J8" s="9" t="s">
        <v>2414</v>
      </c>
    </row>
    <row r="9" spans="1:10" ht="102">
      <c r="A9" s="16"/>
      <c r="B9" s="9" t="s">
        <v>33</v>
      </c>
      <c r="C9" s="9" t="s">
        <v>1465</v>
      </c>
      <c r="D9" s="9" t="s">
        <v>1466</v>
      </c>
      <c r="E9" s="9">
        <v>8</v>
      </c>
      <c r="F9" s="9" t="s">
        <v>2415</v>
      </c>
      <c r="G9" s="9" t="s">
        <v>2416</v>
      </c>
      <c r="H9" s="9" t="s">
        <v>2417</v>
      </c>
      <c r="I9" s="9" t="s">
        <v>2418</v>
      </c>
      <c r="J9" s="9" t="s">
        <v>2419</v>
      </c>
    </row>
    <row r="10" spans="1:10" ht="76.5">
      <c r="A10" s="16"/>
      <c r="B10" s="9" t="s">
        <v>33</v>
      </c>
      <c r="C10" s="9" t="s">
        <v>1465</v>
      </c>
      <c r="D10" s="9" t="s">
        <v>1466</v>
      </c>
      <c r="E10" s="9">
        <v>9</v>
      </c>
      <c r="F10" s="9" t="s">
        <v>2420</v>
      </c>
      <c r="G10" s="9" t="s">
        <v>2421</v>
      </c>
      <c r="H10" s="9" t="s">
        <v>2421</v>
      </c>
      <c r="I10" s="9" t="s">
        <v>2422</v>
      </c>
      <c r="J10" s="9" t="s">
        <v>2423</v>
      </c>
    </row>
    <row r="11" spans="1:10" ht="76.5">
      <c r="A11" s="16"/>
      <c r="B11" s="9" t="s">
        <v>33</v>
      </c>
      <c r="C11" s="9" t="s">
        <v>1465</v>
      </c>
      <c r="D11" s="9" t="s">
        <v>1466</v>
      </c>
      <c r="E11" s="9">
        <v>10</v>
      </c>
      <c r="F11" s="9" t="s">
        <v>2386</v>
      </c>
      <c r="G11" s="9" t="s">
        <v>2424</v>
      </c>
      <c r="H11" s="9" t="s">
        <v>2424</v>
      </c>
      <c r="I11" s="9" t="s">
        <v>2425</v>
      </c>
      <c r="J11" s="9" t="s">
        <v>2426</v>
      </c>
    </row>
    <row r="12" spans="1:10" ht="102">
      <c r="A12" s="16"/>
      <c r="B12" s="9" t="s">
        <v>33</v>
      </c>
      <c r="C12" s="9" t="s">
        <v>1465</v>
      </c>
      <c r="D12" s="9" t="s">
        <v>1466</v>
      </c>
      <c r="E12" s="9">
        <v>11</v>
      </c>
      <c r="F12" s="9" t="s">
        <v>2427</v>
      </c>
      <c r="G12" s="9" t="s">
        <v>2428</v>
      </c>
      <c r="H12" s="9" t="s">
        <v>2428</v>
      </c>
      <c r="I12" s="9" t="s">
        <v>2429</v>
      </c>
      <c r="J12" s="9" t="s">
        <v>2430</v>
      </c>
    </row>
    <row r="13" spans="1:10" ht="76.5">
      <c r="A13" s="16"/>
      <c r="B13" s="9" t="s">
        <v>33</v>
      </c>
      <c r="C13" s="9" t="s">
        <v>1465</v>
      </c>
      <c r="D13" s="9" t="s">
        <v>1466</v>
      </c>
      <c r="E13" s="9">
        <v>12</v>
      </c>
      <c r="F13" s="9" t="s">
        <v>2431</v>
      </c>
      <c r="G13" s="9" t="s">
        <v>2432</v>
      </c>
      <c r="H13" s="9" t="s">
        <v>2433</v>
      </c>
      <c r="I13" s="9" t="s">
        <v>2433</v>
      </c>
      <c r="J13" s="9" t="s">
        <v>2434</v>
      </c>
    </row>
    <row r="14" spans="1:10" ht="63.75">
      <c r="A14" s="16"/>
      <c r="B14" s="9" t="s">
        <v>33</v>
      </c>
      <c r="C14" s="9" t="s">
        <v>1465</v>
      </c>
      <c r="D14" s="9" t="s">
        <v>1466</v>
      </c>
      <c r="E14" s="9">
        <v>13</v>
      </c>
      <c r="F14" s="9" t="s">
        <v>2435</v>
      </c>
      <c r="G14" s="9" t="s">
        <v>2436</v>
      </c>
      <c r="H14" s="9" t="s">
        <v>2436</v>
      </c>
      <c r="I14" s="9" t="s">
        <v>2437</v>
      </c>
      <c r="J14" s="9" t="s">
        <v>2438</v>
      </c>
    </row>
    <row r="15" spans="1:10" ht="267.75">
      <c r="A15" s="16"/>
      <c r="B15" s="9" t="s">
        <v>33</v>
      </c>
      <c r="C15" s="9" t="s">
        <v>1465</v>
      </c>
      <c r="D15" s="9" t="s">
        <v>1466</v>
      </c>
      <c r="E15" s="9">
        <v>14</v>
      </c>
      <c r="F15" s="9" t="s">
        <v>2439</v>
      </c>
      <c r="G15" s="9" t="s">
        <v>2440</v>
      </c>
      <c r="H15" s="9" t="s">
        <v>2441</v>
      </c>
      <c r="I15" s="9" t="s">
        <v>2442</v>
      </c>
      <c r="J15" s="9" t="s">
        <v>2443</v>
      </c>
    </row>
    <row r="16" spans="1:10" ht="102">
      <c r="A16" s="16"/>
      <c r="B16" s="9" t="s">
        <v>33</v>
      </c>
      <c r="C16" s="9" t="s">
        <v>1465</v>
      </c>
      <c r="D16" s="9" t="s">
        <v>1524</v>
      </c>
      <c r="E16" s="9">
        <v>1</v>
      </c>
      <c r="F16" s="9" t="s">
        <v>2444</v>
      </c>
      <c r="G16" s="9" t="s">
        <v>2445</v>
      </c>
      <c r="H16" s="9" t="s">
        <v>2446</v>
      </c>
      <c r="I16" s="9" t="s">
        <v>2447</v>
      </c>
      <c r="J16" s="9" t="s">
        <v>2448</v>
      </c>
    </row>
    <row r="17" spans="1:10" ht="76.5">
      <c r="A17" s="16"/>
      <c r="B17" s="9" t="s">
        <v>33</v>
      </c>
      <c r="C17" s="9" t="s">
        <v>1465</v>
      </c>
      <c r="D17" s="9" t="s">
        <v>1524</v>
      </c>
      <c r="E17" s="9">
        <v>2</v>
      </c>
      <c r="F17" s="9" t="s">
        <v>2386</v>
      </c>
      <c r="G17" s="9" t="s">
        <v>2449</v>
      </c>
      <c r="H17" s="9" t="s">
        <v>2450</v>
      </c>
      <c r="I17" s="9" t="s">
        <v>2451</v>
      </c>
      <c r="J17" s="9" t="s">
        <v>2452</v>
      </c>
    </row>
    <row r="18" spans="1:10" ht="89.25">
      <c r="A18" s="16"/>
      <c r="B18" s="9" t="s">
        <v>33</v>
      </c>
      <c r="C18" s="9" t="s">
        <v>1465</v>
      </c>
      <c r="D18" s="9" t="s">
        <v>1524</v>
      </c>
      <c r="E18" s="9">
        <v>3</v>
      </c>
      <c r="F18" s="9" t="s">
        <v>2453</v>
      </c>
      <c r="G18" s="9" t="s">
        <v>2454</v>
      </c>
      <c r="H18" s="9" t="s">
        <v>2454</v>
      </c>
      <c r="I18" s="9" t="s">
        <v>2455</v>
      </c>
      <c r="J18" s="9" t="s">
        <v>2456</v>
      </c>
    </row>
    <row r="19" spans="1:10" ht="89.25">
      <c r="A19" s="16"/>
      <c r="B19" s="9" t="s">
        <v>33</v>
      </c>
      <c r="C19" s="9" t="s">
        <v>1465</v>
      </c>
      <c r="D19" s="9" t="s">
        <v>1524</v>
      </c>
      <c r="E19" s="9">
        <v>4</v>
      </c>
      <c r="F19" s="9" t="s">
        <v>2453</v>
      </c>
      <c r="G19" s="9" t="s">
        <v>2457</v>
      </c>
      <c r="H19" s="9" t="s">
        <v>2457</v>
      </c>
      <c r="I19" s="9" t="s">
        <v>2458</v>
      </c>
      <c r="J19" s="9" t="s">
        <v>2459</v>
      </c>
    </row>
    <row r="20" spans="1:10" ht="102">
      <c r="A20" s="16"/>
      <c r="B20" s="9" t="s">
        <v>33</v>
      </c>
      <c r="C20" s="9" t="s">
        <v>1465</v>
      </c>
      <c r="D20" s="9" t="s">
        <v>1524</v>
      </c>
      <c r="E20" s="9">
        <v>5</v>
      </c>
      <c r="F20" s="9" t="s">
        <v>2427</v>
      </c>
      <c r="G20" s="9" t="s">
        <v>2460</v>
      </c>
      <c r="H20" s="9" t="s">
        <v>2460</v>
      </c>
      <c r="I20" s="9" t="s">
        <v>2461</v>
      </c>
      <c r="J20" s="9" t="s">
        <v>2462</v>
      </c>
    </row>
    <row r="21" spans="1:10" ht="76.5">
      <c r="A21" s="16"/>
      <c r="B21" s="9" t="s">
        <v>33</v>
      </c>
      <c r="C21" s="9" t="s">
        <v>1465</v>
      </c>
      <c r="D21" s="9" t="s">
        <v>1524</v>
      </c>
      <c r="E21" s="9">
        <v>6</v>
      </c>
      <c r="F21" s="9" t="s">
        <v>2463</v>
      </c>
      <c r="G21" s="9" t="s">
        <v>2464</v>
      </c>
      <c r="H21" s="9" t="s">
        <v>2465</v>
      </c>
      <c r="I21" s="9" t="s">
        <v>2466</v>
      </c>
      <c r="J21" s="9" t="s">
        <v>2467</v>
      </c>
    </row>
    <row r="22" spans="1:10" ht="89.25">
      <c r="A22" s="16"/>
      <c r="B22" s="9" t="s">
        <v>33</v>
      </c>
      <c r="C22" s="9" t="s">
        <v>1465</v>
      </c>
      <c r="D22" s="9" t="s">
        <v>1524</v>
      </c>
      <c r="E22" s="9">
        <v>7</v>
      </c>
      <c r="F22" s="9" t="s">
        <v>2453</v>
      </c>
      <c r="G22" s="9" t="s">
        <v>2468</v>
      </c>
      <c r="H22" s="9" t="s">
        <v>2469</v>
      </c>
      <c r="I22" s="9" t="s">
        <v>2413</v>
      </c>
      <c r="J22" s="9" t="s">
        <v>2470</v>
      </c>
    </row>
    <row r="23" spans="1:10" ht="76.5">
      <c r="A23" s="16"/>
      <c r="B23" s="9" t="s">
        <v>33</v>
      </c>
      <c r="C23" s="9" t="s">
        <v>1465</v>
      </c>
      <c r="D23" s="9" t="s">
        <v>1524</v>
      </c>
      <c r="E23" s="9">
        <v>8</v>
      </c>
      <c r="F23" s="9" t="s">
        <v>2463</v>
      </c>
      <c r="G23" s="9" t="s">
        <v>2471</v>
      </c>
      <c r="H23" s="9" t="s">
        <v>2471</v>
      </c>
      <c r="I23" s="9" t="s">
        <v>2472</v>
      </c>
      <c r="J23" s="9" t="s">
        <v>2473</v>
      </c>
    </row>
    <row r="24" spans="1:10" ht="76.5">
      <c r="A24" s="16"/>
      <c r="B24" s="9" t="s">
        <v>33</v>
      </c>
      <c r="C24" s="9" t="s">
        <v>1465</v>
      </c>
      <c r="D24" s="9" t="s">
        <v>1524</v>
      </c>
      <c r="E24" s="9">
        <v>9</v>
      </c>
      <c r="F24" s="9" t="s">
        <v>2420</v>
      </c>
      <c r="G24" s="9" t="s">
        <v>2474</v>
      </c>
      <c r="H24" s="9" t="s">
        <v>2474</v>
      </c>
      <c r="I24" s="9" t="s">
        <v>2475</v>
      </c>
      <c r="J24" s="9" t="s">
        <v>2476</v>
      </c>
    </row>
    <row r="25" spans="1:10" ht="76.5">
      <c r="A25" s="16"/>
      <c r="B25" s="9" t="s">
        <v>33</v>
      </c>
      <c r="C25" s="9" t="s">
        <v>1465</v>
      </c>
      <c r="D25" s="9" t="s">
        <v>1524</v>
      </c>
      <c r="E25" s="9">
        <v>10</v>
      </c>
      <c r="F25" s="9" t="s">
        <v>2420</v>
      </c>
      <c r="G25" s="9" t="s">
        <v>2477</v>
      </c>
      <c r="H25" s="9" t="s">
        <v>2478</v>
      </c>
      <c r="I25" s="9" t="s">
        <v>2479</v>
      </c>
      <c r="J25" s="9" t="s">
        <v>2480</v>
      </c>
    </row>
    <row r="26" spans="1:10" ht="102">
      <c r="A26" s="16"/>
      <c r="B26" s="9" t="s">
        <v>33</v>
      </c>
      <c r="C26" s="9" t="s">
        <v>1465</v>
      </c>
      <c r="D26" s="9" t="s">
        <v>1524</v>
      </c>
      <c r="E26" s="9">
        <v>11</v>
      </c>
      <c r="F26" s="9" t="s">
        <v>2427</v>
      </c>
      <c r="G26" s="9" t="s">
        <v>2481</v>
      </c>
      <c r="H26" s="9" t="s">
        <v>2482</v>
      </c>
      <c r="I26" s="9" t="s">
        <v>2483</v>
      </c>
      <c r="J26" s="9" t="s">
        <v>2484</v>
      </c>
    </row>
    <row r="27" spans="1:10" ht="76.5">
      <c r="A27" s="16"/>
      <c r="B27" s="9" t="s">
        <v>33</v>
      </c>
      <c r="C27" s="9" t="s">
        <v>1465</v>
      </c>
      <c r="D27" s="9" t="s">
        <v>1524</v>
      </c>
      <c r="E27" s="9">
        <v>12</v>
      </c>
      <c r="F27" s="9" t="s">
        <v>2386</v>
      </c>
      <c r="G27" s="9" t="s">
        <v>2485</v>
      </c>
      <c r="H27" s="9" t="s">
        <v>2486</v>
      </c>
      <c r="I27" s="9" t="s">
        <v>2487</v>
      </c>
      <c r="J27" s="9" t="s">
        <v>2488</v>
      </c>
    </row>
    <row r="28" spans="1:10" ht="102">
      <c r="A28" s="16"/>
      <c r="B28" s="9" t="s">
        <v>33</v>
      </c>
      <c r="C28" s="9" t="s">
        <v>1465</v>
      </c>
      <c r="D28" s="9" t="s">
        <v>1524</v>
      </c>
      <c r="E28" s="9">
        <v>13</v>
      </c>
      <c r="F28" s="9" t="s">
        <v>2463</v>
      </c>
      <c r="G28" s="9" t="s">
        <v>2489</v>
      </c>
      <c r="H28" s="9" t="s">
        <v>2490</v>
      </c>
      <c r="I28" s="9" t="s">
        <v>2491</v>
      </c>
      <c r="J28" s="9" t="s">
        <v>2492</v>
      </c>
    </row>
    <row r="29" spans="1:10" ht="255">
      <c r="A29" s="16"/>
      <c r="B29" s="9" t="s">
        <v>33</v>
      </c>
      <c r="C29" s="9" t="s">
        <v>1465</v>
      </c>
      <c r="D29" s="9" t="s">
        <v>1524</v>
      </c>
      <c r="E29" s="9">
        <v>14</v>
      </c>
      <c r="F29" s="9" t="s">
        <v>2493</v>
      </c>
      <c r="G29" s="9" t="s">
        <v>2494</v>
      </c>
      <c r="H29" s="9" t="s">
        <v>2495</v>
      </c>
      <c r="I29" s="16" t="s">
        <v>2442</v>
      </c>
      <c r="J29" s="9" t="s">
        <v>2496</v>
      </c>
    </row>
    <row r="30" spans="1:10" ht="51">
      <c r="A30" s="16"/>
      <c r="B30" s="17" t="s">
        <v>33</v>
      </c>
      <c r="C30" s="17" t="s">
        <v>1465</v>
      </c>
      <c r="D30" s="17" t="s">
        <v>1573</v>
      </c>
      <c r="E30" s="17">
        <v>1</v>
      </c>
      <c r="F30" s="17" t="s">
        <v>2497</v>
      </c>
      <c r="G30" s="17" t="s">
        <v>2498</v>
      </c>
      <c r="H30" s="17" t="s">
        <v>2499</v>
      </c>
      <c r="I30" s="26" t="s">
        <v>2500</v>
      </c>
      <c r="J30" s="17" t="s">
        <v>2501</v>
      </c>
    </row>
    <row r="31" spans="1:10" ht="51">
      <c r="A31" s="16"/>
      <c r="B31" s="17" t="s">
        <v>33</v>
      </c>
      <c r="C31" s="17" t="s">
        <v>1465</v>
      </c>
      <c r="D31" s="17" t="s">
        <v>1573</v>
      </c>
      <c r="E31" s="17">
        <v>2</v>
      </c>
      <c r="F31" s="17" t="s">
        <v>2497</v>
      </c>
      <c r="G31" s="17" t="s">
        <v>2498</v>
      </c>
      <c r="H31" s="17" t="s">
        <v>2502</v>
      </c>
      <c r="I31" s="26" t="s">
        <v>2503</v>
      </c>
      <c r="J31" s="17" t="s">
        <v>2504</v>
      </c>
    </row>
    <row r="32" spans="1:10" ht="102">
      <c r="A32" s="16"/>
      <c r="B32" s="17" t="s">
        <v>33</v>
      </c>
      <c r="C32" s="17" t="s">
        <v>1465</v>
      </c>
      <c r="D32" s="17" t="s">
        <v>1573</v>
      </c>
      <c r="E32" s="17">
        <v>3</v>
      </c>
      <c r="F32" s="17" t="s">
        <v>2505</v>
      </c>
      <c r="G32" s="17" t="s">
        <v>2506</v>
      </c>
      <c r="H32" s="17" t="s">
        <v>2507</v>
      </c>
      <c r="I32" s="26" t="s">
        <v>2508</v>
      </c>
      <c r="J32" s="17" t="s">
        <v>2509</v>
      </c>
    </row>
    <row r="33" spans="1:10" ht="102">
      <c r="A33" s="16"/>
      <c r="B33" s="17" t="s">
        <v>33</v>
      </c>
      <c r="C33" s="17" t="s">
        <v>1465</v>
      </c>
      <c r="D33" s="17" t="s">
        <v>1573</v>
      </c>
      <c r="E33" s="17">
        <v>4</v>
      </c>
      <c r="F33" s="17" t="s">
        <v>2510</v>
      </c>
      <c r="G33" s="17" t="s">
        <v>2506</v>
      </c>
      <c r="H33" s="17" t="s">
        <v>2511</v>
      </c>
      <c r="I33" s="26" t="s">
        <v>2512</v>
      </c>
      <c r="J33" s="17" t="s">
        <v>2513</v>
      </c>
    </row>
    <row r="34" spans="1:10" ht="89.25">
      <c r="A34" s="16"/>
      <c r="B34" s="17" t="s">
        <v>33</v>
      </c>
      <c r="C34" s="17" t="s">
        <v>1465</v>
      </c>
      <c r="D34" s="17" t="s">
        <v>1573</v>
      </c>
      <c r="E34" s="17">
        <v>5</v>
      </c>
      <c r="F34" s="17" t="s">
        <v>2514</v>
      </c>
      <c r="G34" s="17" t="s">
        <v>2515</v>
      </c>
      <c r="H34" s="17" t="s">
        <v>2515</v>
      </c>
      <c r="I34" s="26" t="s">
        <v>2516</v>
      </c>
      <c r="J34" s="17" t="s">
        <v>2517</v>
      </c>
    </row>
    <row r="35" spans="1:10" ht="89.25">
      <c r="A35" s="16"/>
      <c r="B35" s="17" t="s">
        <v>33</v>
      </c>
      <c r="C35" s="17" t="s">
        <v>1465</v>
      </c>
      <c r="D35" s="17" t="s">
        <v>1573</v>
      </c>
      <c r="E35" s="17">
        <v>6</v>
      </c>
      <c r="F35" s="17" t="s">
        <v>2514</v>
      </c>
      <c r="G35" s="17" t="s">
        <v>2515</v>
      </c>
      <c r="H35" s="17" t="s">
        <v>2518</v>
      </c>
      <c r="I35" s="26" t="s">
        <v>2519</v>
      </c>
      <c r="J35" s="17" t="s">
        <v>2520</v>
      </c>
    </row>
    <row r="36" spans="1:10" ht="280.5">
      <c r="A36" s="16"/>
      <c r="B36" s="17" t="s">
        <v>33</v>
      </c>
      <c r="C36" s="17" t="s">
        <v>1465</v>
      </c>
      <c r="D36" s="17" t="s">
        <v>1573</v>
      </c>
      <c r="E36" s="17">
        <v>7</v>
      </c>
      <c r="F36" s="17" t="s">
        <v>2521</v>
      </c>
      <c r="G36" s="17" t="s">
        <v>2522</v>
      </c>
      <c r="H36" s="17" t="s">
        <v>2523</v>
      </c>
      <c r="I36" s="26" t="s">
        <v>2413</v>
      </c>
      <c r="J36" s="17" t="s">
        <v>2524</v>
      </c>
    </row>
    <row r="37" spans="1:10" ht="242.25">
      <c r="A37" s="16"/>
      <c r="B37" s="17" t="s">
        <v>33</v>
      </c>
      <c r="C37" s="17" t="s">
        <v>1465</v>
      </c>
      <c r="D37" s="17" t="s">
        <v>1573</v>
      </c>
      <c r="E37" s="17">
        <v>8</v>
      </c>
      <c r="F37" s="17" t="s">
        <v>2525</v>
      </c>
      <c r="G37" s="17" t="s">
        <v>2526</v>
      </c>
      <c r="H37" s="17" t="s">
        <v>2527</v>
      </c>
      <c r="I37" s="26" t="s">
        <v>2527</v>
      </c>
      <c r="J37" s="17" t="s">
        <v>2528</v>
      </c>
    </row>
    <row r="38" spans="1:10" ht="63.75">
      <c r="A38" s="16"/>
      <c r="B38" s="17" t="s">
        <v>33</v>
      </c>
      <c r="C38" s="17" t="s">
        <v>1465</v>
      </c>
      <c r="D38" s="17" t="s">
        <v>1573</v>
      </c>
      <c r="E38" s="17">
        <v>9</v>
      </c>
      <c r="F38" s="17" t="s">
        <v>2529</v>
      </c>
      <c r="G38" s="17" t="s">
        <v>2526</v>
      </c>
      <c r="H38" s="17" t="s">
        <v>2530</v>
      </c>
      <c r="I38" s="26" t="s">
        <v>2530</v>
      </c>
      <c r="J38" s="17" t="s">
        <v>2531</v>
      </c>
    </row>
    <row r="39" spans="1:10" ht="165.75">
      <c r="A39" s="16"/>
      <c r="B39" s="17" t="s">
        <v>33</v>
      </c>
      <c r="C39" s="17" t="s">
        <v>1465</v>
      </c>
      <c r="D39" s="17" t="s">
        <v>1573</v>
      </c>
      <c r="E39" s="17">
        <v>10</v>
      </c>
      <c r="F39" s="17" t="s">
        <v>2532</v>
      </c>
      <c r="G39" s="17" t="s">
        <v>2533</v>
      </c>
      <c r="H39" s="17" t="s">
        <v>2534</v>
      </c>
      <c r="I39" s="26" t="s">
        <v>2535</v>
      </c>
      <c r="J39" s="17" t="s">
        <v>2536</v>
      </c>
    </row>
    <row r="40" spans="1:10" ht="165.75">
      <c r="A40" s="16"/>
      <c r="B40" s="17" t="s">
        <v>33</v>
      </c>
      <c r="C40" s="17" t="s">
        <v>1465</v>
      </c>
      <c r="D40" s="17" t="s">
        <v>1573</v>
      </c>
      <c r="E40" s="17">
        <v>11</v>
      </c>
      <c r="F40" s="17" t="s">
        <v>2532</v>
      </c>
      <c r="G40" s="17" t="s">
        <v>2533</v>
      </c>
      <c r="H40" s="17" t="s">
        <v>2537</v>
      </c>
      <c r="I40" s="26" t="s">
        <v>2538</v>
      </c>
      <c r="J40" s="17" t="s">
        <v>2539</v>
      </c>
    </row>
    <row r="41" spans="1:10" ht="229.5">
      <c r="A41" s="16"/>
      <c r="B41" s="17" t="s">
        <v>33</v>
      </c>
      <c r="C41" s="17" t="s">
        <v>1465</v>
      </c>
      <c r="D41" s="17" t="s">
        <v>1573</v>
      </c>
      <c r="E41" s="17">
        <v>12</v>
      </c>
      <c r="F41" s="17" t="s">
        <v>2540</v>
      </c>
      <c r="G41" s="17" t="s">
        <v>2541</v>
      </c>
      <c r="H41" s="17" t="s">
        <v>2542</v>
      </c>
      <c r="I41" s="26" t="s">
        <v>2442</v>
      </c>
      <c r="J41" s="17" t="s">
        <v>2543</v>
      </c>
    </row>
    <row r="42" spans="1:10" ht="51">
      <c r="A42" s="16"/>
      <c r="B42" s="17" t="s">
        <v>33</v>
      </c>
      <c r="C42" s="17" t="s">
        <v>1465</v>
      </c>
      <c r="D42" s="17" t="s">
        <v>1614</v>
      </c>
      <c r="E42" s="17">
        <v>1</v>
      </c>
      <c r="F42" s="17" t="s">
        <v>2497</v>
      </c>
      <c r="G42" s="17" t="s">
        <v>2544</v>
      </c>
      <c r="H42" s="17" t="s">
        <v>2545</v>
      </c>
      <c r="I42" s="26" t="s">
        <v>2546</v>
      </c>
      <c r="J42" s="17" t="s">
        <v>2547</v>
      </c>
    </row>
    <row r="43" spans="1:10" ht="102">
      <c r="A43" s="16"/>
      <c r="B43" s="17" t="s">
        <v>33</v>
      </c>
      <c r="C43" s="17" t="s">
        <v>1465</v>
      </c>
      <c r="D43" s="17" t="s">
        <v>1614</v>
      </c>
      <c r="E43" s="17">
        <v>2</v>
      </c>
      <c r="F43" s="17" t="s">
        <v>2548</v>
      </c>
      <c r="G43" s="17" t="s">
        <v>2544</v>
      </c>
      <c r="H43" s="17" t="s">
        <v>2549</v>
      </c>
      <c r="I43" s="26" t="s">
        <v>2550</v>
      </c>
      <c r="J43" s="17" t="s">
        <v>2551</v>
      </c>
    </row>
    <row r="44" spans="1:10" ht="51">
      <c r="A44" s="16"/>
      <c r="B44" s="17" t="s">
        <v>33</v>
      </c>
      <c r="C44" s="17" t="s">
        <v>1465</v>
      </c>
      <c r="D44" s="17" t="s">
        <v>1614</v>
      </c>
      <c r="E44" s="17">
        <v>3</v>
      </c>
      <c r="F44" s="17" t="s">
        <v>2497</v>
      </c>
      <c r="G44" s="17" t="s">
        <v>2544</v>
      </c>
      <c r="H44" s="17" t="s">
        <v>2552</v>
      </c>
      <c r="I44" s="26" t="s">
        <v>2553</v>
      </c>
      <c r="J44" s="17" t="s">
        <v>2554</v>
      </c>
    </row>
    <row r="45" spans="1:10" ht="51">
      <c r="A45" s="16"/>
      <c r="B45" s="17" t="s">
        <v>33</v>
      </c>
      <c r="C45" s="17" t="s">
        <v>1465</v>
      </c>
      <c r="D45" s="17" t="s">
        <v>1614</v>
      </c>
      <c r="E45" s="17">
        <v>4</v>
      </c>
      <c r="F45" s="17" t="s">
        <v>2497</v>
      </c>
      <c r="G45" s="17" t="s">
        <v>2555</v>
      </c>
      <c r="H45" s="17" t="s">
        <v>2556</v>
      </c>
      <c r="I45" s="26" t="s">
        <v>2557</v>
      </c>
      <c r="J45" s="17" t="s">
        <v>2558</v>
      </c>
    </row>
    <row r="46" spans="1:10" ht="114.75">
      <c r="A46" s="16"/>
      <c r="B46" s="17" t="s">
        <v>33</v>
      </c>
      <c r="C46" s="17" t="s">
        <v>1465</v>
      </c>
      <c r="D46" s="17" t="s">
        <v>1614</v>
      </c>
      <c r="E46" s="17">
        <v>5</v>
      </c>
      <c r="F46" s="17" t="s">
        <v>2559</v>
      </c>
      <c r="G46" s="17" t="s">
        <v>2560</v>
      </c>
      <c r="H46" s="17" t="s">
        <v>2561</v>
      </c>
      <c r="I46" s="26" t="s">
        <v>2562</v>
      </c>
      <c r="J46" s="17" t="s">
        <v>2563</v>
      </c>
    </row>
    <row r="47" spans="1:10" ht="89.25">
      <c r="A47" s="16"/>
      <c r="B47" s="17" t="s">
        <v>33</v>
      </c>
      <c r="C47" s="17" t="s">
        <v>1465</v>
      </c>
      <c r="D47" s="17" t="s">
        <v>1614</v>
      </c>
      <c r="E47" s="17">
        <v>6</v>
      </c>
      <c r="F47" s="17" t="s">
        <v>2564</v>
      </c>
      <c r="G47" s="17" t="s">
        <v>2565</v>
      </c>
      <c r="H47" s="17" t="s">
        <v>2566</v>
      </c>
      <c r="I47" s="26" t="s">
        <v>2567</v>
      </c>
      <c r="J47" s="17" t="s">
        <v>2568</v>
      </c>
    </row>
    <row r="48" spans="1:10" ht="89.25">
      <c r="A48" s="16"/>
      <c r="B48" s="17" t="s">
        <v>33</v>
      </c>
      <c r="C48" s="17" t="s">
        <v>1465</v>
      </c>
      <c r="D48" s="17" t="s">
        <v>1614</v>
      </c>
      <c r="E48" s="17">
        <v>7</v>
      </c>
      <c r="F48" s="17" t="s">
        <v>2564</v>
      </c>
      <c r="G48" s="17" t="s">
        <v>2565</v>
      </c>
      <c r="H48" s="17" t="s">
        <v>2569</v>
      </c>
      <c r="I48" s="26" t="s">
        <v>2570</v>
      </c>
      <c r="J48" s="17" t="s">
        <v>2571</v>
      </c>
    </row>
    <row r="49" spans="1:10" ht="102">
      <c r="A49" s="16"/>
      <c r="B49" s="17" t="s">
        <v>33</v>
      </c>
      <c r="C49" s="17" t="s">
        <v>1465</v>
      </c>
      <c r="D49" s="17" t="s">
        <v>1614</v>
      </c>
      <c r="E49" s="17">
        <v>8</v>
      </c>
      <c r="F49" s="17" t="s">
        <v>2572</v>
      </c>
      <c r="G49" s="17" t="s">
        <v>2573</v>
      </c>
      <c r="H49" s="17" t="s">
        <v>2574</v>
      </c>
      <c r="I49" s="26" t="s">
        <v>2575</v>
      </c>
      <c r="J49" s="17" t="s">
        <v>2576</v>
      </c>
    </row>
    <row r="50" spans="1:10" ht="140.25">
      <c r="A50" s="16"/>
      <c r="B50" s="17" t="s">
        <v>33</v>
      </c>
      <c r="C50" s="17" t="s">
        <v>1465</v>
      </c>
      <c r="D50" s="17" t="s">
        <v>1614</v>
      </c>
      <c r="E50" s="17">
        <v>9</v>
      </c>
      <c r="F50" s="17" t="s">
        <v>2577</v>
      </c>
      <c r="G50" s="17" t="s">
        <v>2573</v>
      </c>
      <c r="H50" s="17" t="s">
        <v>2578</v>
      </c>
      <c r="I50" s="26" t="s">
        <v>2579</v>
      </c>
      <c r="J50" s="17" t="s">
        <v>2580</v>
      </c>
    </row>
    <row r="51" spans="1:10" ht="191.25">
      <c r="A51" s="16"/>
      <c r="B51" s="17" t="s">
        <v>33</v>
      </c>
      <c r="C51" s="17" t="s">
        <v>1465</v>
      </c>
      <c r="D51" s="17" t="s">
        <v>1614</v>
      </c>
      <c r="E51" s="17">
        <v>10</v>
      </c>
      <c r="F51" s="17" t="s">
        <v>2581</v>
      </c>
      <c r="G51" s="17" t="s">
        <v>2582</v>
      </c>
      <c r="H51" s="17" t="s">
        <v>2583</v>
      </c>
      <c r="I51" s="26" t="s">
        <v>2584</v>
      </c>
      <c r="J51" s="17" t="s">
        <v>2585</v>
      </c>
    </row>
    <row r="52" spans="1:10" ht="153">
      <c r="A52" s="16"/>
      <c r="B52" s="17" t="s">
        <v>33</v>
      </c>
      <c r="C52" s="17" t="s">
        <v>1465</v>
      </c>
      <c r="D52" s="17" t="s">
        <v>1614</v>
      </c>
      <c r="E52" s="17">
        <v>11</v>
      </c>
      <c r="F52" s="17" t="s">
        <v>2586</v>
      </c>
      <c r="G52" s="17" t="s">
        <v>2587</v>
      </c>
      <c r="H52" s="17" t="s">
        <v>2588</v>
      </c>
      <c r="I52" s="26" t="s">
        <v>2589</v>
      </c>
      <c r="J52" s="17" t="s">
        <v>2590</v>
      </c>
    </row>
    <row r="53" spans="1:10" ht="280.5">
      <c r="A53" s="16"/>
      <c r="B53" s="17" t="s">
        <v>33</v>
      </c>
      <c r="C53" s="17" t="s">
        <v>1465</v>
      </c>
      <c r="D53" s="17" t="s">
        <v>1614</v>
      </c>
      <c r="E53" s="17">
        <v>12</v>
      </c>
      <c r="F53" s="17" t="s">
        <v>2591</v>
      </c>
      <c r="G53" s="17" t="s">
        <v>2592</v>
      </c>
      <c r="H53" s="17" t="s">
        <v>2593</v>
      </c>
      <c r="I53" s="26" t="s">
        <v>2442</v>
      </c>
      <c r="J53" s="17" t="s">
        <v>2594</v>
      </c>
    </row>
  </sheetData>
  <autoFilter ref="A1:J53"/>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sheetPr>
    <tabColor rgb="FFFFBFFC"/>
  </sheetPr>
  <dimension ref="A1:K53"/>
  <sheetViews>
    <sheetView workbookViewId="0">
      <pane ySplit="1" topLeftCell="A2" activePane="bottomLeft" state="frozen"/>
      <selection pane="bottomLeft" activeCell="B3" sqref="B3"/>
    </sheetView>
  </sheetViews>
  <sheetFormatPr defaultColWidth="12.5703125" defaultRowHeight="15" customHeight="1"/>
  <cols>
    <col min="1" max="1" width="18.7109375" customWidth="1"/>
    <col min="2" max="2" width="9.140625" customWidth="1"/>
    <col min="3" max="3" width="8.42578125" customWidth="1"/>
    <col min="4" max="4" width="13.140625" customWidth="1"/>
    <col min="5" max="5" width="9.140625" customWidth="1"/>
    <col min="6" max="6" width="22" customWidth="1"/>
    <col min="7" max="7" width="47.85546875" customWidth="1"/>
    <col min="8" max="8" width="22.85546875" customWidth="1"/>
    <col min="9" max="9" width="19.42578125" customWidth="1"/>
    <col min="10" max="10" width="25.28515625" customWidth="1"/>
    <col min="11" max="11" width="40.5703125" customWidth="1"/>
  </cols>
  <sheetData>
    <row r="1" spans="1:11" ht="27" customHeight="1">
      <c r="A1" s="13" t="s">
        <v>20</v>
      </c>
      <c r="B1" s="14" t="s">
        <v>21</v>
      </c>
      <c r="C1" s="13" t="s">
        <v>22</v>
      </c>
      <c r="D1" s="14" t="s">
        <v>23</v>
      </c>
      <c r="E1" s="14" t="s">
        <v>24</v>
      </c>
      <c r="F1" s="14" t="s">
        <v>26</v>
      </c>
      <c r="G1" s="14" t="s">
        <v>27</v>
      </c>
      <c r="H1" s="14" t="s">
        <v>28</v>
      </c>
      <c r="I1" s="14" t="s">
        <v>29</v>
      </c>
      <c r="J1" s="14" t="s">
        <v>30</v>
      </c>
      <c r="K1" s="14" t="s">
        <v>31</v>
      </c>
    </row>
    <row r="2" spans="1:11" ht="76.5">
      <c r="A2" s="16"/>
      <c r="B2" s="9" t="s">
        <v>33</v>
      </c>
      <c r="C2" s="9" t="s">
        <v>1069</v>
      </c>
      <c r="D2" s="9" t="s">
        <v>35</v>
      </c>
      <c r="E2" s="9">
        <v>1</v>
      </c>
      <c r="F2" s="9" t="s">
        <v>2595</v>
      </c>
      <c r="G2" s="17" t="s">
        <v>2596</v>
      </c>
      <c r="H2" s="9" t="s">
        <v>2597</v>
      </c>
      <c r="I2" s="9" t="s">
        <v>2598</v>
      </c>
      <c r="J2" s="9" t="s">
        <v>2599</v>
      </c>
      <c r="K2" s="9" t="s">
        <v>2600</v>
      </c>
    </row>
    <row r="3" spans="1:11" ht="63.75">
      <c r="A3" s="16"/>
      <c r="B3" s="9" t="s">
        <v>33</v>
      </c>
      <c r="C3" s="9" t="s">
        <v>1069</v>
      </c>
      <c r="D3" s="9" t="s">
        <v>35</v>
      </c>
      <c r="E3" s="9">
        <v>2</v>
      </c>
      <c r="F3" s="9" t="s">
        <v>2595</v>
      </c>
      <c r="G3" s="17" t="s">
        <v>2601</v>
      </c>
      <c r="H3" s="9" t="s">
        <v>2602</v>
      </c>
      <c r="I3" s="9" t="s">
        <v>2603</v>
      </c>
      <c r="J3" s="9" t="s">
        <v>2604</v>
      </c>
      <c r="K3" s="9" t="s">
        <v>2605</v>
      </c>
    </row>
    <row r="4" spans="1:11" ht="127.5">
      <c r="A4" s="16"/>
      <c r="B4" s="9" t="s">
        <v>33</v>
      </c>
      <c r="C4" s="9" t="s">
        <v>1069</v>
      </c>
      <c r="D4" s="9" t="s">
        <v>35</v>
      </c>
      <c r="E4" s="9">
        <v>3</v>
      </c>
      <c r="F4" s="9" t="s">
        <v>2595</v>
      </c>
      <c r="G4" s="17" t="s">
        <v>2606</v>
      </c>
      <c r="H4" s="9" t="s">
        <v>2607</v>
      </c>
      <c r="I4" s="9" t="s">
        <v>2608</v>
      </c>
      <c r="J4" s="9" t="s">
        <v>2609</v>
      </c>
      <c r="K4" s="9" t="s">
        <v>2610</v>
      </c>
    </row>
    <row r="5" spans="1:11" ht="89.25">
      <c r="A5" s="16"/>
      <c r="B5" s="9" t="s">
        <v>33</v>
      </c>
      <c r="C5" s="9" t="s">
        <v>1069</v>
      </c>
      <c r="D5" s="9" t="s">
        <v>35</v>
      </c>
      <c r="E5" s="9">
        <v>4</v>
      </c>
      <c r="F5" s="9" t="s">
        <v>2595</v>
      </c>
      <c r="G5" s="17" t="s">
        <v>1086</v>
      </c>
      <c r="H5" s="9" t="s">
        <v>2611</v>
      </c>
      <c r="I5" s="9" t="s">
        <v>2612</v>
      </c>
      <c r="J5" s="9" t="s">
        <v>2613</v>
      </c>
      <c r="K5" s="9" t="s">
        <v>2614</v>
      </c>
    </row>
    <row r="6" spans="1:11" ht="89.25">
      <c r="A6" s="16"/>
      <c r="B6" s="9" t="s">
        <v>33</v>
      </c>
      <c r="C6" s="9" t="s">
        <v>1069</v>
      </c>
      <c r="D6" s="9" t="s">
        <v>35</v>
      </c>
      <c r="E6" s="9">
        <v>5</v>
      </c>
      <c r="F6" s="9" t="s">
        <v>2595</v>
      </c>
      <c r="G6" s="17" t="s">
        <v>2615</v>
      </c>
      <c r="H6" s="9" t="s">
        <v>2616</v>
      </c>
      <c r="I6" s="9" t="s">
        <v>2617</v>
      </c>
      <c r="J6" s="9" t="s">
        <v>2618</v>
      </c>
      <c r="K6" s="9" t="s">
        <v>2619</v>
      </c>
    </row>
    <row r="7" spans="1:11" ht="63.75">
      <c r="A7" s="16"/>
      <c r="B7" s="9" t="s">
        <v>33</v>
      </c>
      <c r="C7" s="9" t="s">
        <v>1069</v>
      </c>
      <c r="D7" s="9" t="s">
        <v>35</v>
      </c>
      <c r="E7" s="9">
        <v>6</v>
      </c>
      <c r="F7" s="9" t="s">
        <v>2595</v>
      </c>
      <c r="G7" s="17" t="s">
        <v>2620</v>
      </c>
      <c r="H7" s="9" t="s">
        <v>2621</v>
      </c>
      <c r="I7" s="9" t="s">
        <v>2622</v>
      </c>
      <c r="J7" s="9" t="s">
        <v>2623</v>
      </c>
      <c r="K7" s="9" t="s">
        <v>2624</v>
      </c>
    </row>
    <row r="8" spans="1:11" ht="63.75">
      <c r="A8" s="16"/>
      <c r="B8" s="9" t="s">
        <v>33</v>
      </c>
      <c r="C8" s="9" t="s">
        <v>1069</v>
      </c>
      <c r="D8" s="9" t="s">
        <v>35</v>
      </c>
      <c r="E8" s="9">
        <v>7</v>
      </c>
      <c r="F8" s="9" t="s">
        <v>2595</v>
      </c>
      <c r="G8" s="17" t="s">
        <v>2601</v>
      </c>
      <c r="H8" s="9" t="s">
        <v>2625</v>
      </c>
      <c r="I8" s="9" t="s">
        <v>2626</v>
      </c>
      <c r="J8" s="9" t="s">
        <v>2627</v>
      </c>
      <c r="K8" s="9" t="s">
        <v>2628</v>
      </c>
    </row>
    <row r="9" spans="1:11" ht="140.25">
      <c r="A9" s="16"/>
      <c r="B9" s="9" t="s">
        <v>33</v>
      </c>
      <c r="C9" s="9" t="s">
        <v>1069</v>
      </c>
      <c r="D9" s="9" t="s">
        <v>35</v>
      </c>
      <c r="E9" s="9">
        <v>8</v>
      </c>
      <c r="F9" s="9" t="s">
        <v>2595</v>
      </c>
      <c r="G9" s="17" t="s">
        <v>2629</v>
      </c>
      <c r="H9" s="9" t="s">
        <v>2630</v>
      </c>
      <c r="I9" s="9" t="s">
        <v>2631</v>
      </c>
      <c r="J9" s="9" t="s">
        <v>2632</v>
      </c>
      <c r="K9" s="9" t="s">
        <v>2633</v>
      </c>
    </row>
    <row r="10" spans="1:11" ht="140.25">
      <c r="A10" s="16"/>
      <c r="B10" s="9" t="s">
        <v>33</v>
      </c>
      <c r="C10" s="9" t="s">
        <v>1069</v>
      </c>
      <c r="D10" s="9" t="s">
        <v>35</v>
      </c>
      <c r="E10" s="9">
        <v>9</v>
      </c>
      <c r="F10" s="9" t="s">
        <v>2595</v>
      </c>
      <c r="G10" s="17" t="s">
        <v>2629</v>
      </c>
      <c r="H10" s="9" t="s">
        <v>2634</v>
      </c>
      <c r="I10" s="9" t="s">
        <v>2635</v>
      </c>
      <c r="J10" s="9" t="s">
        <v>2636</v>
      </c>
      <c r="K10" s="9" t="s">
        <v>2637</v>
      </c>
    </row>
    <row r="11" spans="1:11" ht="76.5">
      <c r="A11" s="16"/>
      <c r="B11" s="9" t="s">
        <v>33</v>
      </c>
      <c r="C11" s="9" t="s">
        <v>1069</v>
      </c>
      <c r="D11" s="9" t="s">
        <v>35</v>
      </c>
      <c r="E11" s="9">
        <v>10</v>
      </c>
      <c r="F11" s="9" t="s">
        <v>2595</v>
      </c>
      <c r="G11" s="17" t="s">
        <v>2638</v>
      </c>
      <c r="H11" s="9" t="s">
        <v>2639</v>
      </c>
      <c r="I11" s="9" t="s">
        <v>2640</v>
      </c>
      <c r="J11" s="9" t="s">
        <v>2641</v>
      </c>
      <c r="K11" s="9" t="s">
        <v>2642</v>
      </c>
    </row>
    <row r="12" spans="1:11" ht="140.25">
      <c r="A12" s="16"/>
      <c r="B12" s="9" t="s">
        <v>33</v>
      </c>
      <c r="C12" s="9" t="s">
        <v>1069</v>
      </c>
      <c r="D12" s="9" t="s">
        <v>35</v>
      </c>
      <c r="E12" s="9">
        <v>11</v>
      </c>
      <c r="F12" s="9" t="s">
        <v>2595</v>
      </c>
      <c r="G12" s="17" t="s">
        <v>2643</v>
      </c>
      <c r="H12" s="9" t="s">
        <v>2644</v>
      </c>
      <c r="I12" s="9" t="s">
        <v>2645</v>
      </c>
      <c r="J12" s="9" t="s">
        <v>2646</v>
      </c>
      <c r="K12" s="9" t="s">
        <v>2647</v>
      </c>
    </row>
    <row r="13" spans="1:11" ht="76.5">
      <c r="A13" s="16"/>
      <c r="B13" s="9" t="s">
        <v>33</v>
      </c>
      <c r="C13" s="9" t="s">
        <v>1069</v>
      </c>
      <c r="D13" s="9" t="s">
        <v>35</v>
      </c>
      <c r="E13" s="9">
        <v>12</v>
      </c>
      <c r="F13" s="9" t="s">
        <v>2595</v>
      </c>
      <c r="G13" s="17" t="s">
        <v>2648</v>
      </c>
      <c r="H13" s="9" t="s">
        <v>2649</v>
      </c>
      <c r="I13" s="9" t="s">
        <v>2650</v>
      </c>
      <c r="J13" s="9" t="s">
        <v>2651</v>
      </c>
      <c r="K13" s="9" t="s">
        <v>2652</v>
      </c>
    </row>
    <row r="14" spans="1:11" ht="153">
      <c r="A14" s="16"/>
      <c r="B14" s="9" t="s">
        <v>33</v>
      </c>
      <c r="C14" s="9" t="s">
        <v>1069</v>
      </c>
      <c r="D14" s="9" t="s">
        <v>35</v>
      </c>
      <c r="E14" s="9">
        <v>13</v>
      </c>
      <c r="F14" s="9" t="s">
        <v>2595</v>
      </c>
      <c r="G14" s="17" t="s">
        <v>2653</v>
      </c>
      <c r="H14" s="9" t="s">
        <v>2654</v>
      </c>
      <c r="I14" s="9" t="s">
        <v>2655</v>
      </c>
      <c r="J14" s="9" t="s">
        <v>2656</v>
      </c>
      <c r="K14" s="9" t="s">
        <v>2657</v>
      </c>
    </row>
    <row r="15" spans="1:11" ht="153">
      <c r="A15" s="16"/>
      <c r="B15" s="9" t="s">
        <v>33</v>
      </c>
      <c r="C15" s="9" t="s">
        <v>1069</v>
      </c>
      <c r="D15" s="9" t="s">
        <v>35</v>
      </c>
      <c r="E15" s="9">
        <v>14</v>
      </c>
      <c r="F15" s="9" t="s">
        <v>2595</v>
      </c>
      <c r="G15" s="17" t="s">
        <v>2658</v>
      </c>
      <c r="H15" s="9" t="s">
        <v>2659</v>
      </c>
      <c r="I15" s="9" t="s">
        <v>2660</v>
      </c>
      <c r="J15" s="9" t="s">
        <v>2661</v>
      </c>
      <c r="K15" s="9" t="s">
        <v>2662</v>
      </c>
    </row>
    <row r="16" spans="1:11" ht="76.5">
      <c r="A16" s="16"/>
      <c r="B16" s="9" t="s">
        <v>33</v>
      </c>
      <c r="C16" s="9" t="s">
        <v>1069</v>
      </c>
      <c r="D16" s="9" t="s">
        <v>90</v>
      </c>
      <c r="E16" s="9">
        <v>1</v>
      </c>
      <c r="F16" s="9" t="s">
        <v>2663</v>
      </c>
      <c r="G16" s="17" t="s">
        <v>2664</v>
      </c>
      <c r="H16" s="9" t="s">
        <v>2665</v>
      </c>
      <c r="I16" s="9" t="s">
        <v>2666</v>
      </c>
      <c r="J16" s="9" t="s">
        <v>2667</v>
      </c>
      <c r="K16" s="9" t="s">
        <v>2668</v>
      </c>
    </row>
    <row r="17" spans="1:11" ht="63.75">
      <c r="A17" s="16"/>
      <c r="B17" s="9" t="s">
        <v>33</v>
      </c>
      <c r="C17" s="9" t="s">
        <v>1069</v>
      </c>
      <c r="D17" s="9" t="s">
        <v>90</v>
      </c>
      <c r="E17" s="9">
        <v>2</v>
      </c>
      <c r="F17" s="9" t="s">
        <v>2663</v>
      </c>
      <c r="G17" s="17" t="s">
        <v>2669</v>
      </c>
      <c r="H17" s="9" t="s">
        <v>2670</v>
      </c>
      <c r="I17" s="9" t="s">
        <v>2671</v>
      </c>
      <c r="J17" s="9" t="s">
        <v>2672</v>
      </c>
      <c r="K17" s="9" t="s">
        <v>2673</v>
      </c>
    </row>
    <row r="18" spans="1:11" ht="76.5">
      <c r="A18" s="16" t="s">
        <v>1136</v>
      </c>
      <c r="B18" s="9" t="s">
        <v>33</v>
      </c>
      <c r="C18" s="9" t="s">
        <v>1069</v>
      </c>
      <c r="D18" s="9" t="s">
        <v>90</v>
      </c>
      <c r="E18" s="9">
        <v>3</v>
      </c>
      <c r="F18" s="9" t="s">
        <v>2663</v>
      </c>
      <c r="G18" s="17" t="s">
        <v>2674</v>
      </c>
      <c r="H18" s="9" t="s">
        <v>2675</v>
      </c>
      <c r="I18" s="9" t="s">
        <v>2676</v>
      </c>
      <c r="J18" s="9" t="s">
        <v>2677</v>
      </c>
      <c r="K18" s="9" t="s">
        <v>2678</v>
      </c>
    </row>
    <row r="19" spans="1:11" ht="165.75">
      <c r="A19" s="16"/>
      <c r="B19" s="9" t="s">
        <v>33</v>
      </c>
      <c r="C19" s="9" t="s">
        <v>1069</v>
      </c>
      <c r="D19" s="9" t="s">
        <v>90</v>
      </c>
      <c r="E19" s="9">
        <v>4</v>
      </c>
      <c r="F19" s="9" t="s">
        <v>2663</v>
      </c>
      <c r="G19" s="17" t="s">
        <v>1288</v>
      </c>
      <c r="H19" s="9" t="s">
        <v>2679</v>
      </c>
      <c r="I19" s="9" t="s">
        <v>2680</v>
      </c>
      <c r="J19" s="9" t="s">
        <v>2681</v>
      </c>
      <c r="K19" s="9" t="s">
        <v>2682</v>
      </c>
    </row>
    <row r="20" spans="1:11" ht="89.25">
      <c r="A20" s="16"/>
      <c r="B20" s="9" t="s">
        <v>33</v>
      </c>
      <c r="C20" s="9" t="s">
        <v>1069</v>
      </c>
      <c r="D20" s="9" t="s">
        <v>90</v>
      </c>
      <c r="E20" s="9">
        <v>5</v>
      </c>
      <c r="F20" s="9" t="s">
        <v>2663</v>
      </c>
      <c r="G20" s="17" t="s">
        <v>2683</v>
      </c>
      <c r="H20" s="9" t="s">
        <v>2684</v>
      </c>
      <c r="I20" s="9" t="s">
        <v>2685</v>
      </c>
      <c r="J20" s="9" t="s">
        <v>2686</v>
      </c>
      <c r="K20" s="9" t="s">
        <v>2687</v>
      </c>
    </row>
    <row r="21" spans="1:11" ht="89.25">
      <c r="A21" s="16"/>
      <c r="B21" s="9" t="s">
        <v>33</v>
      </c>
      <c r="C21" s="9" t="s">
        <v>1069</v>
      </c>
      <c r="D21" s="9" t="s">
        <v>90</v>
      </c>
      <c r="E21" s="9">
        <v>6</v>
      </c>
      <c r="F21" s="9" t="s">
        <v>2663</v>
      </c>
      <c r="G21" s="17" t="s">
        <v>1086</v>
      </c>
      <c r="H21" s="9" t="s">
        <v>2688</v>
      </c>
      <c r="I21" s="9" t="s">
        <v>2689</v>
      </c>
      <c r="J21" s="9" t="s">
        <v>2690</v>
      </c>
      <c r="K21" s="9" t="s">
        <v>2691</v>
      </c>
    </row>
    <row r="22" spans="1:11" ht="165.75">
      <c r="A22" s="16"/>
      <c r="B22" s="9" t="s">
        <v>33</v>
      </c>
      <c r="C22" s="9" t="s">
        <v>1069</v>
      </c>
      <c r="D22" s="9" t="s">
        <v>90</v>
      </c>
      <c r="E22" s="9">
        <v>7</v>
      </c>
      <c r="F22" s="9" t="s">
        <v>2663</v>
      </c>
      <c r="G22" s="17" t="s">
        <v>2692</v>
      </c>
      <c r="H22" s="9" t="s">
        <v>2693</v>
      </c>
      <c r="I22" s="9" t="s">
        <v>2694</v>
      </c>
      <c r="J22" s="9" t="s">
        <v>2695</v>
      </c>
      <c r="K22" s="9" t="s">
        <v>2696</v>
      </c>
    </row>
    <row r="23" spans="1:11" ht="114.75">
      <c r="A23" s="16"/>
      <c r="B23" s="9" t="s">
        <v>33</v>
      </c>
      <c r="C23" s="9" t="s">
        <v>1069</v>
      </c>
      <c r="D23" s="9" t="s">
        <v>90</v>
      </c>
      <c r="E23" s="9">
        <v>8</v>
      </c>
      <c r="F23" s="9" t="s">
        <v>2663</v>
      </c>
      <c r="G23" s="17" t="s">
        <v>2697</v>
      </c>
      <c r="H23" s="9" t="s">
        <v>2698</v>
      </c>
      <c r="I23" s="9" t="s">
        <v>2699</v>
      </c>
      <c r="J23" s="9" t="s">
        <v>2700</v>
      </c>
      <c r="K23" s="9" t="s">
        <v>2701</v>
      </c>
    </row>
    <row r="24" spans="1:11" ht="153">
      <c r="A24" s="16"/>
      <c r="B24" s="9" t="s">
        <v>33</v>
      </c>
      <c r="C24" s="9" t="s">
        <v>1069</v>
      </c>
      <c r="D24" s="9" t="s">
        <v>90</v>
      </c>
      <c r="E24" s="9">
        <v>9</v>
      </c>
      <c r="F24" s="9" t="s">
        <v>2663</v>
      </c>
      <c r="G24" s="17" t="s">
        <v>2702</v>
      </c>
      <c r="H24" s="9" t="s">
        <v>2703</v>
      </c>
      <c r="I24" s="9" t="s">
        <v>2704</v>
      </c>
      <c r="J24" s="9" t="s">
        <v>2705</v>
      </c>
      <c r="K24" s="9" t="s">
        <v>2706</v>
      </c>
    </row>
    <row r="25" spans="1:11" ht="127.5">
      <c r="A25" s="16"/>
      <c r="B25" s="9" t="s">
        <v>33</v>
      </c>
      <c r="C25" s="9" t="s">
        <v>1069</v>
      </c>
      <c r="D25" s="9" t="s">
        <v>90</v>
      </c>
      <c r="E25" s="9">
        <v>10</v>
      </c>
      <c r="F25" s="9" t="s">
        <v>2663</v>
      </c>
      <c r="G25" s="17" t="s">
        <v>2707</v>
      </c>
      <c r="H25" s="9" t="s">
        <v>2708</v>
      </c>
      <c r="I25" s="9" t="s">
        <v>2709</v>
      </c>
      <c r="J25" s="9" t="s">
        <v>2710</v>
      </c>
      <c r="K25" s="9" t="s">
        <v>2711</v>
      </c>
    </row>
    <row r="26" spans="1:11" ht="165.75">
      <c r="A26" s="16"/>
      <c r="B26" s="9" t="s">
        <v>33</v>
      </c>
      <c r="C26" s="9" t="s">
        <v>1069</v>
      </c>
      <c r="D26" s="9" t="s">
        <v>90</v>
      </c>
      <c r="E26" s="9">
        <v>11</v>
      </c>
      <c r="F26" s="9" t="s">
        <v>2663</v>
      </c>
      <c r="G26" s="17" t="s">
        <v>2712</v>
      </c>
      <c r="H26" s="9" t="s">
        <v>2713</v>
      </c>
      <c r="I26" s="9" t="s">
        <v>2714</v>
      </c>
      <c r="J26" s="9" t="s">
        <v>2715</v>
      </c>
      <c r="K26" s="9" t="s">
        <v>2716</v>
      </c>
    </row>
    <row r="27" spans="1:11" ht="63.75">
      <c r="A27" s="16"/>
      <c r="B27" s="9" t="s">
        <v>33</v>
      </c>
      <c r="C27" s="9" t="s">
        <v>1069</v>
      </c>
      <c r="D27" s="9" t="s">
        <v>90</v>
      </c>
      <c r="E27" s="9">
        <v>12</v>
      </c>
      <c r="F27" s="9" t="s">
        <v>2663</v>
      </c>
      <c r="G27" s="17" t="s">
        <v>2717</v>
      </c>
      <c r="H27" s="9" t="s">
        <v>2718</v>
      </c>
      <c r="I27" s="9" t="s">
        <v>2719</v>
      </c>
      <c r="J27" s="9" t="s">
        <v>2720</v>
      </c>
      <c r="K27" s="9" t="s">
        <v>2721</v>
      </c>
    </row>
    <row r="28" spans="1:11" ht="153">
      <c r="A28" s="16"/>
      <c r="B28" s="9" t="s">
        <v>33</v>
      </c>
      <c r="C28" s="9" t="s">
        <v>1069</v>
      </c>
      <c r="D28" s="9" t="s">
        <v>90</v>
      </c>
      <c r="E28" s="9">
        <v>13</v>
      </c>
      <c r="F28" s="9" t="s">
        <v>2663</v>
      </c>
      <c r="G28" s="17" t="s">
        <v>2722</v>
      </c>
      <c r="H28" s="9" t="s">
        <v>2723</v>
      </c>
      <c r="I28" s="9" t="s">
        <v>2724</v>
      </c>
      <c r="J28" s="9" t="s">
        <v>2725</v>
      </c>
      <c r="K28" s="9" t="s">
        <v>2726</v>
      </c>
    </row>
    <row r="29" spans="1:11" ht="76.5">
      <c r="A29" s="16" t="s">
        <v>1136</v>
      </c>
      <c r="B29" s="9" t="s">
        <v>33</v>
      </c>
      <c r="C29" s="9" t="s">
        <v>1069</v>
      </c>
      <c r="D29" s="9" t="s">
        <v>90</v>
      </c>
      <c r="E29" s="9">
        <v>14</v>
      </c>
      <c r="F29" s="9" t="s">
        <v>2663</v>
      </c>
      <c r="G29" s="17" t="s">
        <v>2727</v>
      </c>
      <c r="H29" s="9" t="s">
        <v>2728</v>
      </c>
      <c r="I29" s="9" t="s">
        <v>2729</v>
      </c>
      <c r="J29" s="9" t="s">
        <v>2730</v>
      </c>
      <c r="K29" s="9" t="s">
        <v>2731</v>
      </c>
    </row>
    <row r="30" spans="1:11" ht="165.75">
      <c r="A30" s="16"/>
      <c r="B30" s="9" t="s">
        <v>33</v>
      </c>
      <c r="C30" s="9" t="s">
        <v>1069</v>
      </c>
      <c r="D30" s="17" t="s">
        <v>144</v>
      </c>
      <c r="E30" s="17">
        <v>1</v>
      </c>
      <c r="F30" s="17" t="s">
        <v>2732</v>
      </c>
      <c r="G30" s="17" t="s">
        <v>2733</v>
      </c>
      <c r="H30" s="17" t="s">
        <v>2734</v>
      </c>
      <c r="I30" s="17" t="s">
        <v>2735</v>
      </c>
      <c r="J30" s="17" t="s">
        <v>2736</v>
      </c>
      <c r="K30" s="17" t="s">
        <v>2737</v>
      </c>
    </row>
    <row r="31" spans="1:11" ht="165.75">
      <c r="A31" s="16"/>
      <c r="B31" s="9" t="s">
        <v>33</v>
      </c>
      <c r="C31" s="9" t="s">
        <v>1069</v>
      </c>
      <c r="D31" s="17" t="s">
        <v>144</v>
      </c>
      <c r="E31" s="17">
        <v>2</v>
      </c>
      <c r="F31" s="17" t="s">
        <v>2732</v>
      </c>
      <c r="G31" s="17" t="s">
        <v>2733</v>
      </c>
      <c r="H31" s="17" t="s">
        <v>2734</v>
      </c>
      <c r="I31" s="17" t="s">
        <v>2738</v>
      </c>
      <c r="J31" s="17" t="s">
        <v>2739</v>
      </c>
      <c r="K31" s="17" t="s">
        <v>2740</v>
      </c>
    </row>
    <row r="32" spans="1:11" ht="165.75">
      <c r="A32" s="16"/>
      <c r="B32" s="9" t="s">
        <v>33</v>
      </c>
      <c r="C32" s="9" t="s">
        <v>1069</v>
      </c>
      <c r="D32" s="17" t="s">
        <v>144</v>
      </c>
      <c r="E32" s="17">
        <v>3</v>
      </c>
      <c r="F32" s="17" t="s">
        <v>2732</v>
      </c>
      <c r="G32" s="17" t="s">
        <v>2733</v>
      </c>
      <c r="H32" s="17" t="s">
        <v>2741</v>
      </c>
      <c r="I32" s="17" t="s">
        <v>2742</v>
      </c>
      <c r="J32" s="17" t="s">
        <v>2743</v>
      </c>
      <c r="K32" s="17" t="s">
        <v>2744</v>
      </c>
    </row>
    <row r="33" spans="1:11" ht="76.5">
      <c r="A33" s="16"/>
      <c r="B33" s="9" t="s">
        <v>33</v>
      </c>
      <c r="C33" s="9" t="s">
        <v>1069</v>
      </c>
      <c r="D33" s="17" t="s">
        <v>144</v>
      </c>
      <c r="E33" s="17">
        <v>4</v>
      </c>
      <c r="F33" s="17" t="s">
        <v>2732</v>
      </c>
      <c r="G33" s="17" t="s">
        <v>2745</v>
      </c>
      <c r="H33" s="17" t="s">
        <v>2746</v>
      </c>
      <c r="I33" s="17" t="s">
        <v>2747</v>
      </c>
      <c r="J33" s="17" t="s">
        <v>2748</v>
      </c>
      <c r="K33" s="17" t="s">
        <v>2749</v>
      </c>
    </row>
    <row r="34" spans="1:11" ht="165.75">
      <c r="A34" s="16"/>
      <c r="B34" s="9" t="s">
        <v>33</v>
      </c>
      <c r="C34" s="9" t="s">
        <v>1069</v>
      </c>
      <c r="D34" s="17" t="s">
        <v>144</v>
      </c>
      <c r="E34" s="17">
        <v>5</v>
      </c>
      <c r="F34" s="17" t="s">
        <v>2732</v>
      </c>
      <c r="G34" s="17" t="s">
        <v>2733</v>
      </c>
      <c r="H34" s="17" t="s">
        <v>2750</v>
      </c>
      <c r="I34" s="17" t="s">
        <v>2751</v>
      </c>
      <c r="J34" s="17" t="s">
        <v>2752</v>
      </c>
      <c r="K34" s="17" t="s">
        <v>2753</v>
      </c>
    </row>
    <row r="35" spans="1:11" ht="153">
      <c r="A35" s="16"/>
      <c r="B35" s="9" t="s">
        <v>33</v>
      </c>
      <c r="C35" s="9" t="s">
        <v>1069</v>
      </c>
      <c r="D35" s="17" t="s">
        <v>144</v>
      </c>
      <c r="E35" s="17">
        <v>6</v>
      </c>
      <c r="F35" s="17" t="s">
        <v>2732</v>
      </c>
      <c r="G35" s="17" t="s">
        <v>2754</v>
      </c>
      <c r="H35" s="17" t="s">
        <v>2755</v>
      </c>
      <c r="I35" s="17" t="s">
        <v>2755</v>
      </c>
      <c r="J35" s="17" t="s">
        <v>2756</v>
      </c>
      <c r="K35" s="17" t="s">
        <v>2757</v>
      </c>
    </row>
    <row r="36" spans="1:11" ht="165.75">
      <c r="A36" s="16"/>
      <c r="B36" s="9" t="s">
        <v>33</v>
      </c>
      <c r="C36" s="9" t="s">
        <v>1069</v>
      </c>
      <c r="D36" s="17" t="s">
        <v>144</v>
      </c>
      <c r="E36" s="17">
        <v>7</v>
      </c>
      <c r="F36" s="17" t="s">
        <v>2732</v>
      </c>
      <c r="G36" s="17" t="s">
        <v>2733</v>
      </c>
      <c r="H36" s="17" t="s">
        <v>2758</v>
      </c>
      <c r="I36" s="17" t="s">
        <v>2759</v>
      </c>
      <c r="J36" s="17" t="s">
        <v>2760</v>
      </c>
      <c r="K36" s="17" t="s">
        <v>2761</v>
      </c>
    </row>
    <row r="37" spans="1:11" ht="89.25">
      <c r="A37" s="16"/>
      <c r="B37" s="9" t="s">
        <v>33</v>
      </c>
      <c r="C37" s="9" t="s">
        <v>1069</v>
      </c>
      <c r="D37" s="17" t="s">
        <v>144</v>
      </c>
      <c r="E37" s="17">
        <v>8</v>
      </c>
      <c r="F37" s="17" t="s">
        <v>2732</v>
      </c>
      <c r="G37" s="17" t="s">
        <v>2762</v>
      </c>
      <c r="H37" s="17" t="s">
        <v>2763</v>
      </c>
      <c r="I37" s="17" t="s">
        <v>2764</v>
      </c>
      <c r="J37" s="17" t="s">
        <v>2765</v>
      </c>
      <c r="K37" s="17" t="s">
        <v>2766</v>
      </c>
    </row>
    <row r="38" spans="1:11" ht="76.5">
      <c r="A38" s="16"/>
      <c r="B38" s="9" t="s">
        <v>33</v>
      </c>
      <c r="C38" s="9" t="s">
        <v>1069</v>
      </c>
      <c r="D38" s="17" t="s">
        <v>144</v>
      </c>
      <c r="E38" s="17">
        <v>9</v>
      </c>
      <c r="F38" s="17" t="s">
        <v>2732</v>
      </c>
      <c r="G38" s="17" t="s">
        <v>2745</v>
      </c>
      <c r="H38" s="17" t="s">
        <v>2767</v>
      </c>
      <c r="I38" s="17" t="s">
        <v>2768</v>
      </c>
      <c r="J38" s="17" t="s">
        <v>2769</v>
      </c>
      <c r="K38" s="17" t="s">
        <v>2770</v>
      </c>
    </row>
    <row r="39" spans="1:11" ht="63.75">
      <c r="A39" s="16"/>
      <c r="B39" s="9" t="s">
        <v>33</v>
      </c>
      <c r="C39" s="9" t="s">
        <v>1069</v>
      </c>
      <c r="D39" s="17" t="s">
        <v>144</v>
      </c>
      <c r="E39" s="17">
        <v>10</v>
      </c>
      <c r="F39" s="17" t="s">
        <v>2732</v>
      </c>
      <c r="G39" s="17" t="s">
        <v>2771</v>
      </c>
      <c r="H39" s="17" t="s">
        <v>2772</v>
      </c>
      <c r="I39" s="17" t="s">
        <v>2773</v>
      </c>
      <c r="J39" s="17" t="s">
        <v>2774</v>
      </c>
      <c r="K39" s="17" t="s">
        <v>2775</v>
      </c>
    </row>
    <row r="40" spans="1:11" ht="76.5">
      <c r="A40" s="16"/>
      <c r="B40" s="9" t="s">
        <v>33</v>
      </c>
      <c r="C40" s="9" t="s">
        <v>1069</v>
      </c>
      <c r="D40" s="17" t="s">
        <v>144</v>
      </c>
      <c r="E40" s="17">
        <v>11</v>
      </c>
      <c r="F40" s="17" t="s">
        <v>2732</v>
      </c>
      <c r="G40" s="17" t="s">
        <v>2776</v>
      </c>
      <c r="H40" s="17" t="s">
        <v>2777</v>
      </c>
      <c r="I40" s="17" t="s">
        <v>2778</v>
      </c>
      <c r="J40" s="17" t="s">
        <v>2779</v>
      </c>
      <c r="K40" s="17" t="s">
        <v>2780</v>
      </c>
    </row>
    <row r="41" spans="1:11" ht="153">
      <c r="A41" s="16"/>
      <c r="B41" s="9" t="s">
        <v>33</v>
      </c>
      <c r="C41" s="9" t="s">
        <v>1069</v>
      </c>
      <c r="D41" s="17" t="s">
        <v>144</v>
      </c>
      <c r="E41" s="17">
        <v>12</v>
      </c>
      <c r="F41" s="17" t="s">
        <v>2732</v>
      </c>
      <c r="G41" s="17" t="s">
        <v>2781</v>
      </c>
      <c r="H41" s="17" t="s">
        <v>2782</v>
      </c>
      <c r="I41" s="17" t="s">
        <v>2783</v>
      </c>
      <c r="J41" s="17" t="s">
        <v>2784</v>
      </c>
      <c r="K41" s="17" t="s">
        <v>2785</v>
      </c>
    </row>
    <row r="42" spans="1:11" ht="165.75">
      <c r="A42" s="16"/>
      <c r="B42" s="9" t="s">
        <v>33</v>
      </c>
      <c r="C42" s="9" t="s">
        <v>1069</v>
      </c>
      <c r="D42" s="17" t="s">
        <v>188</v>
      </c>
      <c r="E42" s="17">
        <v>1</v>
      </c>
      <c r="F42" s="17" t="s">
        <v>2786</v>
      </c>
      <c r="G42" s="17" t="s">
        <v>2787</v>
      </c>
      <c r="H42" s="17" t="s">
        <v>2788</v>
      </c>
      <c r="I42" s="17" t="s">
        <v>2789</v>
      </c>
      <c r="J42" s="17" t="s">
        <v>2790</v>
      </c>
      <c r="K42" s="17" t="s">
        <v>2791</v>
      </c>
    </row>
    <row r="43" spans="1:11" ht="89.25">
      <c r="A43" s="16"/>
      <c r="B43" s="9" t="s">
        <v>33</v>
      </c>
      <c r="C43" s="9" t="s">
        <v>1069</v>
      </c>
      <c r="D43" s="17" t="s">
        <v>188</v>
      </c>
      <c r="E43" s="17">
        <v>2</v>
      </c>
      <c r="F43" s="17" t="s">
        <v>2786</v>
      </c>
      <c r="G43" s="17" t="s">
        <v>2792</v>
      </c>
      <c r="H43" s="17" t="s">
        <v>2793</v>
      </c>
      <c r="I43" s="17" t="s">
        <v>2794</v>
      </c>
      <c r="J43" s="17" t="s">
        <v>2795</v>
      </c>
      <c r="K43" s="17" t="s">
        <v>2796</v>
      </c>
    </row>
    <row r="44" spans="1:11" ht="165.75">
      <c r="A44" s="16"/>
      <c r="B44" s="9" t="s">
        <v>33</v>
      </c>
      <c r="C44" s="9" t="s">
        <v>1069</v>
      </c>
      <c r="D44" s="17" t="s">
        <v>188</v>
      </c>
      <c r="E44" s="17">
        <v>3</v>
      </c>
      <c r="F44" s="17" t="s">
        <v>2786</v>
      </c>
      <c r="G44" s="17" t="s">
        <v>2797</v>
      </c>
      <c r="H44" s="17" t="s">
        <v>2798</v>
      </c>
      <c r="I44" s="17" t="s">
        <v>2799</v>
      </c>
      <c r="J44" s="17" t="s">
        <v>2800</v>
      </c>
      <c r="K44" s="17" t="s">
        <v>2801</v>
      </c>
    </row>
    <row r="45" spans="1:11" ht="165.75">
      <c r="A45" s="16"/>
      <c r="B45" s="9" t="s">
        <v>33</v>
      </c>
      <c r="C45" s="9" t="s">
        <v>1069</v>
      </c>
      <c r="D45" s="17" t="s">
        <v>188</v>
      </c>
      <c r="E45" s="17">
        <v>4</v>
      </c>
      <c r="F45" s="17" t="s">
        <v>2786</v>
      </c>
      <c r="G45" s="17" t="s">
        <v>2802</v>
      </c>
      <c r="H45" s="17" t="s">
        <v>2803</v>
      </c>
      <c r="I45" s="17" t="s">
        <v>2804</v>
      </c>
      <c r="J45" s="17" t="s">
        <v>2805</v>
      </c>
      <c r="K45" s="17" t="s">
        <v>2806</v>
      </c>
    </row>
    <row r="46" spans="1:11" ht="165.75">
      <c r="A46" s="16"/>
      <c r="B46" s="9" t="s">
        <v>33</v>
      </c>
      <c r="C46" s="9" t="s">
        <v>1069</v>
      </c>
      <c r="D46" s="17" t="s">
        <v>188</v>
      </c>
      <c r="E46" s="17">
        <v>5</v>
      </c>
      <c r="F46" s="17" t="s">
        <v>2786</v>
      </c>
      <c r="G46" s="17" t="s">
        <v>2787</v>
      </c>
      <c r="H46" s="17" t="s">
        <v>2807</v>
      </c>
      <c r="I46" s="17" t="s">
        <v>2808</v>
      </c>
      <c r="J46" s="17" t="s">
        <v>2809</v>
      </c>
      <c r="K46" s="17" t="s">
        <v>2810</v>
      </c>
    </row>
    <row r="47" spans="1:11" ht="178.5">
      <c r="A47" s="16"/>
      <c r="B47" s="9" t="s">
        <v>33</v>
      </c>
      <c r="C47" s="9" t="s">
        <v>1069</v>
      </c>
      <c r="D47" s="17" t="s">
        <v>188</v>
      </c>
      <c r="E47" s="17">
        <v>6</v>
      </c>
      <c r="F47" s="17" t="s">
        <v>2786</v>
      </c>
      <c r="G47" s="17" t="s">
        <v>2811</v>
      </c>
      <c r="H47" s="17" t="s">
        <v>2812</v>
      </c>
      <c r="I47" s="17" t="s">
        <v>2813</v>
      </c>
      <c r="J47" s="17" t="s">
        <v>2814</v>
      </c>
      <c r="K47" s="17" t="s">
        <v>2815</v>
      </c>
    </row>
    <row r="48" spans="1:11" ht="153">
      <c r="A48" s="16"/>
      <c r="B48" s="9" t="s">
        <v>33</v>
      </c>
      <c r="C48" s="9" t="s">
        <v>1069</v>
      </c>
      <c r="D48" s="17" t="s">
        <v>188</v>
      </c>
      <c r="E48" s="17">
        <v>7</v>
      </c>
      <c r="F48" s="17" t="s">
        <v>2786</v>
      </c>
      <c r="G48" s="17" t="s">
        <v>2781</v>
      </c>
      <c r="H48" s="17" t="s">
        <v>2816</v>
      </c>
      <c r="I48" s="17" t="s">
        <v>2817</v>
      </c>
      <c r="J48" s="17" t="s">
        <v>2818</v>
      </c>
      <c r="K48" s="17" t="s">
        <v>2819</v>
      </c>
    </row>
    <row r="49" spans="1:11" ht="178.5">
      <c r="A49" s="16"/>
      <c r="B49" s="9" t="s">
        <v>33</v>
      </c>
      <c r="C49" s="9" t="s">
        <v>1069</v>
      </c>
      <c r="D49" s="17" t="s">
        <v>188</v>
      </c>
      <c r="E49" s="17">
        <v>8</v>
      </c>
      <c r="F49" s="17" t="s">
        <v>2786</v>
      </c>
      <c r="G49" s="17" t="s">
        <v>2811</v>
      </c>
      <c r="H49" s="17" t="s">
        <v>2820</v>
      </c>
      <c r="I49" s="17" t="s">
        <v>2821</v>
      </c>
      <c r="J49" s="17" t="s">
        <v>2822</v>
      </c>
      <c r="K49" s="17" t="s">
        <v>2823</v>
      </c>
    </row>
    <row r="50" spans="1:11" ht="165.75">
      <c r="A50" s="16"/>
      <c r="B50" s="9" t="s">
        <v>33</v>
      </c>
      <c r="C50" s="9" t="s">
        <v>1069</v>
      </c>
      <c r="D50" s="17" t="s">
        <v>188</v>
      </c>
      <c r="E50" s="17">
        <v>9</v>
      </c>
      <c r="F50" s="17" t="s">
        <v>2786</v>
      </c>
      <c r="G50" s="17" t="s">
        <v>2733</v>
      </c>
      <c r="H50" s="17" t="s">
        <v>2824</v>
      </c>
      <c r="I50" s="17" t="s">
        <v>2825</v>
      </c>
      <c r="J50" s="17" t="s">
        <v>2826</v>
      </c>
      <c r="K50" s="17" t="s">
        <v>2827</v>
      </c>
    </row>
    <row r="51" spans="1:11" ht="178.5">
      <c r="A51" s="16"/>
      <c r="B51" s="9" t="s">
        <v>33</v>
      </c>
      <c r="C51" s="9" t="s">
        <v>1069</v>
      </c>
      <c r="D51" s="17" t="s">
        <v>188</v>
      </c>
      <c r="E51" s="17">
        <v>10</v>
      </c>
      <c r="F51" s="17" t="s">
        <v>2786</v>
      </c>
      <c r="G51" s="17" t="s">
        <v>2828</v>
      </c>
      <c r="H51" s="17" t="s">
        <v>2829</v>
      </c>
      <c r="I51" s="17" t="s">
        <v>2830</v>
      </c>
      <c r="J51" s="17" t="s">
        <v>2831</v>
      </c>
      <c r="K51" s="17" t="s">
        <v>2832</v>
      </c>
    </row>
    <row r="52" spans="1:11" ht="153">
      <c r="A52" s="16"/>
      <c r="B52" s="9" t="s">
        <v>33</v>
      </c>
      <c r="C52" s="9" t="s">
        <v>1069</v>
      </c>
      <c r="D52" s="17" t="s">
        <v>188</v>
      </c>
      <c r="E52" s="17">
        <v>11</v>
      </c>
      <c r="F52" s="17" t="s">
        <v>2786</v>
      </c>
      <c r="G52" s="17" t="s">
        <v>2833</v>
      </c>
      <c r="H52" s="17" t="s">
        <v>2834</v>
      </c>
      <c r="I52" s="17" t="s">
        <v>2835</v>
      </c>
      <c r="J52" s="17" t="s">
        <v>2836</v>
      </c>
      <c r="K52" s="17" t="s">
        <v>2837</v>
      </c>
    </row>
    <row r="53" spans="1:11" ht="165.75">
      <c r="A53" s="16"/>
      <c r="B53" s="9" t="s">
        <v>33</v>
      </c>
      <c r="C53" s="9" t="s">
        <v>1069</v>
      </c>
      <c r="D53" s="17" t="s">
        <v>188</v>
      </c>
      <c r="E53" s="17">
        <v>12</v>
      </c>
      <c r="F53" s="17" t="s">
        <v>2786</v>
      </c>
      <c r="G53" s="17" t="s">
        <v>2787</v>
      </c>
      <c r="H53" s="17" t="s">
        <v>2838</v>
      </c>
      <c r="I53" s="17" t="s">
        <v>2839</v>
      </c>
      <c r="J53" s="17" t="s">
        <v>2840</v>
      </c>
      <c r="K53" s="17" t="s">
        <v>2841</v>
      </c>
    </row>
  </sheetData>
  <autoFilter ref="A1:K53"/>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sheetPr>
    <tabColor rgb="FFFFBFFC"/>
  </sheetPr>
  <dimension ref="A1:L241"/>
  <sheetViews>
    <sheetView tabSelected="1" workbookViewId="0">
      <pane ySplit="1" topLeftCell="A50" activePane="bottomLeft" state="frozen"/>
      <selection pane="bottomLeft"/>
    </sheetView>
  </sheetViews>
  <sheetFormatPr defaultColWidth="12.5703125" defaultRowHeight="15" customHeight="1"/>
  <cols>
    <col min="1" max="1" width="18.7109375" customWidth="1"/>
    <col min="2" max="2" width="9.140625" customWidth="1"/>
    <col min="3" max="3" width="8.42578125" customWidth="1"/>
    <col min="4" max="4" width="13.140625" customWidth="1"/>
    <col min="5" max="5" width="9.140625" customWidth="1"/>
    <col min="6" max="6" width="22" customWidth="1"/>
    <col min="7" max="7" width="47.85546875" customWidth="1"/>
    <col min="8" max="8" width="22.85546875" customWidth="1"/>
    <col min="9" max="9" width="19.42578125" customWidth="1"/>
    <col min="10" max="10" width="25.28515625" customWidth="1"/>
    <col min="11" max="12" width="40.5703125" customWidth="1"/>
  </cols>
  <sheetData>
    <row r="1" spans="1:12" ht="27" customHeight="1">
      <c r="A1" s="35" t="s">
        <v>20</v>
      </c>
      <c r="B1" s="14" t="s">
        <v>21</v>
      </c>
      <c r="C1" s="36" t="s">
        <v>22</v>
      </c>
      <c r="D1" s="32" t="s">
        <v>23</v>
      </c>
      <c r="E1" s="32" t="s">
        <v>24</v>
      </c>
      <c r="F1" s="32" t="s">
        <v>26</v>
      </c>
      <c r="G1" s="36" t="s">
        <v>1656</v>
      </c>
      <c r="H1" s="36" t="s">
        <v>1657</v>
      </c>
      <c r="I1" s="36" t="s">
        <v>28</v>
      </c>
      <c r="J1" s="36" t="s">
        <v>29</v>
      </c>
      <c r="K1" s="36" t="s">
        <v>30</v>
      </c>
      <c r="L1" s="37" t="s">
        <v>31</v>
      </c>
    </row>
    <row r="2" spans="1:12" ht="409.5">
      <c r="A2" s="16"/>
      <c r="B2" s="17" t="s">
        <v>33</v>
      </c>
      <c r="C2" s="17" t="s">
        <v>1658</v>
      </c>
      <c r="D2" s="17" t="s">
        <v>1070</v>
      </c>
      <c r="E2" s="17">
        <v>1</v>
      </c>
      <c r="F2" s="17" t="s">
        <v>2842</v>
      </c>
      <c r="G2" s="17" t="s">
        <v>2843</v>
      </c>
      <c r="H2" s="17" t="s">
        <v>2844</v>
      </c>
      <c r="I2" s="17" t="s">
        <v>2845</v>
      </c>
      <c r="J2" s="17" t="s">
        <v>2846</v>
      </c>
      <c r="K2" s="17" t="s">
        <v>2847</v>
      </c>
      <c r="L2" s="17" t="s">
        <v>2848</v>
      </c>
    </row>
    <row r="3" spans="1:12" ht="38.25">
      <c r="A3" s="16"/>
      <c r="B3" s="17" t="s">
        <v>33</v>
      </c>
      <c r="C3" s="17" t="s">
        <v>1658</v>
      </c>
      <c r="D3" s="17" t="s">
        <v>1070</v>
      </c>
      <c r="E3" s="17">
        <v>2</v>
      </c>
      <c r="F3" s="17" t="s">
        <v>2849</v>
      </c>
      <c r="G3" s="17" t="s">
        <v>2850</v>
      </c>
      <c r="H3" s="17" t="s">
        <v>2850</v>
      </c>
      <c r="I3" s="17" t="s">
        <v>2851</v>
      </c>
      <c r="J3" s="17" t="s">
        <v>2849</v>
      </c>
      <c r="K3" s="17" t="s">
        <v>2852</v>
      </c>
      <c r="L3" s="17" t="s">
        <v>2853</v>
      </c>
    </row>
    <row r="4" spans="1:12" ht="409.5">
      <c r="A4" s="16"/>
      <c r="B4" s="17" t="s">
        <v>33</v>
      </c>
      <c r="C4" s="17" t="s">
        <v>1658</v>
      </c>
      <c r="D4" s="17" t="s">
        <v>1070</v>
      </c>
      <c r="E4" s="17">
        <v>3</v>
      </c>
      <c r="F4" s="17" t="s">
        <v>2842</v>
      </c>
      <c r="G4" s="17" t="s">
        <v>2843</v>
      </c>
      <c r="H4" s="17" t="s">
        <v>2844</v>
      </c>
      <c r="I4" s="17" t="s">
        <v>2845</v>
      </c>
      <c r="J4" s="17" t="s">
        <v>2854</v>
      </c>
      <c r="K4" s="17" t="s">
        <v>2855</v>
      </c>
      <c r="L4" s="17" t="s">
        <v>2856</v>
      </c>
    </row>
    <row r="5" spans="1:12" ht="38.25">
      <c r="A5" s="16"/>
      <c r="B5" s="17" t="s">
        <v>33</v>
      </c>
      <c r="C5" s="17" t="s">
        <v>1658</v>
      </c>
      <c r="D5" s="17" t="s">
        <v>1070</v>
      </c>
      <c r="E5" s="17">
        <v>4</v>
      </c>
      <c r="F5" s="17" t="s">
        <v>2849</v>
      </c>
      <c r="G5" s="17" t="s">
        <v>2850</v>
      </c>
      <c r="H5" s="17" t="s">
        <v>2850</v>
      </c>
      <c r="I5" s="17" t="s">
        <v>2851</v>
      </c>
      <c r="J5" s="17" t="s">
        <v>2849</v>
      </c>
      <c r="K5" s="17" t="s">
        <v>2852</v>
      </c>
      <c r="L5" s="17" t="s">
        <v>2853</v>
      </c>
    </row>
    <row r="6" spans="1:12" ht="409.5">
      <c r="A6" s="16"/>
      <c r="B6" s="17" t="s">
        <v>33</v>
      </c>
      <c r="C6" s="17" t="s">
        <v>1658</v>
      </c>
      <c r="D6" s="17" t="s">
        <v>1070</v>
      </c>
      <c r="E6" s="17">
        <v>5</v>
      </c>
      <c r="F6" s="17" t="s">
        <v>2842</v>
      </c>
      <c r="G6" s="17" t="s">
        <v>2843</v>
      </c>
      <c r="H6" s="17" t="s">
        <v>2844</v>
      </c>
      <c r="I6" s="17" t="s">
        <v>2845</v>
      </c>
      <c r="J6" s="17" t="s">
        <v>2857</v>
      </c>
      <c r="K6" s="17" t="s">
        <v>2855</v>
      </c>
      <c r="L6" s="17" t="s">
        <v>2856</v>
      </c>
    </row>
    <row r="7" spans="1:12" ht="38.25">
      <c r="A7" s="16"/>
      <c r="B7" s="17" t="s">
        <v>33</v>
      </c>
      <c r="C7" s="17" t="s">
        <v>1658</v>
      </c>
      <c r="D7" s="17" t="s">
        <v>1070</v>
      </c>
      <c r="E7" s="17">
        <v>6</v>
      </c>
      <c r="F7" s="17" t="s">
        <v>2849</v>
      </c>
      <c r="G7" s="17" t="s">
        <v>2850</v>
      </c>
      <c r="H7" s="17" t="s">
        <v>2850</v>
      </c>
      <c r="I7" s="17" t="s">
        <v>2851</v>
      </c>
      <c r="J7" s="17" t="s">
        <v>2849</v>
      </c>
      <c r="K7" s="17" t="s">
        <v>2852</v>
      </c>
      <c r="L7" s="17" t="s">
        <v>2853</v>
      </c>
    </row>
    <row r="8" spans="1:12" ht="409.5">
      <c r="A8" s="16"/>
      <c r="B8" s="17" t="s">
        <v>33</v>
      </c>
      <c r="C8" s="17" t="s">
        <v>1658</v>
      </c>
      <c r="D8" s="17" t="s">
        <v>1070</v>
      </c>
      <c r="E8" s="17">
        <v>7</v>
      </c>
      <c r="F8" s="17" t="s">
        <v>2842</v>
      </c>
      <c r="G8" s="17" t="s">
        <v>2843</v>
      </c>
      <c r="H8" s="17" t="s">
        <v>2844</v>
      </c>
      <c r="I8" s="17" t="s">
        <v>2845</v>
      </c>
      <c r="J8" s="17" t="s">
        <v>2858</v>
      </c>
      <c r="K8" s="17" t="s">
        <v>2855</v>
      </c>
      <c r="L8" s="17" t="s">
        <v>2859</v>
      </c>
    </row>
    <row r="9" spans="1:12" ht="38.25">
      <c r="A9" s="16"/>
      <c r="B9" s="17" t="s">
        <v>33</v>
      </c>
      <c r="C9" s="17" t="s">
        <v>1658</v>
      </c>
      <c r="D9" s="17" t="s">
        <v>1070</v>
      </c>
      <c r="E9" s="17">
        <v>8</v>
      </c>
      <c r="F9" s="17" t="s">
        <v>2849</v>
      </c>
      <c r="G9" s="17" t="s">
        <v>2850</v>
      </c>
      <c r="H9" s="17" t="s">
        <v>2850</v>
      </c>
      <c r="I9" s="17" t="s">
        <v>2851</v>
      </c>
      <c r="J9" s="17" t="s">
        <v>2849</v>
      </c>
      <c r="K9" s="17" t="s">
        <v>2852</v>
      </c>
      <c r="L9" s="17" t="s">
        <v>2853</v>
      </c>
    </row>
    <row r="10" spans="1:12" ht="318.75">
      <c r="A10" s="16"/>
      <c r="B10" s="17" t="s">
        <v>33</v>
      </c>
      <c r="C10" s="17" t="s">
        <v>1658</v>
      </c>
      <c r="D10" s="17" t="s">
        <v>1070</v>
      </c>
      <c r="E10" s="17">
        <v>9</v>
      </c>
      <c r="F10" s="17" t="s">
        <v>2860</v>
      </c>
      <c r="G10" s="17" t="s">
        <v>2861</v>
      </c>
      <c r="H10" s="17" t="s">
        <v>2862</v>
      </c>
      <c r="I10" s="17" t="s">
        <v>2863</v>
      </c>
      <c r="J10" s="17" t="s">
        <v>2864</v>
      </c>
      <c r="K10" s="17" t="s">
        <v>2865</v>
      </c>
      <c r="L10" s="17" t="s">
        <v>2866</v>
      </c>
    </row>
    <row r="11" spans="1:12" ht="38.25">
      <c r="A11" s="16"/>
      <c r="B11" s="17" t="s">
        <v>33</v>
      </c>
      <c r="C11" s="17" t="s">
        <v>1658</v>
      </c>
      <c r="D11" s="17" t="s">
        <v>1070</v>
      </c>
      <c r="E11" s="17">
        <v>10</v>
      </c>
      <c r="F11" s="17" t="s">
        <v>2849</v>
      </c>
      <c r="G11" s="17" t="s">
        <v>2850</v>
      </c>
      <c r="H11" s="17" t="s">
        <v>2850</v>
      </c>
      <c r="I11" s="17" t="s">
        <v>2851</v>
      </c>
      <c r="J11" s="17" t="s">
        <v>2849</v>
      </c>
      <c r="K11" s="17" t="s">
        <v>2852</v>
      </c>
      <c r="L11" s="17" t="s">
        <v>2853</v>
      </c>
    </row>
    <row r="12" spans="1:12" ht="318.75">
      <c r="A12" s="16"/>
      <c r="B12" s="17" t="s">
        <v>33</v>
      </c>
      <c r="C12" s="17" t="s">
        <v>1658</v>
      </c>
      <c r="D12" s="17" t="s">
        <v>1070</v>
      </c>
      <c r="E12" s="17">
        <v>11</v>
      </c>
      <c r="F12" s="17" t="s">
        <v>2860</v>
      </c>
      <c r="G12" s="17" t="s">
        <v>2861</v>
      </c>
      <c r="H12" s="17" t="s">
        <v>2862</v>
      </c>
      <c r="I12" s="17" t="s">
        <v>2863</v>
      </c>
      <c r="J12" s="17" t="s">
        <v>2867</v>
      </c>
      <c r="K12" s="17" t="s">
        <v>2868</v>
      </c>
      <c r="L12" s="17" t="s">
        <v>2869</v>
      </c>
    </row>
    <row r="13" spans="1:12" ht="38.25">
      <c r="A13" s="16"/>
      <c r="B13" s="17" t="s">
        <v>33</v>
      </c>
      <c r="C13" s="17" t="s">
        <v>1658</v>
      </c>
      <c r="D13" s="17" t="s">
        <v>1070</v>
      </c>
      <c r="E13" s="17">
        <v>12</v>
      </c>
      <c r="F13" s="17" t="s">
        <v>2849</v>
      </c>
      <c r="G13" s="17" t="s">
        <v>2850</v>
      </c>
      <c r="H13" s="17" t="s">
        <v>2850</v>
      </c>
      <c r="I13" s="17" t="s">
        <v>2851</v>
      </c>
      <c r="J13" s="17" t="s">
        <v>2849</v>
      </c>
      <c r="K13" s="17" t="s">
        <v>2852</v>
      </c>
      <c r="L13" s="17" t="s">
        <v>2853</v>
      </c>
    </row>
    <row r="14" spans="1:12" ht="38.25">
      <c r="A14" s="16"/>
      <c r="B14" s="17" t="s">
        <v>33</v>
      </c>
      <c r="C14" s="17" t="s">
        <v>1658</v>
      </c>
      <c r="D14" s="17" t="s">
        <v>1070</v>
      </c>
      <c r="E14" s="17">
        <v>13</v>
      </c>
      <c r="F14" s="17" t="s">
        <v>2849</v>
      </c>
      <c r="G14" s="17" t="s">
        <v>2850</v>
      </c>
      <c r="H14" s="17" t="s">
        <v>2850</v>
      </c>
      <c r="I14" s="17" t="s">
        <v>2851</v>
      </c>
      <c r="J14" s="17" t="s">
        <v>2849</v>
      </c>
      <c r="K14" s="17" t="s">
        <v>2852</v>
      </c>
      <c r="L14" s="17" t="s">
        <v>2853</v>
      </c>
    </row>
    <row r="15" spans="1:12" ht="38.25">
      <c r="A15" s="16"/>
      <c r="B15" s="17" t="s">
        <v>33</v>
      </c>
      <c r="C15" s="17" t="s">
        <v>1658</v>
      </c>
      <c r="D15" s="17" t="s">
        <v>1070</v>
      </c>
      <c r="E15" s="17">
        <v>14</v>
      </c>
      <c r="F15" s="17" t="s">
        <v>2849</v>
      </c>
      <c r="G15" s="17" t="s">
        <v>2850</v>
      </c>
      <c r="H15" s="17" t="s">
        <v>2850</v>
      </c>
      <c r="I15" s="17" t="s">
        <v>2851</v>
      </c>
      <c r="J15" s="17" t="s">
        <v>2849</v>
      </c>
      <c r="K15" s="17" t="s">
        <v>2852</v>
      </c>
      <c r="L15" s="17" t="s">
        <v>2853</v>
      </c>
    </row>
    <row r="16" spans="1:12" ht="38.25">
      <c r="A16" s="16"/>
      <c r="B16" s="17" t="s">
        <v>33</v>
      </c>
      <c r="C16" s="17" t="s">
        <v>1658</v>
      </c>
      <c r="D16" s="17" t="s">
        <v>1070</v>
      </c>
      <c r="E16" s="17">
        <v>15</v>
      </c>
      <c r="F16" s="17" t="s">
        <v>2849</v>
      </c>
      <c r="G16" s="17" t="s">
        <v>2850</v>
      </c>
      <c r="H16" s="17" t="s">
        <v>2850</v>
      </c>
      <c r="I16" s="17" t="s">
        <v>2851</v>
      </c>
      <c r="J16" s="17" t="s">
        <v>2849</v>
      </c>
      <c r="K16" s="17" t="s">
        <v>2852</v>
      </c>
      <c r="L16" s="17" t="s">
        <v>2853</v>
      </c>
    </row>
    <row r="17" spans="1:12" ht="38.25">
      <c r="A17" s="16"/>
      <c r="B17" s="17" t="s">
        <v>33</v>
      </c>
      <c r="C17" s="17" t="s">
        <v>1658</v>
      </c>
      <c r="D17" s="17" t="s">
        <v>1070</v>
      </c>
      <c r="E17" s="17">
        <v>16</v>
      </c>
      <c r="F17" s="17" t="s">
        <v>2849</v>
      </c>
      <c r="G17" s="17" t="s">
        <v>2850</v>
      </c>
      <c r="H17" s="17" t="s">
        <v>2850</v>
      </c>
      <c r="I17" s="17" t="s">
        <v>2851</v>
      </c>
      <c r="J17" s="17" t="s">
        <v>2849</v>
      </c>
      <c r="K17" s="17" t="s">
        <v>2852</v>
      </c>
      <c r="L17" s="17" t="s">
        <v>2853</v>
      </c>
    </row>
    <row r="18" spans="1:12" ht="38.25">
      <c r="A18" s="16"/>
      <c r="B18" s="17" t="s">
        <v>33</v>
      </c>
      <c r="C18" s="17" t="s">
        <v>1658</v>
      </c>
      <c r="D18" s="17" t="s">
        <v>1070</v>
      </c>
      <c r="E18" s="17">
        <v>17</v>
      </c>
      <c r="F18" s="17" t="s">
        <v>2849</v>
      </c>
      <c r="G18" s="17" t="s">
        <v>2850</v>
      </c>
      <c r="H18" s="17" t="s">
        <v>2850</v>
      </c>
      <c r="I18" s="17" t="s">
        <v>2851</v>
      </c>
      <c r="J18" s="17" t="s">
        <v>2849</v>
      </c>
      <c r="K18" s="17" t="s">
        <v>2852</v>
      </c>
      <c r="L18" s="17" t="s">
        <v>2853</v>
      </c>
    </row>
    <row r="19" spans="1:12" ht="38.25">
      <c r="A19" s="16"/>
      <c r="B19" s="17" t="s">
        <v>33</v>
      </c>
      <c r="C19" s="17" t="s">
        <v>1658</v>
      </c>
      <c r="D19" s="17" t="s">
        <v>1070</v>
      </c>
      <c r="E19" s="17">
        <v>18</v>
      </c>
      <c r="F19" s="17" t="s">
        <v>2849</v>
      </c>
      <c r="G19" s="17" t="s">
        <v>2850</v>
      </c>
      <c r="H19" s="17" t="s">
        <v>2850</v>
      </c>
      <c r="I19" s="17" t="s">
        <v>2851</v>
      </c>
      <c r="J19" s="17" t="s">
        <v>2849</v>
      </c>
      <c r="K19" s="17" t="s">
        <v>2852</v>
      </c>
      <c r="L19" s="17" t="s">
        <v>2853</v>
      </c>
    </row>
    <row r="20" spans="1:12" ht="38.25">
      <c r="A20" s="16"/>
      <c r="B20" s="17" t="s">
        <v>33</v>
      </c>
      <c r="C20" s="17" t="s">
        <v>1658</v>
      </c>
      <c r="D20" s="17" t="s">
        <v>1070</v>
      </c>
      <c r="E20" s="17">
        <v>19</v>
      </c>
      <c r="F20" s="17" t="s">
        <v>2849</v>
      </c>
      <c r="G20" s="17" t="s">
        <v>2850</v>
      </c>
      <c r="H20" s="17" t="s">
        <v>2850</v>
      </c>
      <c r="I20" s="17" t="s">
        <v>2851</v>
      </c>
      <c r="J20" s="17" t="s">
        <v>2849</v>
      </c>
      <c r="K20" s="17" t="s">
        <v>2852</v>
      </c>
      <c r="L20" s="17" t="s">
        <v>2853</v>
      </c>
    </row>
    <row r="21" spans="1:12" ht="38.25">
      <c r="A21" s="16"/>
      <c r="B21" s="17" t="s">
        <v>33</v>
      </c>
      <c r="C21" s="17" t="s">
        <v>1658</v>
      </c>
      <c r="D21" s="17" t="s">
        <v>1070</v>
      </c>
      <c r="E21" s="17">
        <v>20</v>
      </c>
      <c r="F21" s="17" t="s">
        <v>2849</v>
      </c>
      <c r="G21" s="17" t="s">
        <v>2850</v>
      </c>
      <c r="H21" s="17" t="s">
        <v>2850</v>
      </c>
      <c r="I21" s="17" t="s">
        <v>2851</v>
      </c>
      <c r="J21" s="17" t="s">
        <v>2849</v>
      </c>
      <c r="K21" s="17" t="s">
        <v>2852</v>
      </c>
      <c r="L21" s="17" t="s">
        <v>2853</v>
      </c>
    </row>
    <row r="22" spans="1:12" ht="409.5">
      <c r="A22" s="16"/>
      <c r="B22" s="17" t="s">
        <v>33</v>
      </c>
      <c r="C22" s="17" t="s">
        <v>1658</v>
      </c>
      <c r="D22" s="17" t="s">
        <v>1106</v>
      </c>
      <c r="E22" s="17">
        <v>1</v>
      </c>
      <c r="F22" s="17" t="s">
        <v>2842</v>
      </c>
      <c r="G22" s="17" t="s">
        <v>2843</v>
      </c>
      <c r="H22" s="17" t="s">
        <v>2844</v>
      </c>
      <c r="I22" s="17" t="s">
        <v>2845</v>
      </c>
      <c r="J22" s="17" t="s">
        <v>2870</v>
      </c>
      <c r="K22" s="17" t="s">
        <v>2855</v>
      </c>
      <c r="L22" s="17" t="s">
        <v>2871</v>
      </c>
    </row>
    <row r="23" spans="1:12" ht="38.25">
      <c r="A23" s="16"/>
      <c r="B23" s="17" t="s">
        <v>33</v>
      </c>
      <c r="C23" s="17" t="s">
        <v>1658</v>
      </c>
      <c r="D23" s="17" t="s">
        <v>1106</v>
      </c>
      <c r="E23" s="17">
        <v>2</v>
      </c>
      <c r="F23" s="17" t="s">
        <v>2849</v>
      </c>
      <c r="G23" s="17" t="s">
        <v>2850</v>
      </c>
      <c r="H23" s="17" t="s">
        <v>2850</v>
      </c>
      <c r="I23" s="17" t="s">
        <v>2851</v>
      </c>
      <c r="J23" s="17" t="s">
        <v>2849</v>
      </c>
      <c r="K23" s="17" t="s">
        <v>2852</v>
      </c>
      <c r="L23" s="17" t="s">
        <v>2853</v>
      </c>
    </row>
    <row r="24" spans="1:12" ht="409.5">
      <c r="A24" s="16"/>
      <c r="B24" s="17" t="s">
        <v>33</v>
      </c>
      <c r="C24" s="17" t="s">
        <v>1658</v>
      </c>
      <c r="D24" s="17" t="s">
        <v>1106</v>
      </c>
      <c r="E24" s="17">
        <v>3</v>
      </c>
      <c r="F24" s="17" t="s">
        <v>2842</v>
      </c>
      <c r="G24" s="17" t="s">
        <v>2843</v>
      </c>
      <c r="H24" s="17" t="s">
        <v>2844</v>
      </c>
      <c r="I24" s="17" t="s">
        <v>2845</v>
      </c>
      <c r="J24" s="17" t="s">
        <v>2872</v>
      </c>
      <c r="K24" s="17" t="s">
        <v>2855</v>
      </c>
      <c r="L24" s="17" t="s">
        <v>2871</v>
      </c>
    </row>
    <row r="25" spans="1:12" ht="38.25">
      <c r="A25" s="16"/>
      <c r="B25" s="17" t="s">
        <v>33</v>
      </c>
      <c r="C25" s="17" t="s">
        <v>1658</v>
      </c>
      <c r="D25" s="17" t="s">
        <v>1106</v>
      </c>
      <c r="E25" s="17">
        <v>4</v>
      </c>
      <c r="F25" s="17" t="s">
        <v>2849</v>
      </c>
      <c r="G25" s="17" t="s">
        <v>2850</v>
      </c>
      <c r="H25" s="17" t="s">
        <v>2850</v>
      </c>
      <c r="I25" s="17" t="s">
        <v>2851</v>
      </c>
      <c r="J25" s="17" t="s">
        <v>2849</v>
      </c>
      <c r="K25" s="17" t="s">
        <v>2852</v>
      </c>
      <c r="L25" s="17" t="s">
        <v>2853</v>
      </c>
    </row>
    <row r="26" spans="1:12" ht="409.5">
      <c r="A26" s="16"/>
      <c r="B26" s="17" t="s">
        <v>33</v>
      </c>
      <c r="C26" s="17" t="s">
        <v>1658</v>
      </c>
      <c r="D26" s="17" t="s">
        <v>1106</v>
      </c>
      <c r="E26" s="17">
        <v>5</v>
      </c>
      <c r="F26" s="17" t="s">
        <v>2842</v>
      </c>
      <c r="G26" s="17" t="s">
        <v>2843</v>
      </c>
      <c r="H26" s="17" t="s">
        <v>2844</v>
      </c>
      <c r="I26" s="17" t="s">
        <v>2845</v>
      </c>
      <c r="J26" s="17" t="s">
        <v>2873</v>
      </c>
      <c r="K26" s="17" t="s">
        <v>2855</v>
      </c>
      <c r="L26" s="17" t="s">
        <v>2874</v>
      </c>
    </row>
    <row r="27" spans="1:12" ht="38.25">
      <c r="A27" s="16"/>
      <c r="B27" s="17" t="s">
        <v>33</v>
      </c>
      <c r="C27" s="17" t="s">
        <v>1658</v>
      </c>
      <c r="D27" s="17" t="s">
        <v>1106</v>
      </c>
      <c r="E27" s="17">
        <v>6</v>
      </c>
      <c r="F27" s="17" t="s">
        <v>2849</v>
      </c>
      <c r="G27" s="17" t="s">
        <v>2850</v>
      </c>
      <c r="H27" s="17" t="s">
        <v>2850</v>
      </c>
      <c r="I27" s="17" t="s">
        <v>2851</v>
      </c>
      <c r="J27" s="17" t="s">
        <v>2849</v>
      </c>
      <c r="K27" s="17" t="s">
        <v>2852</v>
      </c>
      <c r="L27" s="17" t="s">
        <v>2853</v>
      </c>
    </row>
    <row r="28" spans="1:12" ht="409.5">
      <c r="A28" s="16"/>
      <c r="B28" s="17" t="s">
        <v>33</v>
      </c>
      <c r="C28" s="17" t="s">
        <v>1658</v>
      </c>
      <c r="D28" s="17" t="s">
        <v>1106</v>
      </c>
      <c r="E28" s="17">
        <v>7</v>
      </c>
      <c r="F28" s="17" t="s">
        <v>2842</v>
      </c>
      <c r="G28" s="17" t="s">
        <v>2843</v>
      </c>
      <c r="H28" s="17" t="s">
        <v>2844</v>
      </c>
      <c r="I28" s="17" t="s">
        <v>2845</v>
      </c>
      <c r="J28" s="17" t="s">
        <v>2875</v>
      </c>
      <c r="K28" s="17" t="s">
        <v>2855</v>
      </c>
      <c r="L28" s="17" t="s">
        <v>2876</v>
      </c>
    </row>
    <row r="29" spans="1:12" ht="38.25">
      <c r="A29" s="16"/>
      <c r="B29" s="17" t="s">
        <v>33</v>
      </c>
      <c r="C29" s="17" t="s">
        <v>1658</v>
      </c>
      <c r="D29" s="17" t="s">
        <v>1106</v>
      </c>
      <c r="E29" s="17">
        <v>8</v>
      </c>
      <c r="F29" s="17" t="s">
        <v>2849</v>
      </c>
      <c r="G29" s="17" t="s">
        <v>2850</v>
      </c>
      <c r="H29" s="17" t="s">
        <v>2850</v>
      </c>
      <c r="I29" s="17" t="s">
        <v>2851</v>
      </c>
      <c r="J29" s="17" t="s">
        <v>2849</v>
      </c>
      <c r="K29" s="17" t="s">
        <v>2852</v>
      </c>
      <c r="L29" s="17" t="s">
        <v>2853</v>
      </c>
    </row>
    <row r="30" spans="1:12" ht="318.75">
      <c r="A30" s="16"/>
      <c r="B30" s="17" t="s">
        <v>33</v>
      </c>
      <c r="C30" s="17" t="s">
        <v>1658</v>
      </c>
      <c r="D30" s="17" t="s">
        <v>1106</v>
      </c>
      <c r="E30" s="17">
        <v>9</v>
      </c>
      <c r="F30" s="17" t="s">
        <v>2860</v>
      </c>
      <c r="G30" s="17" t="s">
        <v>2861</v>
      </c>
      <c r="H30" s="17" t="s">
        <v>2862</v>
      </c>
      <c r="I30" s="17" t="s">
        <v>2877</v>
      </c>
      <c r="J30" s="17" t="s">
        <v>2878</v>
      </c>
      <c r="K30" s="17" t="s">
        <v>2879</v>
      </c>
      <c r="L30" s="17" t="s">
        <v>2880</v>
      </c>
    </row>
    <row r="31" spans="1:12" ht="38.25">
      <c r="A31" s="16"/>
      <c r="B31" s="17" t="s">
        <v>33</v>
      </c>
      <c r="C31" s="17" t="s">
        <v>1658</v>
      </c>
      <c r="D31" s="17" t="s">
        <v>1106</v>
      </c>
      <c r="E31" s="17">
        <v>10</v>
      </c>
      <c r="F31" s="17" t="s">
        <v>2849</v>
      </c>
      <c r="G31" s="17" t="s">
        <v>2850</v>
      </c>
      <c r="H31" s="17" t="s">
        <v>2850</v>
      </c>
      <c r="I31" s="17" t="s">
        <v>2851</v>
      </c>
      <c r="J31" s="17" t="s">
        <v>2849</v>
      </c>
      <c r="K31" s="17" t="s">
        <v>2881</v>
      </c>
      <c r="L31" s="17" t="s">
        <v>2882</v>
      </c>
    </row>
    <row r="32" spans="1:12" ht="318.75">
      <c r="A32" s="16"/>
      <c r="B32" s="17" t="s">
        <v>33</v>
      </c>
      <c r="C32" s="17" t="s">
        <v>1658</v>
      </c>
      <c r="D32" s="17" t="s">
        <v>1106</v>
      </c>
      <c r="E32" s="17">
        <v>11</v>
      </c>
      <c r="F32" s="17" t="s">
        <v>2860</v>
      </c>
      <c r="G32" s="17" t="s">
        <v>2861</v>
      </c>
      <c r="H32" s="17" t="s">
        <v>2862</v>
      </c>
      <c r="I32" s="17" t="s">
        <v>2877</v>
      </c>
      <c r="J32" s="17" t="s">
        <v>2883</v>
      </c>
      <c r="K32" s="17" t="s">
        <v>2879</v>
      </c>
      <c r="L32" s="17" t="s">
        <v>2880</v>
      </c>
    </row>
    <row r="33" spans="1:12" ht="38.25">
      <c r="A33" s="16"/>
      <c r="B33" s="17" t="s">
        <v>33</v>
      </c>
      <c r="C33" s="17" t="s">
        <v>1658</v>
      </c>
      <c r="D33" s="17" t="s">
        <v>1106</v>
      </c>
      <c r="E33" s="17">
        <v>12</v>
      </c>
      <c r="F33" s="17" t="s">
        <v>2849</v>
      </c>
      <c r="G33" s="17" t="s">
        <v>2850</v>
      </c>
      <c r="H33" s="17" t="s">
        <v>2850</v>
      </c>
      <c r="I33" s="17" t="s">
        <v>2851</v>
      </c>
      <c r="J33" s="17" t="s">
        <v>2849</v>
      </c>
      <c r="K33" s="17" t="s">
        <v>2852</v>
      </c>
      <c r="L33" s="17" t="s">
        <v>2853</v>
      </c>
    </row>
    <row r="34" spans="1:12" ht="38.25">
      <c r="A34" s="16"/>
      <c r="B34" s="17" t="s">
        <v>33</v>
      </c>
      <c r="C34" s="17" t="s">
        <v>1658</v>
      </c>
      <c r="D34" s="17" t="s">
        <v>1106</v>
      </c>
      <c r="E34" s="17">
        <v>13</v>
      </c>
      <c r="F34" s="17" t="s">
        <v>2849</v>
      </c>
      <c r="G34" s="17" t="s">
        <v>2850</v>
      </c>
      <c r="H34" s="17" t="s">
        <v>2850</v>
      </c>
      <c r="I34" s="17" t="s">
        <v>2851</v>
      </c>
      <c r="J34" s="17" t="s">
        <v>2849</v>
      </c>
      <c r="K34" s="17" t="s">
        <v>2852</v>
      </c>
      <c r="L34" s="17" t="s">
        <v>2853</v>
      </c>
    </row>
    <row r="35" spans="1:12" ht="38.25">
      <c r="A35" s="16"/>
      <c r="B35" s="17" t="s">
        <v>33</v>
      </c>
      <c r="C35" s="17" t="s">
        <v>1658</v>
      </c>
      <c r="D35" s="17" t="s">
        <v>1106</v>
      </c>
      <c r="E35" s="17">
        <v>14</v>
      </c>
      <c r="F35" s="17" t="s">
        <v>2849</v>
      </c>
      <c r="G35" s="17" t="s">
        <v>2850</v>
      </c>
      <c r="H35" s="17" t="s">
        <v>2850</v>
      </c>
      <c r="I35" s="17" t="s">
        <v>2851</v>
      </c>
      <c r="J35" s="17" t="s">
        <v>2849</v>
      </c>
      <c r="K35" s="17" t="s">
        <v>2852</v>
      </c>
      <c r="L35" s="17" t="s">
        <v>2853</v>
      </c>
    </row>
    <row r="36" spans="1:12" ht="38.25">
      <c r="A36" s="16"/>
      <c r="B36" s="17" t="s">
        <v>33</v>
      </c>
      <c r="C36" s="17" t="s">
        <v>1658</v>
      </c>
      <c r="D36" s="17" t="s">
        <v>1106</v>
      </c>
      <c r="E36" s="17">
        <v>15</v>
      </c>
      <c r="F36" s="17" t="s">
        <v>2849</v>
      </c>
      <c r="G36" s="17" t="s">
        <v>2850</v>
      </c>
      <c r="H36" s="17" t="s">
        <v>2850</v>
      </c>
      <c r="I36" s="17" t="s">
        <v>2851</v>
      </c>
      <c r="J36" s="17" t="s">
        <v>2849</v>
      </c>
      <c r="K36" s="17" t="s">
        <v>2852</v>
      </c>
      <c r="L36" s="17" t="s">
        <v>2853</v>
      </c>
    </row>
    <row r="37" spans="1:12" ht="38.25">
      <c r="A37" s="16"/>
      <c r="B37" s="17" t="s">
        <v>33</v>
      </c>
      <c r="C37" s="17" t="s">
        <v>1658</v>
      </c>
      <c r="D37" s="17" t="s">
        <v>1106</v>
      </c>
      <c r="E37" s="17">
        <v>16</v>
      </c>
      <c r="F37" s="17" t="s">
        <v>2849</v>
      </c>
      <c r="G37" s="17" t="s">
        <v>2850</v>
      </c>
      <c r="H37" s="17" t="s">
        <v>2850</v>
      </c>
      <c r="I37" s="17" t="s">
        <v>2851</v>
      </c>
      <c r="J37" s="17" t="s">
        <v>2849</v>
      </c>
      <c r="K37" s="17" t="s">
        <v>2852</v>
      </c>
      <c r="L37" s="17" t="s">
        <v>2853</v>
      </c>
    </row>
    <row r="38" spans="1:12" ht="38.25">
      <c r="A38" s="16"/>
      <c r="B38" s="17" t="s">
        <v>33</v>
      </c>
      <c r="C38" s="17" t="s">
        <v>1658</v>
      </c>
      <c r="D38" s="17" t="s">
        <v>1106</v>
      </c>
      <c r="E38" s="17">
        <v>17</v>
      </c>
      <c r="F38" s="17" t="s">
        <v>2849</v>
      </c>
      <c r="G38" s="17" t="s">
        <v>2850</v>
      </c>
      <c r="H38" s="17" t="s">
        <v>2850</v>
      </c>
      <c r="I38" s="17" t="s">
        <v>2851</v>
      </c>
      <c r="J38" s="17" t="s">
        <v>2849</v>
      </c>
      <c r="K38" s="17" t="s">
        <v>2852</v>
      </c>
      <c r="L38" s="17" t="s">
        <v>2853</v>
      </c>
    </row>
    <row r="39" spans="1:12" ht="38.25">
      <c r="A39" s="16"/>
      <c r="B39" s="17" t="s">
        <v>33</v>
      </c>
      <c r="C39" s="17" t="s">
        <v>1658</v>
      </c>
      <c r="D39" s="17" t="s">
        <v>1106</v>
      </c>
      <c r="E39" s="17">
        <v>18</v>
      </c>
      <c r="F39" s="17" t="s">
        <v>2849</v>
      </c>
      <c r="G39" s="17" t="s">
        <v>2850</v>
      </c>
      <c r="H39" s="17" t="s">
        <v>2850</v>
      </c>
      <c r="I39" s="17" t="s">
        <v>2851</v>
      </c>
      <c r="J39" s="17" t="s">
        <v>2849</v>
      </c>
      <c r="K39" s="17" t="s">
        <v>2852</v>
      </c>
      <c r="L39" s="17" t="s">
        <v>2853</v>
      </c>
    </row>
    <row r="40" spans="1:12" ht="38.25">
      <c r="A40" s="16"/>
      <c r="B40" s="17" t="s">
        <v>33</v>
      </c>
      <c r="C40" s="17" t="s">
        <v>1658</v>
      </c>
      <c r="D40" s="17" t="s">
        <v>1106</v>
      </c>
      <c r="E40" s="17">
        <v>19</v>
      </c>
      <c r="F40" s="17" t="s">
        <v>2849</v>
      </c>
      <c r="G40" s="17" t="s">
        <v>2850</v>
      </c>
      <c r="H40" s="17" t="s">
        <v>2850</v>
      </c>
      <c r="I40" s="17" t="s">
        <v>2851</v>
      </c>
      <c r="J40" s="17" t="s">
        <v>2849</v>
      </c>
      <c r="K40" s="17" t="s">
        <v>2852</v>
      </c>
      <c r="L40" s="17" t="s">
        <v>2853</v>
      </c>
    </row>
    <row r="41" spans="1:12" ht="38.25">
      <c r="A41" s="16"/>
      <c r="B41" s="17" t="s">
        <v>33</v>
      </c>
      <c r="C41" s="17" t="s">
        <v>1658</v>
      </c>
      <c r="D41" s="17" t="s">
        <v>1106</v>
      </c>
      <c r="E41" s="17">
        <v>20</v>
      </c>
      <c r="F41" s="17" t="s">
        <v>2849</v>
      </c>
      <c r="G41" s="17" t="s">
        <v>2850</v>
      </c>
      <c r="H41" s="17" t="s">
        <v>2850</v>
      </c>
      <c r="I41" s="17" t="s">
        <v>2851</v>
      </c>
      <c r="J41" s="17" t="s">
        <v>2849</v>
      </c>
      <c r="K41" s="17" t="s">
        <v>2852</v>
      </c>
      <c r="L41" s="17" t="s">
        <v>2853</v>
      </c>
    </row>
    <row r="42" spans="1:12" ht="409.5">
      <c r="A42" s="16"/>
      <c r="B42" s="17" t="s">
        <v>33</v>
      </c>
      <c r="C42" s="17" t="s">
        <v>1658</v>
      </c>
      <c r="D42" s="17" t="s">
        <v>542</v>
      </c>
      <c r="E42" s="17">
        <v>1</v>
      </c>
      <c r="F42" s="17" t="s">
        <v>2884</v>
      </c>
      <c r="G42" s="17" t="s">
        <v>2885</v>
      </c>
      <c r="H42" s="17" t="s">
        <v>2844</v>
      </c>
      <c r="I42" s="17" t="s">
        <v>2886</v>
      </c>
      <c r="J42" s="17" t="s">
        <v>2887</v>
      </c>
      <c r="K42" s="17" t="s">
        <v>2888</v>
      </c>
      <c r="L42" s="17" t="s">
        <v>2889</v>
      </c>
    </row>
    <row r="43" spans="1:12" ht="38.25">
      <c r="A43" s="16"/>
      <c r="B43" s="17" t="s">
        <v>33</v>
      </c>
      <c r="C43" s="17" t="s">
        <v>1658</v>
      </c>
      <c r="D43" s="17" t="s">
        <v>542</v>
      </c>
      <c r="E43" s="17">
        <v>2</v>
      </c>
      <c r="F43" s="17" t="s">
        <v>2849</v>
      </c>
      <c r="G43" s="17" t="s">
        <v>2850</v>
      </c>
      <c r="H43" s="17" t="s">
        <v>2850</v>
      </c>
      <c r="I43" s="17" t="s">
        <v>2851</v>
      </c>
      <c r="J43" s="17" t="s">
        <v>2849</v>
      </c>
      <c r="K43" s="17" t="s">
        <v>2852</v>
      </c>
      <c r="L43" s="17" t="s">
        <v>2853</v>
      </c>
    </row>
    <row r="44" spans="1:12" ht="409.5">
      <c r="A44" s="16"/>
      <c r="B44" s="17" t="s">
        <v>33</v>
      </c>
      <c r="C44" s="17" t="s">
        <v>1658</v>
      </c>
      <c r="D44" s="17" t="s">
        <v>542</v>
      </c>
      <c r="E44" s="17">
        <v>3</v>
      </c>
      <c r="F44" s="17" t="s">
        <v>2884</v>
      </c>
      <c r="G44" s="17" t="s">
        <v>2885</v>
      </c>
      <c r="H44" s="17" t="s">
        <v>2844</v>
      </c>
      <c r="I44" s="17" t="s">
        <v>2886</v>
      </c>
      <c r="J44" s="17" t="s">
        <v>2890</v>
      </c>
      <c r="K44" s="17" t="s">
        <v>2891</v>
      </c>
      <c r="L44" s="17" t="s">
        <v>2892</v>
      </c>
    </row>
    <row r="45" spans="1:12" ht="38.25">
      <c r="A45" s="16"/>
      <c r="B45" s="17" t="s">
        <v>33</v>
      </c>
      <c r="C45" s="17" t="s">
        <v>1658</v>
      </c>
      <c r="D45" s="17" t="s">
        <v>542</v>
      </c>
      <c r="E45" s="17">
        <v>4</v>
      </c>
      <c r="F45" s="17" t="s">
        <v>2849</v>
      </c>
      <c r="G45" s="17" t="s">
        <v>2850</v>
      </c>
      <c r="H45" s="17" t="s">
        <v>2850</v>
      </c>
      <c r="I45" s="17" t="s">
        <v>2851</v>
      </c>
      <c r="J45" s="17" t="s">
        <v>2849</v>
      </c>
      <c r="K45" s="17" t="s">
        <v>2852</v>
      </c>
      <c r="L45" s="17" t="s">
        <v>2853</v>
      </c>
    </row>
    <row r="46" spans="1:12" ht="409.5">
      <c r="A46" s="16"/>
      <c r="B46" s="17" t="s">
        <v>33</v>
      </c>
      <c r="C46" s="17" t="s">
        <v>1658</v>
      </c>
      <c r="D46" s="17" t="s">
        <v>542</v>
      </c>
      <c r="E46" s="17">
        <v>5</v>
      </c>
      <c r="F46" s="17" t="s">
        <v>2884</v>
      </c>
      <c r="G46" s="17" t="s">
        <v>2885</v>
      </c>
      <c r="H46" s="17" t="s">
        <v>2844</v>
      </c>
      <c r="I46" s="17" t="s">
        <v>2886</v>
      </c>
      <c r="J46" s="17" t="s">
        <v>2893</v>
      </c>
      <c r="K46" s="17" t="s">
        <v>2894</v>
      </c>
      <c r="L46" s="17" t="s">
        <v>2895</v>
      </c>
    </row>
    <row r="47" spans="1:12" ht="38.25">
      <c r="A47" s="16"/>
      <c r="B47" s="17" t="s">
        <v>33</v>
      </c>
      <c r="C47" s="17" t="s">
        <v>1658</v>
      </c>
      <c r="D47" s="17" t="s">
        <v>542</v>
      </c>
      <c r="E47" s="17">
        <v>6</v>
      </c>
      <c r="F47" s="17" t="s">
        <v>2849</v>
      </c>
      <c r="G47" s="17" t="s">
        <v>2850</v>
      </c>
      <c r="H47" s="17" t="s">
        <v>2850</v>
      </c>
      <c r="I47" s="17" t="s">
        <v>2851</v>
      </c>
      <c r="J47" s="17" t="s">
        <v>2849</v>
      </c>
      <c r="K47" s="17" t="s">
        <v>2852</v>
      </c>
      <c r="L47" s="17"/>
    </row>
    <row r="48" spans="1:12" ht="409.5">
      <c r="A48" s="16"/>
      <c r="B48" s="17" t="s">
        <v>33</v>
      </c>
      <c r="C48" s="17" t="s">
        <v>1658</v>
      </c>
      <c r="D48" s="17" t="s">
        <v>542</v>
      </c>
      <c r="E48" s="17">
        <v>7</v>
      </c>
      <c r="F48" s="17" t="s">
        <v>2884</v>
      </c>
      <c r="G48" s="17" t="s">
        <v>2885</v>
      </c>
      <c r="H48" s="17" t="s">
        <v>2844</v>
      </c>
      <c r="I48" s="17" t="s">
        <v>2886</v>
      </c>
      <c r="J48" s="17" t="s">
        <v>2896</v>
      </c>
      <c r="K48" s="17" t="s">
        <v>2897</v>
      </c>
      <c r="L48" s="17" t="s">
        <v>2898</v>
      </c>
    </row>
    <row r="49" spans="1:12" ht="38.25">
      <c r="A49" s="16"/>
      <c r="B49" s="17" t="s">
        <v>33</v>
      </c>
      <c r="C49" s="17" t="s">
        <v>1658</v>
      </c>
      <c r="D49" s="17" t="s">
        <v>542</v>
      </c>
      <c r="E49" s="17">
        <v>8</v>
      </c>
      <c r="F49" s="17" t="s">
        <v>2849</v>
      </c>
      <c r="G49" s="17" t="s">
        <v>2850</v>
      </c>
      <c r="H49" s="17" t="s">
        <v>2850</v>
      </c>
      <c r="I49" s="17" t="s">
        <v>2851</v>
      </c>
      <c r="J49" s="17" t="s">
        <v>2849</v>
      </c>
      <c r="K49" s="17" t="s">
        <v>2852</v>
      </c>
      <c r="L49" s="17"/>
    </row>
    <row r="50" spans="1:12" ht="216.75">
      <c r="A50" s="16"/>
      <c r="B50" s="17" t="s">
        <v>33</v>
      </c>
      <c r="C50" s="17" t="s">
        <v>1658</v>
      </c>
      <c r="D50" s="17" t="s">
        <v>542</v>
      </c>
      <c r="E50" s="17">
        <v>9</v>
      </c>
      <c r="F50" s="17" t="s">
        <v>2899</v>
      </c>
      <c r="G50" s="17" t="s">
        <v>2900</v>
      </c>
      <c r="H50" s="17" t="s">
        <v>2901</v>
      </c>
      <c r="I50" s="17" t="s">
        <v>2877</v>
      </c>
      <c r="J50" s="17" t="s">
        <v>2902</v>
      </c>
      <c r="K50" s="17" t="s">
        <v>2903</v>
      </c>
      <c r="L50" s="17" t="s">
        <v>2904</v>
      </c>
    </row>
    <row r="51" spans="1:12" ht="38.25">
      <c r="A51" s="16"/>
      <c r="B51" s="17" t="s">
        <v>33</v>
      </c>
      <c r="C51" s="17" t="s">
        <v>1658</v>
      </c>
      <c r="D51" s="17" t="s">
        <v>542</v>
      </c>
      <c r="E51" s="17">
        <v>10</v>
      </c>
      <c r="F51" s="17" t="s">
        <v>2849</v>
      </c>
      <c r="G51" s="17" t="s">
        <v>2850</v>
      </c>
      <c r="H51" s="17" t="s">
        <v>2850</v>
      </c>
      <c r="I51" s="17" t="s">
        <v>2851</v>
      </c>
      <c r="J51" s="17" t="s">
        <v>2849</v>
      </c>
      <c r="K51" s="17" t="s">
        <v>2852</v>
      </c>
      <c r="L51" s="17"/>
    </row>
    <row r="52" spans="1:12" ht="409.5">
      <c r="A52" s="16"/>
      <c r="B52" s="17" t="s">
        <v>33</v>
      </c>
      <c r="C52" s="17" t="s">
        <v>1658</v>
      </c>
      <c r="D52" s="17" t="s">
        <v>542</v>
      </c>
      <c r="E52" s="17">
        <v>11</v>
      </c>
      <c r="F52" s="17" t="s">
        <v>2899</v>
      </c>
      <c r="G52" s="17" t="s">
        <v>2900</v>
      </c>
      <c r="H52" s="17" t="s">
        <v>2905</v>
      </c>
      <c r="I52" s="17" t="s">
        <v>2877</v>
      </c>
      <c r="J52" s="17" t="s">
        <v>2906</v>
      </c>
      <c r="K52" s="17" t="s">
        <v>2907</v>
      </c>
      <c r="L52" s="17" t="s">
        <v>2904</v>
      </c>
    </row>
    <row r="53" spans="1:12" ht="38.25">
      <c r="A53" s="16"/>
      <c r="B53" s="17" t="s">
        <v>33</v>
      </c>
      <c r="C53" s="17" t="s">
        <v>1658</v>
      </c>
      <c r="D53" s="17" t="s">
        <v>542</v>
      </c>
      <c r="E53" s="17">
        <v>12</v>
      </c>
      <c r="F53" s="17" t="s">
        <v>2849</v>
      </c>
      <c r="G53" s="17" t="s">
        <v>2850</v>
      </c>
      <c r="H53" s="17" t="s">
        <v>2850</v>
      </c>
      <c r="I53" s="17" t="s">
        <v>2851</v>
      </c>
      <c r="J53" s="17" t="s">
        <v>2849</v>
      </c>
      <c r="K53" s="17" t="s">
        <v>2852</v>
      </c>
      <c r="L53" s="17" t="s">
        <v>2853</v>
      </c>
    </row>
    <row r="54" spans="1:12" ht="38.25">
      <c r="A54" s="16"/>
      <c r="B54" s="17" t="s">
        <v>33</v>
      </c>
      <c r="C54" s="17" t="s">
        <v>1658</v>
      </c>
      <c r="D54" s="17" t="s">
        <v>542</v>
      </c>
      <c r="E54" s="17">
        <v>13</v>
      </c>
      <c r="F54" s="17" t="s">
        <v>2849</v>
      </c>
      <c r="G54" s="17" t="s">
        <v>2850</v>
      </c>
      <c r="H54" s="17" t="s">
        <v>2850</v>
      </c>
      <c r="I54" s="17" t="s">
        <v>2851</v>
      </c>
      <c r="J54" s="17" t="s">
        <v>2849</v>
      </c>
      <c r="K54" s="17" t="s">
        <v>2852</v>
      </c>
      <c r="L54" s="17" t="s">
        <v>2853</v>
      </c>
    </row>
    <row r="55" spans="1:12" ht="38.25">
      <c r="A55" s="16"/>
      <c r="B55" s="17" t="s">
        <v>33</v>
      </c>
      <c r="C55" s="17" t="s">
        <v>1658</v>
      </c>
      <c r="D55" s="17" t="s">
        <v>542</v>
      </c>
      <c r="E55" s="17">
        <v>14</v>
      </c>
      <c r="F55" s="17" t="s">
        <v>2849</v>
      </c>
      <c r="G55" s="17" t="s">
        <v>2850</v>
      </c>
      <c r="H55" s="17" t="s">
        <v>2850</v>
      </c>
      <c r="I55" s="17" t="s">
        <v>2851</v>
      </c>
      <c r="J55" s="17" t="s">
        <v>2849</v>
      </c>
      <c r="K55" s="17" t="s">
        <v>2852</v>
      </c>
      <c r="L55" s="17" t="s">
        <v>2853</v>
      </c>
    </row>
    <row r="56" spans="1:12" ht="38.25">
      <c r="A56" s="16"/>
      <c r="B56" s="17" t="s">
        <v>33</v>
      </c>
      <c r="C56" s="17" t="s">
        <v>1658</v>
      </c>
      <c r="D56" s="17" t="s">
        <v>542</v>
      </c>
      <c r="E56" s="17">
        <v>15</v>
      </c>
      <c r="F56" s="17" t="s">
        <v>2849</v>
      </c>
      <c r="G56" s="17" t="s">
        <v>2850</v>
      </c>
      <c r="H56" s="17" t="s">
        <v>2850</v>
      </c>
      <c r="I56" s="17" t="s">
        <v>2851</v>
      </c>
      <c r="J56" s="17" t="s">
        <v>2849</v>
      </c>
      <c r="K56" s="17" t="s">
        <v>2852</v>
      </c>
      <c r="L56" s="17" t="s">
        <v>2853</v>
      </c>
    </row>
    <row r="57" spans="1:12" ht="38.25">
      <c r="A57" s="16"/>
      <c r="B57" s="17" t="s">
        <v>33</v>
      </c>
      <c r="C57" s="17" t="s">
        <v>1658</v>
      </c>
      <c r="D57" s="17" t="s">
        <v>542</v>
      </c>
      <c r="E57" s="17">
        <v>16</v>
      </c>
      <c r="F57" s="17" t="s">
        <v>2849</v>
      </c>
      <c r="G57" s="17" t="s">
        <v>2850</v>
      </c>
      <c r="H57" s="17" t="s">
        <v>2850</v>
      </c>
      <c r="I57" s="17" t="s">
        <v>2851</v>
      </c>
      <c r="J57" s="17" t="s">
        <v>2849</v>
      </c>
      <c r="K57" s="17" t="s">
        <v>2852</v>
      </c>
      <c r="L57" s="17" t="s">
        <v>2853</v>
      </c>
    </row>
    <row r="58" spans="1:12" ht="38.25">
      <c r="A58" s="16"/>
      <c r="B58" s="17" t="s">
        <v>33</v>
      </c>
      <c r="C58" s="17" t="s">
        <v>1658</v>
      </c>
      <c r="D58" s="17" t="s">
        <v>542</v>
      </c>
      <c r="E58" s="17">
        <v>17</v>
      </c>
      <c r="F58" s="17" t="s">
        <v>2849</v>
      </c>
      <c r="G58" s="17" t="s">
        <v>2850</v>
      </c>
      <c r="H58" s="17" t="s">
        <v>2850</v>
      </c>
      <c r="I58" s="17" t="s">
        <v>2851</v>
      </c>
      <c r="J58" s="17" t="s">
        <v>2849</v>
      </c>
      <c r="K58" s="17" t="s">
        <v>2852</v>
      </c>
      <c r="L58" s="17" t="s">
        <v>2853</v>
      </c>
    </row>
    <row r="59" spans="1:12" ht="38.25">
      <c r="A59" s="16"/>
      <c r="B59" s="17" t="s">
        <v>33</v>
      </c>
      <c r="C59" s="17" t="s">
        <v>1658</v>
      </c>
      <c r="D59" s="17" t="s">
        <v>542</v>
      </c>
      <c r="E59" s="17">
        <v>18</v>
      </c>
      <c r="F59" s="17" t="s">
        <v>2849</v>
      </c>
      <c r="G59" s="17" t="s">
        <v>2850</v>
      </c>
      <c r="H59" s="17" t="s">
        <v>2850</v>
      </c>
      <c r="I59" s="17" t="s">
        <v>2851</v>
      </c>
      <c r="J59" s="17" t="s">
        <v>2849</v>
      </c>
      <c r="K59" s="17" t="s">
        <v>2852</v>
      </c>
      <c r="L59" s="17" t="s">
        <v>2853</v>
      </c>
    </row>
    <row r="60" spans="1:12" ht="38.25">
      <c r="A60" s="16"/>
      <c r="B60" s="17" t="s">
        <v>33</v>
      </c>
      <c r="C60" s="17" t="s">
        <v>1658</v>
      </c>
      <c r="D60" s="17" t="s">
        <v>542</v>
      </c>
      <c r="E60" s="17">
        <v>19</v>
      </c>
      <c r="F60" s="17" t="s">
        <v>2849</v>
      </c>
      <c r="G60" s="17" t="s">
        <v>2850</v>
      </c>
      <c r="H60" s="17" t="s">
        <v>2850</v>
      </c>
      <c r="I60" s="17" t="s">
        <v>2851</v>
      </c>
      <c r="J60" s="17" t="s">
        <v>2849</v>
      </c>
      <c r="K60" s="17" t="s">
        <v>2852</v>
      </c>
      <c r="L60" s="17" t="s">
        <v>2853</v>
      </c>
    </row>
    <row r="61" spans="1:12" ht="38.25">
      <c r="A61" s="16"/>
      <c r="B61" s="17" t="s">
        <v>33</v>
      </c>
      <c r="C61" s="17" t="s">
        <v>1658</v>
      </c>
      <c r="D61" s="17" t="s">
        <v>542</v>
      </c>
      <c r="E61" s="17">
        <v>20</v>
      </c>
      <c r="F61" s="17" t="s">
        <v>2849</v>
      </c>
      <c r="G61" s="17" t="s">
        <v>2850</v>
      </c>
      <c r="H61" s="17" t="s">
        <v>2850</v>
      </c>
      <c r="I61" s="17" t="s">
        <v>2851</v>
      </c>
      <c r="J61" s="17" t="s">
        <v>2849</v>
      </c>
      <c r="K61" s="17" t="s">
        <v>2852</v>
      </c>
      <c r="L61" s="17" t="s">
        <v>2853</v>
      </c>
    </row>
    <row r="62" spans="1:12" ht="409.5">
      <c r="A62" s="16"/>
      <c r="B62" s="17" t="s">
        <v>33</v>
      </c>
      <c r="C62" s="17" t="s">
        <v>1658</v>
      </c>
      <c r="D62" s="17" t="s">
        <v>1171</v>
      </c>
      <c r="E62" s="17">
        <v>1</v>
      </c>
      <c r="F62" s="17" t="s">
        <v>2842</v>
      </c>
      <c r="G62" s="17" t="s">
        <v>2843</v>
      </c>
      <c r="H62" s="17" t="s">
        <v>2844</v>
      </c>
      <c r="I62" s="17" t="s">
        <v>2886</v>
      </c>
      <c r="J62" s="17" t="s">
        <v>2908</v>
      </c>
      <c r="K62" s="17" t="s">
        <v>2909</v>
      </c>
      <c r="L62" s="17" t="s">
        <v>2910</v>
      </c>
    </row>
    <row r="63" spans="1:12" ht="38.25">
      <c r="A63" s="16"/>
      <c r="B63" s="17" t="s">
        <v>33</v>
      </c>
      <c r="C63" s="17" t="s">
        <v>1658</v>
      </c>
      <c r="D63" s="17" t="s">
        <v>1171</v>
      </c>
      <c r="E63" s="17">
        <v>2</v>
      </c>
      <c r="F63" s="17" t="s">
        <v>2849</v>
      </c>
      <c r="G63" s="17" t="s">
        <v>2850</v>
      </c>
      <c r="H63" s="17" t="s">
        <v>2850</v>
      </c>
      <c r="I63" s="17" t="s">
        <v>2851</v>
      </c>
      <c r="J63" s="17" t="s">
        <v>2849</v>
      </c>
      <c r="K63" s="17" t="s">
        <v>2852</v>
      </c>
      <c r="L63" s="17" t="s">
        <v>2853</v>
      </c>
    </row>
    <row r="64" spans="1:12" ht="409.5">
      <c r="A64" s="16"/>
      <c r="B64" s="17" t="s">
        <v>33</v>
      </c>
      <c r="C64" s="17" t="s">
        <v>1658</v>
      </c>
      <c r="D64" s="17" t="s">
        <v>1171</v>
      </c>
      <c r="E64" s="17">
        <v>3</v>
      </c>
      <c r="F64" s="17" t="s">
        <v>2842</v>
      </c>
      <c r="G64" s="17" t="s">
        <v>2843</v>
      </c>
      <c r="H64" s="17" t="s">
        <v>2844</v>
      </c>
      <c r="I64" s="17" t="s">
        <v>2886</v>
      </c>
      <c r="J64" s="17" t="s">
        <v>2911</v>
      </c>
      <c r="K64" s="17" t="s">
        <v>2912</v>
      </c>
      <c r="L64" s="17" t="s">
        <v>2913</v>
      </c>
    </row>
    <row r="65" spans="1:12" ht="38.25">
      <c r="A65" s="16"/>
      <c r="B65" s="17" t="s">
        <v>33</v>
      </c>
      <c r="C65" s="17" t="s">
        <v>1658</v>
      </c>
      <c r="D65" s="17" t="s">
        <v>1171</v>
      </c>
      <c r="E65" s="17">
        <v>4</v>
      </c>
      <c r="F65" s="17" t="s">
        <v>2849</v>
      </c>
      <c r="G65" s="17" t="s">
        <v>2850</v>
      </c>
      <c r="H65" s="17" t="s">
        <v>2850</v>
      </c>
      <c r="I65" s="17" t="s">
        <v>2851</v>
      </c>
      <c r="J65" s="17" t="s">
        <v>2849</v>
      </c>
      <c r="K65" s="17" t="s">
        <v>2852</v>
      </c>
      <c r="L65" s="17" t="s">
        <v>2853</v>
      </c>
    </row>
    <row r="66" spans="1:12" ht="409.5">
      <c r="A66" s="16"/>
      <c r="B66" s="17" t="s">
        <v>33</v>
      </c>
      <c r="C66" s="17" t="s">
        <v>1658</v>
      </c>
      <c r="D66" s="17" t="s">
        <v>1171</v>
      </c>
      <c r="E66" s="17">
        <v>5</v>
      </c>
      <c r="F66" s="17" t="s">
        <v>2842</v>
      </c>
      <c r="G66" s="17" t="s">
        <v>2843</v>
      </c>
      <c r="H66" s="17" t="s">
        <v>2844</v>
      </c>
      <c r="I66" s="17" t="s">
        <v>2886</v>
      </c>
      <c r="J66" s="17" t="s">
        <v>2914</v>
      </c>
      <c r="K66" s="17" t="s">
        <v>2915</v>
      </c>
      <c r="L66" s="17" t="s">
        <v>2916</v>
      </c>
    </row>
    <row r="67" spans="1:12" ht="38.25">
      <c r="A67" s="16"/>
      <c r="B67" s="17" t="s">
        <v>33</v>
      </c>
      <c r="C67" s="17" t="s">
        <v>1658</v>
      </c>
      <c r="D67" s="17" t="s">
        <v>1171</v>
      </c>
      <c r="E67" s="17">
        <v>6</v>
      </c>
      <c r="F67" s="17" t="s">
        <v>2849</v>
      </c>
      <c r="G67" s="17" t="s">
        <v>2850</v>
      </c>
      <c r="H67" s="17" t="s">
        <v>2850</v>
      </c>
      <c r="I67" s="17" t="s">
        <v>2851</v>
      </c>
      <c r="J67" s="17" t="s">
        <v>2849</v>
      </c>
      <c r="K67" s="17" t="s">
        <v>2852</v>
      </c>
      <c r="L67" s="17" t="s">
        <v>2853</v>
      </c>
    </row>
    <row r="68" spans="1:12" ht="409.5">
      <c r="A68" s="16"/>
      <c r="B68" s="17" t="s">
        <v>33</v>
      </c>
      <c r="C68" s="17" t="s">
        <v>1658</v>
      </c>
      <c r="D68" s="17" t="s">
        <v>1171</v>
      </c>
      <c r="E68" s="17">
        <v>7</v>
      </c>
      <c r="F68" s="17" t="s">
        <v>2842</v>
      </c>
      <c r="G68" s="17" t="s">
        <v>2843</v>
      </c>
      <c r="H68" s="17" t="s">
        <v>2844</v>
      </c>
      <c r="I68" s="17" t="s">
        <v>2886</v>
      </c>
      <c r="J68" s="17" t="s">
        <v>2917</v>
      </c>
      <c r="K68" s="17" t="s">
        <v>2918</v>
      </c>
      <c r="L68" s="17" t="s">
        <v>2919</v>
      </c>
    </row>
    <row r="69" spans="1:12" ht="38.25">
      <c r="A69" s="16"/>
      <c r="B69" s="17" t="s">
        <v>33</v>
      </c>
      <c r="C69" s="17" t="s">
        <v>1658</v>
      </c>
      <c r="D69" s="17" t="s">
        <v>1171</v>
      </c>
      <c r="E69" s="17">
        <v>8</v>
      </c>
      <c r="F69" s="17" t="s">
        <v>2849</v>
      </c>
      <c r="G69" s="17" t="s">
        <v>2850</v>
      </c>
      <c r="H69" s="17" t="s">
        <v>2850</v>
      </c>
      <c r="I69" s="17" t="s">
        <v>2851</v>
      </c>
      <c r="J69" s="17" t="s">
        <v>2849</v>
      </c>
      <c r="K69" s="17" t="s">
        <v>2852</v>
      </c>
      <c r="L69" s="17" t="s">
        <v>2853</v>
      </c>
    </row>
    <row r="70" spans="1:12" ht="318.75">
      <c r="A70" s="16"/>
      <c r="B70" s="17" t="s">
        <v>33</v>
      </c>
      <c r="C70" s="17" t="s">
        <v>1658</v>
      </c>
      <c r="D70" s="17" t="s">
        <v>1171</v>
      </c>
      <c r="E70" s="17">
        <v>9</v>
      </c>
      <c r="F70" s="17" t="s">
        <v>2920</v>
      </c>
      <c r="G70" s="17" t="s">
        <v>2861</v>
      </c>
      <c r="H70" s="17" t="s">
        <v>2862</v>
      </c>
      <c r="I70" s="17" t="s">
        <v>2877</v>
      </c>
      <c r="J70" s="17" t="s">
        <v>2921</v>
      </c>
      <c r="K70" s="17" t="s">
        <v>2922</v>
      </c>
      <c r="L70" s="17" t="s">
        <v>2923</v>
      </c>
    </row>
    <row r="71" spans="1:12" ht="38.25">
      <c r="A71" s="16"/>
      <c r="B71" s="17" t="s">
        <v>33</v>
      </c>
      <c r="C71" s="17" t="s">
        <v>1658</v>
      </c>
      <c r="D71" s="17" t="s">
        <v>1171</v>
      </c>
      <c r="E71" s="17">
        <v>10</v>
      </c>
      <c r="F71" s="17" t="s">
        <v>2849</v>
      </c>
      <c r="G71" s="17" t="s">
        <v>2850</v>
      </c>
      <c r="H71" s="17" t="s">
        <v>2850</v>
      </c>
      <c r="I71" s="17" t="s">
        <v>2851</v>
      </c>
      <c r="J71" s="17" t="s">
        <v>2849</v>
      </c>
      <c r="K71" s="17" t="s">
        <v>2852</v>
      </c>
      <c r="L71" s="17" t="s">
        <v>2853</v>
      </c>
    </row>
    <row r="72" spans="1:12" ht="318.75">
      <c r="A72" s="16"/>
      <c r="B72" s="17" t="s">
        <v>33</v>
      </c>
      <c r="C72" s="17" t="s">
        <v>1658</v>
      </c>
      <c r="D72" s="17" t="s">
        <v>1171</v>
      </c>
      <c r="E72" s="17">
        <v>11</v>
      </c>
      <c r="F72" s="17" t="s">
        <v>2920</v>
      </c>
      <c r="G72" s="17" t="s">
        <v>2861</v>
      </c>
      <c r="H72" s="17" t="s">
        <v>2862</v>
      </c>
      <c r="I72" s="17" t="s">
        <v>2877</v>
      </c>
      <c r="J72" s="17" t="s">
        <v>2924</v>
      </c>
      <c r="K72" s="17" t="s">
        <v>2922</v>
      </c>
      <c r="L72" s="17" t="s">
        <v>2923</v>
      </c>
    </row>
    <row r="73" spans="1:12" ht="38.25">
      <c r="A73" s="16"/>
      <c r="B73" s="17" t="s">
        <v>33</v>
      </c>
      <c r="C73" s="17" t="s">
        <v>1658</v>
      </c>
      <c r="D73" s="17" t="s">
        <v>1171</v>
      </c>
      <c r="E73" s="17">
        <v>12</v>
      </c>
      <c r="F73" s="17" t="s">
        <v>2849</v>
      </c>
      <c r="G73" s="17" t="s">
        <v>2850</v>
      </c>
      <c r="H73" s="17" t="s">
        <v>2850</v>
      </c>
      <c r="I73" s="17" t="s">
        <v>2851</v>
      </c>
      <c r="J73" s="17" t="s">
        <v>2849</v>
      </c>
      <c r="K73" s="17" t="s">
        <v>2852</v>
      </c>
      <c r="L73" s="17" t="s">
        <v>2853</v>
      </c>
    </row>
    <row r="74" spans="1:12" ht="38.25">
      <c r="A74" s="16"/>
      <c r="B74" s="17" t="s">
        <v>33</v>
      </c>
      <c r="C74" s="17" t="s">
        <v>1658</v>
      </c>
      <c r="D74" s="17" t="s">
        <v>1171</v>
      </c>
      <c r="E74" s="17">
        <v>13</v>
      </c>
      <c r="F74" s="17" t="s">
        <v>2849</v>
      </c>
      <c r="G74" s="17" t="s">
        <v>2850</v>
      </c>
      <c r="H74" s="17" t="s">
        <v>2850</v>
      </c>
      <c r="I74" s="17" t="s">
        <v>2851</v>
      </c>
      <c r="J74" s="17" t="s">
        <v>2849</v>
      </c>
      <c r="K74" s="17" t="s">
        <v>2852</v>
      </c>
      <c r="L74" s="17" t="s">
        <v>2853</v>
      </c>
    </row>
    <row r="75" spans="1:12" ht="38.25">
      <c r="A75" s="16"/>
      <c r="B75" s="17" t="s">
        <v>33</v>
      </c>
      <c r="C75" s="17" t="s">
        <v>1658</v>
      </c>
      <c r="D75" s="17" t="s">
        <v>1171</v>
      </c>
      <c r="E75" s="17">
        <v>14</v>
      </c>
      <c r="F75" s="17" t="s">
        <v>2849</v>
      </c>
      <c r="G75" s="17" t="s">
        <v>2850</v>
      </c>
      <c r="H75" s="17" t="s">
        <v>2850</v>
      </c>
      <c r="I75" s="17" t="s">
        <v>2851</v>
      </c>
      <c r="J75" s="17" t="s">
        <v>2849</v>
      </c>
      <c r="K75" s="17" t="s">
        <v>2852</v>
      </c>
      <c r="L75" s="17" t="s">
        <v>2853</v>
      </c>
    </row>
    <row r="76" spans="1:12" ht="38.25">
      <c r="A76" s="16"/>
      <c r="B76" s="17" t="s">
        <v>33</v>
      </c>
      <c r="C76" s="17" t="s">
        <v>1658</v>
      </c>
      <c r="D76" s="17" t="s">
        <v>1171</v>
      </c>
      <c r="E76" s="17">
        <v>15</v>
      </c>
      <c r="F76" s="17" t="s">
        <v>2849</v>
      </c>
      <c r="G76" s="17" t="s">
        <v>2850</v>
      </c>
      <c r="H76" s="17" t="s">
        <v>2850</v>
      </c>
      <c r="I76" s="17" t="s">
        <v>2851</v>
      </c>
      <c r="J76" s="17" t="s">
        <v>2849</v>
      </c>
      <c r="K76" s="17" t="s">
        <v>2852</v>
      </c>
      <c r="L76" s="17" t="s">
        <v>2853</v>
      </c>
    </row>
    <row r="77" spans="1:12" ht="38.25">
      <c r="A77" s="16"/>
      <c r="B77" s="17" t="s">
        <v>33</v>
      </c>
      <c r="C77" s="17" t="s">
        <v>1658</v>
      </c>
      <c r="D77" s="17" t="s">
        <v>1171</v>
      </c>
      <c r="E77" s="17">
        <v>16</v>
      </c>
      <c r="F77" s="17" t="s">
        <v>2849</v>
      </c>
      <c r="G77" s="17" t="s">
        <v>2850</v>
      </c>
      <c r="H77" s="17" t="s">
        <v>2850</v>
      </c>
      <c r="I77" s="17" t="s">
        <v>2851</v>
      </c>
      <c r="J77" s="17" t="s">
        <v>2849</v>
      </c>
      <c r="K77" s="17" t="s">
        <v>2852</v>
      </c>
      <c r="L77" s="17" t="s">
        <v>2853</v>
      </c>
    </row>
    <row r="78" spans="1:12" ht="38.25">
      <c r="A78" s="16"/>
      <c r="B78" s="17" t="s">
        <v>33</v>
      </c>
      <c r="C78" s="17" t="s">
        <v>1658</v>
      </c>
      <c r="D78" s="17" t="s">
        <v>1171</v>
      </c>
      <c r="E78" s="17">
        <v>17</v>
      </c>
      <c r="F78" s="17" t="s">
        <v>2849</v>
      </c>
      <c r="G78" s="17" t="s">
        <v>2850</v>
      </c>
      <c r="H78" s="17" t="s">
        <v>2850</v>
      </c>
      <c r="I78" s="17" t="s">
        <v>2851</v>
      </c>
      <c r="J78" s="17" t="s">
        <v>2849</v>
      </c>
      <c r="K78" s="17" t="s">
        <v>2852</v>
      </c>
      <c r="L78" s="17" t="s">
        <v>2853</v>
      </c>
    </row>
    <row r="79" spans="1:12" ht="38.25">
      <c r="A79" s="16"/>
      <c r="B79" s="17" t="s">
        <v>33</v>
      </c>
      <c r="C79" s="17" t="s">
        <v>1658</v>
      </c>
      <c r="D79" s="17" t="s">
        <v>1171</v>
      </c>
      <c r="E79" s="17">
        <v>18</v>
      </c>
      <c r="F79" s="17" t="s">
        <v>2849</v>
      </c>
      <c r="G79" s="17" t="s">
        <v>2850</v>
      </c>
      <c r="H79" s="17" t="s">
        <v>2850</v>
      </c>
      <c r="I79" s="17" t="s">
        <v>2851</v>
      </c>
      <c r="J79" s="17" t="s">
        <v>2849</v>
      </c>
      <c r="K79" s="17" t="s">
        <v>2852</v>
      </c>
      <c r="L79" s="17" t="s">
        <v>2853</v>
      </c>
    </row>
    <row r="80" spans="1:12" ht="38.25">
      <c r="A80" s="16"/>
      <c r="B80" s="17" t="s">
        <v>33</v>
      </c>
      <c r="C80" s="17" t="s">
        <v>1658</v>
      </c>
      <c r="D80" s="17" t="s">
        <v>1171</v>
      </c>
      <c r="E80" s="17">
        <v>19</v>
      </c>
      <c r="F80" s="17" t="s">
        <v>2849</v>
      </c>
      <c r="G80" s="17" t="s">
        <v>2850</v>
      </c>
      <c r="H80" s="17" t="s">
        <v>2850</v>
      </c>
      <c r="I80" s="17" t="s">
        <v>2851</v>
      </c>
      <c r="J80" s="17" t="s">
        <v>2849</v>
      </c>
      <c r="K80" s="17" t="s">
        <v>2852</v>
      </c>
      <c r="L80" s="17" t="s">
        <v>2853</v>
      </c>
    </row>
    <row r="81" spans="1:12" ht="38.25">
      <c r="A81" s="16"/>
      <c r="B81" s="17" t="s">
        <v>33</v>
      </c>
      <c r="C81" s="17" t="s">
        <v>1658</v>
      </c>
      <c r="D81" s="17" t="s">
        <v>1171</v>
      </c>
      <c r="E81" s="17">
        <v>20</v>
      </c>
      <c r="F81" s="17" t="s">
        <v>2849</v>
      </c>
      <c r="G81" s="17" t="s">
        <v>2850</v>
      </c>
      <c r="H81" s="17" t="s">
        <v>2850</v>
      </c>
      <c r="I81" s="17" t="s">
        <v>2851</v>
      </c>
      <c r="J81" s="17" t="s">
        <v>2849</v>
      </c>
      <c r="K81" s="17" t="s">
        <v>2852</v>
      </c>
      <c r="L81" s="17" t="s">
        <v>2853</v>
      </c>
    </row>
    <row r="82" spans="1:12" ht="409.5">
      <c r="A82" s="16"/>
      <c r="B82" s="17" t="s">
        <v>33</v>
      </c>
      <c r="C82" s="17" t="s">
        <v>1069</v>
      </c>
      <c r="D82" s="17" t="s">
        <v>1070</v>
      </c>
      <c r="E82" s="17">
        <v>1</v>
      </c>
      <c r="F82" s="17" t="s">
        <v>2842</v>
      </c>
      <c r="G82" s="17" t="s">
        <v>2843</v>
      </c>
      <c r="H82" s="17" t="s">
        <v>2844</v>
      </c>
      <c r="I82" s="17" t="s">
        <v>2845</v>
      </c>
      <c r="J82" s="17" t="s">
        <v>2925</v>
      </c>
      <c r="K82" s="17" t="s">
        <v>2926</v>
      </c>
      <c r="L82" s="17" t="s">
        <v>2927</v>
      </c>
    </row>
    <row r="83" spans="1:12" ht="38.25">
      <c r="A83" s="16"/>
      <c r="B83" s="17" t="s">
        <v>33</v>
      </c>
      <c r="C83" s="17" t="s">
        <v>1069</v>
      </c>
      <c r="D83" s="17" t="s">
        <v>1070</v>
      </c>
      <c r="E83" s="17">
        <v>2</v>
      </c>
      <c r="F83" s="17" t="s">
        <v>2849</v>
      </c>
      <c r="G83" s="17" t="s">
        <v>2850</v>
      </c>
      <c r="H83" s="17" t="s">
        <v>2850</v>
      </c>
      <c r="I83" s="17" t="s">
        <v>2851</v>
      </c>
      <c r="J83" s="17" t="s">
        <v>2849</v>
      </c>
      <c r="K83" s="17" t="s">
        <v>2852</v>
      </c>
      <c r="L83" s="17" t="s">
        <v>2853</v>
      </c>
    </row>
    <row r="84" spans="1:12" ht="409.5">
      <c r="A84" s="16"/>
      <c r="B84" s="17" t="s">
        <v>33</v>
      </c>
      <c r="C84" s="17" t="s">
        <v>1069</v>
      </c>
      <c r="D84" s="17" t="s">
        <v>1070</v>
      </c>
      <c r="E84" s="17">
        <v>3</v>
      </c>
      <c r="F84" s="17" t="s">
        <v>2842</v>
      </c>
      <c r="G84" s="17" t="s">
        <v>2843</v>
      </c>
      <c r="H84" s="17" t="s">
        <v>2844</v>
      </c>
      <c r="I84" s="17" t="s">
        <v>2845</v>
      </c>
      <c r="J84" s="17" t="s">
        <v>2928</v>
      </c>
      <c r="K84" s="17" t="s">
        <v>2929</v>
      </c>
      <c r="L84" s="17" t="s">
        <v>2930</v>
      </c>
    </row>
    <row r="85" spans="1:12" ht="38.25">
      <c r="A85" s="16"/>
      <c r="B85" s="17" t="s">
        <v>33</v>
      </c>
      <c r="C85" s="17" t="s">
        <v>1069</v>
      </c>
      <c r="D85" s="17" t="s">
        <v>1070</v>
      </c>
      <c r="E85" s="17">
        <v>4</v>
      </c>
      <c r="F85" s="17" t="s">
        <v>2849</v>
      </c>
      <c r="G85" s="17" t="s">
        <v>2850</v>
      </c>
      <c r="H85" s="17" t="s">
        <v>2850</v>
      </c>
      <c r="I85" s="17" t="s">
        <v>2851</v>
      </c>
      <c r="J85" s="17" t="s">
        <v>2849</v>
      </c>
      <c r="K85" s="17" t="s">
        <v>2852</v>
      </c>
      <c r="L85" s="17" t="s">
        <v>2853</v>
      </c>
    </row>
    <row r="86" spans="1:12" ht="409.5">
      <c r="A86" s="16"/>
      <c r="B86" s="17" t="s">
        <v>33</v>
      </c>
      <c r="C86" s="17" t="s">
        <v>1069</v>
      </c>
      <c r="D86" s="17" t="s">
        <v>1070</v>
      </c>
      <c r="E86" s="17">
        <v>5</v>
      </c>
      <c r="F86" s="17" t="s">
        <v>2842</v>
      </c>
      <c r="G86" s="17" t="s">
        <v>2843</v>
      </c>
      <c r="H86" s="17" t="s">
        <v>2844</v>
      </c>
      <c r="I86" s="17" t="s">
        <v>2845</v>
      </c>
      <c r="J86" s="17" t="s">
        <v>2931</v>
      </c>
      <c r="K86" s="17" t="s">
        <v>2929</v>
      </c>
      <c r="L86" s="17" t="s">
        <v>2930</v>
      </c>
    </row>
    <row r="87" spans="1:12" ht="38.25">
      <c r="A87" s="16"/>
      <c r="B87" s="17" t="s">
        <v>33</v>
      </c>
      <c r="C87" s="17" t="s">
        <v>1069</v>
      </c>
      <c r="D87" s="17" t="s">
        <v>1070</v>
      </c>
      <c r="E87" s="17">
        <v>6</v>
      </c>
      <c r="F87" s="17" t="s">
        <v>2849</v>
      </c>
      <c r="G87" s="17" t="s">
        <v>2850</v>
      </c>
      <c r="H87" s="17" t="s">
        <v>2850</v>
      </c>
      <c r="I87" s="17" t="s">
        <v>2851</v>
      </c>
      <c r="J87" s="17" t="s">
        <v>2849</v>
      </c>
      <c r="K87" s="17" t="s">
        <v>2852</v>
      </c>
      <c r="L87" s="17" t="s">
        <v>2853</v>
      </c>
    </row>
    <row r="88" spans="1:12" ht="409.5">
      <c r="A88" s="16"/>
      <c r="B88" s="17" t="s">
        <v>33</v>
      </c>
      <c r="C88" s="17" t="s">
        <v>1069</v>
      </c>
      <c r="D88" s="17" t="s">
        <v>1070</v>
      </c>
      <c r="E88" s="17">
        <v>7</v>
      </c>
      <c r="F88" s="17" t="s">
        <v>2842</v>
      </c>
      <c r="G88" s="17" t="s">
        <v>2843</v>
      </c>
      <c r="H88" s="17" t="s">
        <v>2844</v>
      </c>
      <c r="I88" s="17" t="s">
        <v>2845</v>
      </c>
      <c r="J88" s="17" t="s">
        <v>2932</v>
      </c>
      <c r="K88" s="17" t="s">
        <v>2929</v>
      </c>
      <c r="L88" s="17" t="s">
        <v>2933</v>
      </c>
    </row>
    <row r="89" spans="1:12" ht="38.25">
      <c r="A89" s="16"/>
      <c r="B89" s="17" t="s">
        <v>33</v>
      </c>
      <c r="C89" s="17" t="s">
        <v>1069</v>
      </c>
      <c r="D89" s="17" t="s">
        <v>1070</v>
      </c>
      <c r="E89" s="17">
        <v>8</v>
      </c>
      <c r="F89" s="17" t="s">
        <v>2849</v>
      </c>
      <c r="G89" s="17" t="s">
        <v>2850</v>
      </c>
      <c r="H89" s="17" t="s">
        <v>2850</v>
      </c>
      <c r="I89" s="17" t="s">
        <v>2851</v>
      </c>
      <c r="J89" s="17" t="s">
        <v>2849</v>
      </c>
      <c r="K89" s="17" t="s">
        <v>2852</v>
      </c>
      <c r="L89" s="17" t="s">
        <v>2853</v>
      </c>
    </row>
    <row r="90" spans="1:12" ht="318.75">
      <c r="A90" s="16"/>
      <c r="B90" s="17" t="s">
        <v>33</v>
      </c>
      <c r="C90" s="17" t="s">
        <v>1069</v>
      </c>
      <c r="D90" s="17" t="s">
        <v>1070</v>
      </c>
      <c r="E90" s="17">
        <v>9</v>
      </c>
      <c r="F90" s="17" t="s">
        <v>2860</v>
      </c>
      <c r="G90" s="17" t="s">
        <v>2861</v>
      </c>
      <c r="H90" s="17" t="s">
        <v>2862</v>
      </c>
      <c r="I90" s="17" t="s">
        <v>2863</v>
      </c>
      <c r="J90" s="17" t="s">
        <v>2934</v>
      </c>
      <c r="K90" s="17" t="s">
        <v>2935</v>
      </c>
      <c r="L90" s="17" t="s">
        <v>2936</v>
      </c>
    </row>
    <row r="91" spans="1:12" ht="38.25">
      <c r="A91" s="16"/>
      <c r="B91" s="17" t="s">
        <v>33</v>
      </c>
      <c r="C91" s="17" t="s">
        <v>1069</v>
      </c>
      <c r="D91" s="17" t="s">
        <v>1070</v>
      </c>
      <c r="E91" s="17">
        <v>10</v>
      </c>
      <c r="F91" s="17" t="s">
        <v>2849</v>
      </c>
      <c r="G91" s="17" t="s">
        <v>2850</v>
      </c>
      <c r="H91" s="17" t="s">
        <v>2850</v>
      </c>
      <c r="I91" s="17" t="s">
        <v>2851</v>
      </c>
      <c r="J91" s="17" t="s">
        <v>2849</v>
      </c>
      <c r="K91" s="17" t="s">
        <v>2852</v>
      </c>
      <c r="L91" s="17" t="s">
        <v>2853</v>
      </c>
    </row>
    <row r="92" spans="1:12" ht="318.75">
      <c r="A92" s="16"/>
      <c r="B92" s="17" t="s">
        <v>33</v>
      </c>
      <c r="C92" s="17" t="s">
        <v>1069</v>
      </c>
      <c r="D92" s="17" t="s">
        <v>1070</v>
      </c>
      <c r="E92" s="17">
        <v>11</v>
      </c>
      <c r="F92" s="17" t="s">
        <v>2860</v>
      </c>
      <c r="G92" s="17" t="s">
        <v>2861</v>
      </c>
      <c r="H92" s="17" t="s">
        <v>2862</v>
      </c>
      <c r="I92" s="17" t="s">
        <v>2863</v>
      </c>
      <c r="J92" s="17" t="s">
        <v>2937</v>
      </c>
      <c r="K92" s="17" t="s">
        <v>2938</v>
      </c>
      <c r="L92" s="17" t="s">
        <v>2939</v>
      </c>
    </row>
    <row r="93" spans="1:12" ht="38.25">
      <c r="A93" s="16"/>
      <c r="B93" s="17" t="s">
        <v>33</v>
      </c>
      <c r="C93" s="17" t="s">
        <v>1069</v>
      </c>
      <c r="D93" s="17" t="s">
        <v>1070</v>
      </c>
      <c r="E93" s="17">
        <v>12</v>
      </c>
      <c r="F93" s="17" t="s">
        <v>2849</v>
      </c>
      <c r="G93" s="17" t="s">
        <v>2850</v>
      </c>
      <c r="H93" s="17" t="s">
        <v>2850</v>
      </c>
      <c r="I93" s="17" t="s">
        <v>2851</v>
      </c>
      <c r="J93" s="17" t="s">
        <v>2849</v>
      </c>
      <c r="K93" s="17" t="s">
        <v>2852</v>
      </c>
      <c r="L93" s="17" t="s">
        <v>2853</v>
      </c>
    </row>
    <row r="94" spans="1:12" ht="38.25">
      <c r="A94" s="16"/>
      <c r="B94" s="17" t="s">
        <v>33</v>
      </c>
      <c r="C94" s="17" t="s">
        <v>1069</v>
      </c>
      <c r="D94" s="17" t="s">
        <v>1070</v>
      </c>
      <c r="E94" s="17">
        <v>13</v>
      </c>
      <c r="F94" s="17" t="s">
        <v>2849</v>
      </c>
      <c r="G94" s="17" t="s">
        <v>2850</v>
      </c>
      <c r="H94" s="17" t="s">
        <v>2850</v>
      </c>
      <c r="I94" s="17" t="s">
        <v>2851</v>
      </c>
      <c r="J94" s="17" t="s">
        <v>2849</v>
      </c>
      <c r="K94" s="17" t="s">
        <v>2852</v>
      </c>
      <c r="L94" s="17" t="s">
        <v>2853</v>
      </c>
    </row>
    <row r="95" spans="1:12" ht="38.25">
      <c r="A95" s="16"/>
      <c r="B95" s="17" t="s">
        <v>33</v>
      </c>
      <c r="C95" s="17" t="s">
        <v>1069</v>
      </c>
      <c r="D95" s="17" t="s">
        <v>1070</v>
      </c>
      <c r="E95" s="17">
        <v>14</v>
      </c>
      <c r="F95" s="17" t="s">
        <v>2849</v>
      </c>
      <c r="G95" s="17" t="s">
        <v>2850</v>
      </c>
      <c r="H95" s="17" t="s">
        <v>2850</v>
      </c>
      <c r="I95" s="17" t="s">
        <v>2851</v>
      </c>
      <c r="J95" s="17" t="s">
        <v>2849</v>
      </c>
      <c r="K95" s="17" t="s">
        <v>2852</v>
      </c>
      <c r="L95" s="17" t="s">
        <v>2853</v>
      </c>
    </row>
    <row r="96" spans="1:12" ht="38.25">
      <c r="A96" s="16"/>
      <c r="B96" s="17" t="s">
        <v>33</v>
      </c>
      <c r="C96" s="17" t="s">
        <v>1069</v>
      </c>
      <c r="D96" s="17" t="s">
        <v>1070</v>
      </c>
      <c r="E96" s="17">
        <v>15</v>
      </c>
      <c r="F96" s="17" t="s">
        <v>2849</v>
      </c>
      <c r="G96" s="17" t="s">
        <v>2850</v>
      </c>
      <c r="H96" s="17" t="s">
        <v>2850</v>
      </c>
      <c r="I96" s="17" t="s">
        <v>2851</v>
      </c>
      <c r="J96" s="17" t="s">
        <v>2849</v>
      </c>
      <c r="K96" s="17" t="s">
        <v>2852</v>
      </c>
      <c r="L96" s="17" t="s">
        <v>2853</v>
      </c>
    </row>
    <row r="97" spans="1:12" ht="38.25">
      <c r="A97" s="16"/>
      <c r="B97" s="17" t="s">
        <v>33</v>
      </c>
      <c r="C97" s="17" t="s">
        <v>1069</v>
      </c>
      <c r="D97" s="17" t="s">
        <v>1070</v>
      </c>
      <c r="E97" s="17">
        <v>16</v>
      </c>
      <c r="F97" s="17" t="s">
        <v>2849</v>
      </c>
      <c r="G97" s="17" t="s">
        <v>2850</v>
      </c>
      <c r="H97" s="17" t="s">
        <v>2850</v>
      </c>
      <c r="I97" s="17" t="s">
        <v>2851</v>
      </c>
      <c r="J97" s="17" t="s">
        <v>2849</v>
      </c>
      <c r="K97" s="17" t="s">
        <v>2852</v>
      </c>
      <c r="L97" s="17" t="s">
        <v>2853</v>
      </c>
    </row>
    <row r="98" spans="1:12" ht="38.25">
      <c r="A98" s="16"/>
      <c r="B98" s="17" t="s">
        <v>33</v>
      </c>
      <c r="C98" s="17" t="s">
        <v>1069</v>
      </c>
      <c r="D98" s="17" t="s">
        <v>1070</v>
      </c>
      <c r="E98" s="17">
        <v>17</v>
      </c>
      <c r="F98" s="17" t="s">
        <v>2849</v>
      </c>
      <c r="G98" s="17" t="s">
        <v>2850</v>
      </c>
      <c r="H98" s="17" t="s">
        <v>2850</v>
      </c>
      <c r="I98" s="17" t="s">
        <v>2851</v>
      </c>
      <c r="J98" s="17" t="s">
        <v>2849</v>
      </c>
      <c r="K98" s="17" t="s">
        <v>2852</v>
      </c>
      <c r="L98" s="17" t="s">
        <v>2853</v>
      </c>
    </row>
    <row r="99" spans="1:12" ht="38.25">
      <c r="A99" s="16"/>
      <c r="B99" s="17" t="s">
        <v>33</v>
      </c>
      <c r="C99" s="17" t="s">
        <v>1069</v>
      </c>
      <c r="D99" s="17" t="s">
        <v>1070</v>
      </c>
      <c r="E99" s="17">
        <v>18</v>
      </c>
      <c r="F99" s="17" t="s">
        <v>2849</v>
      </c>
      <c r="G99" s="17" t="s">
        <v>2850</v>
      </c>
      <c r="H99" s="17" t="s">
        <v>2850</v>
      </c>
      <c r="I99" s="17" t="s">
        <v>2851</v>
      </c>
      <c r="J99" s="17" t="s">
        <v>2849</v>
      </c>
      <c r="K99" s="17" t="s">
        <v>2852</v>
      </c>
      <c r="L99" s="17" t="s">
        <v>2853</v>
      </c>
    </row>
    <row r="100" spans="1:12" ht="38.25">
      <c r="A100" s="16"/>
      <c r="B100" s="17" t="s">
        <v>33</v>
      </c>
      <c r="C100" s="17" t="s">
        <v>1069</v>
      </c>
      <c r="D100" s="17" t="s">
        <v>1070</v>
      </c>
      <c r="E100" s="17">
        <v>19</v>
      </c>
      <c r="F100" s="17" t="s">
        <v>2849</v>
      </c>
      <c r="G100" s="17" t="s">
        <v>2850</v>
      </c>
      <c r="H100" s="17" t="s">
        <v>2850</v>
      </c>
      <c r="I100" s="17" t="s">
        <v>2851</v>
      </c>
      <c r="J100" s="17" t="s">
        <v>2849</v>
      </c>
      <c r="K100" s="17" t="s">
        <v>2852</v>
      </c>
      <c r="L100" s="17" t="s">
        <v>2853</v>
      </c>
    </row>
    <row r="101" spans="1:12" ht="38.25">
      <c r="A101" s="16"/>
      <c r="B101" s="17" t="s">
        <v>33</v>
      </c>
      <c r="C101" s="17" t="s">
        <v>1069</v>
      </c>
      <c r="D101" s="17" t="s">
        <v>1070</v>
      </c>
      <c r="E101" s="17">
        <v>20</v>
      </c>
      <c r="F101" s="17" t="s">
        <v>2849</v>
      </c>
      <c r="G101" s="17" t="s">
        <v>2850</v>
      </c>
      <c r="H101" s="17" t="s">
        <v>2850</v>
      </c>
      <c r="I101" s="17" t="s">
        <v>2851</v>
      </c>
      <c r="J101" s="17" t="s">
        <v>2849</v>
      </c>
      <c r="K101" s="17" t="s">
        <v>2852</v>
      </c>
      <c r="L101" s="17" t="s">
        <v>2853</v>
      </c>
    </row>
    <row r="102" spans="1:12" ht="409.5">
      <c r="A102" s="16"/>
      <c r="B102" s="17" t="s">
        <v>33</v>
      </c>
      <c r="C102" s="17" t="s">
        <v>1069</v>
      </c>
      <c r="D102" s="17" t="s">
        <v>1106</v>
      </c>
      <c r="E102" s="17">
        <v>1</v>
      </c>
      <c r="F102" s="17" t="s">
        <v>2842</v>
      </c>
      <c r="G102" s="17" t="s">
        <v>2843</v>
      </c>
      <c r="H102" s="17" t="s">
        <v>2844</v>
      </c>
      <c r="I102" s="17" t="s">
        <v>2845</v>
      </c>
      <c r="J102" s="17" t="s">
        <v>2940</v>
      </c>
      <c r="K102" s="17" t="s">
        <v>2941</v>
      </c>
      <c r="L102" s="17" t="s">
        <v>2942</v>
      </c>
    </row>
    <row r="103" spans="1:12" ht="38.25">
      <c r="A103" s="16"/>
      <c r="B103" s="17" t="s">
        <v>33</v>
      </c>
      <c r="C103" s="17" t="s">
        <v>1069</v>
      </c>
      <c r="D103" s="17" t="s">
        <v>1106</v>
      </c>
      <c r="E103" s="17">
        <v>2</v>
      </c>
      <c r="F103" s="17" t="s">
        <v>2849</v>
      </c>
      <c r="G103" s="17" t="s">
        <v>2850</v>
      </c>
      <c r="H103" s="17" t="s">
        <v>2850</v>
      </c>
      <c r="I103" s="17" t="s">
        <v>2851</v>
      </c>
      <c r="J103" s="17" t="s">
        <v>2849</v>
      </c>
      <c r="K103" s="17" t="s">
        <v>2852</v>
      </c>
      <c r="L103" s="17" t="s">
        <v>2853</v>
      </c>
    </row>
    <row r="104" spans="1:12" ht="409.5">
      <c r="A104" s="16"/>
      <c r="B104" s="17" t="s">
        <v>33</v>
      </c>
      <c r="C104" s="17" t="s">
        <v>1069</v>
      </c>
      <c r="D104" s="17" t="s">
        <v>1106</v>
      </c>
      <c r="E104" s="17">
        <v>3</v>
      </c>
      <c r="F104" s="17" t="s">
        <v>2842</v>
      </c>
      <c r="G104" s="17" t="s">
        <v>2843</v>
      </c>
      <c r="H104" s="17" t="s">
        <v>2844</v>
      </c>
      <c r="I104" s="17" t="s">
        <v>2845</v>
      </c>
      <c r="J104" s="17" t="s">
        <v>2943</v>
      </c>
      <c r="K104" s="17" t="s">
        <v>2929</v>
      </c>
      <c r="L104" s="17" t="s">
        <v>2942</v>
      </c>
    </row>
    <row r="105" spans="1:12" ht="38.25">
      <c r="A105" s="16"/>
      <c r="B105" s="17" t="s">
        <v>33</v>
      </c>
      <c r="C105" s="17" t="s">
        <v>1069</v>
      </c>
      <c r="D105" s="17" t="s">
        <v>1106</v>
      </c>
      <c r="E105" s="17">
        <v>4</v>
      </c>
      <c r="F105" s="17" t="s">
        <v>2849</v>
      </c>
      <c r="G105" s="17" t="s">
        <v>2850</v>
      </c>
      <c r="H105" s="17" t="s">
        <v>2850</v>
      </c>
      <c r="I105" s="17" t="s">
        <v>2851</v>
      </c>
      <c r="J105" s="17" t="s">
        <v>2849</v>
      </c>
      <c r="K105" s="17" t="s">
        <v>2852</v>
      </c>
      <c r="L105" s="17" t="s">
        <v>2853</v>
      </c>
    </row>
    <row r="106" spans="1:12" ht="409.5">
      <c r="A106" s="16"/>
      <c r="B106" s="17" t="s">
        <v>33</v>
      </c>
      <c r="C106" s="17" t="s">
        <v>1069</v>
      </c>
      <c r="D106" s="17" t="s">
        <v>1106</v>
      </c>
      <c r="E106" s="17">
        <v>5</v>
      </c>
      <c r="F106" s="17" t="s">
        <v>2842</v>
      </c>
      <c r="G106" s="17" t="s">
        <v>2843</v>
      </c>
      <c r="H106" s="17" t="s">
        <v>2844</v>
      </c>
      <c r="I106" s="17" t="s">
        <v>2845</v>
      </c>
      <c r="J106" s="17" t="s">
        <v>2944</v>
      </c>
      <c r="K106" s="17" t="s">
        <v>2945</v>
      </c>
      <c r="L106" s="17" t="s">
        <v>2942</v>
      </c>
    </row>
    <row r="107" spans="1:12" ht="38.25">
      <c r="A107" s="16"/>
      <c r="B107" s="17" t="s">
        <v>33</v>
      </c>
      <c r="C107" s="17" t="s">
        <v>1069</v>
      </c>
      <c r="D107" s="17" t="s">
        <v>1106</v>
      </c>
      <c r="E107" s="17">
        <v>6</v>
      </c>
      <c r="F107" s="17" t="s">
        <v>2849</v>
      </c>
      <c r="G107" s="17" t="s">
        <v>2850</v>
      </c>
      <c r="H107" s="17" t="s">
        <v>2850</v>
      </c>
      <c r="I107" s="17" t="s">
        <v>2851</v>
      </c>
      <c r="J107" s="17" t="s">
        <v>2849</v>
      </c>
      <c r="K107" s="17" t="s">
        <v>2852</v>
      </c>
      <c r="L107" s="17" t="s">
        <v>2853</v>
      </c>
    </row>
    <row r="108" spans="1:12" ht="409.5">
      <c r="A108" s="16"/>
      <c r="B108" s="17" t="s">
        <v>33</v>
      </c>
      <c r="C108" s="17" t="s">
        <v>1069</v>
      </c>
      <c r="D108" s="17" t="s">
        <v>1106</v>
      </c>
      <c r="E108" s="17">
        <v>7</v>
      </c>
      <c r="F108" s="17" t="s">
        <v>2842</v>
      </c>
      <c r="G108" s="17" t="s">
        <v>2843</v>
      </c>
      <c r="H108" s="17" t="s">
        <v>2844</v>
      </c>
      <c r="I108" s="17" t="s">
        <v>2845</v>
      </c>
      <c r="J108" s="17" t="s">
        <v>2946</v>
      </c>
      <c r="K108" s="17" t="s">
        <v>2947</v>
      </c>
      <c r="L108" s="17" t="s">
        <v>2948</v>
      </c>
    </row>
    <row r="109" spans="1:12" ht="38.25">
      <c r="A109" s="16"/>
      <c r="B109" s="17" t="s">
        <v>33</v>
      </c>
      <c r="C109" s="17" t="s">
        <v>1069</v>
      </c>
      <c r="D109" s="17" t="s">
        <v>1106</v>
      </c>
      <c r="E109" s="17">
        <v>8</v>
      </c>
      <c r="F109" s="17" t="s">
        <v>2849</v>
      </c>
      <c r="G109" s="17" t="s">
        <v>2850</v>
      </c>
      <c r="H109" s="17" t="s">
        <v>2850</v>
      </c>
      <c r="I109" s="17" t="s">
        <v>2851</v>
      </c>
      <c r="J109" s="17" t="s">
        <v>2849</v>
      </c>
      <c r="K109" s="17" t="s">
        <v>2852</v>
      </c>
      <c r="L109" s="17" t="s">
        <v>2853</v>
      </c>
    </row>
    <row r="110" spans="1:12" ht="318.75">
      <c r="A110" s="16"/>
      <c r="B110" s="17" t="s">
        <v>33</v>
      </c>
      <c r="C110" s="17" t="s">
        <v>1069</v>
      </c>
      <c r="D110" s="17" t="s">
        <v>1106</v>
      </c>
      <c r="E110" s="17">
        <v>9</v>
      </c>
      <c r="F110" s="17" t="s">
        <v>2860</v>
      </c>
      <c r="G110" s="17" t="s">
        <v>2949</v>
      </c>
      <c r="H110" s="17" t="s">
        <v>2862</v>
      </c>
      <c r="I110" s="17" t="s">
        <v>2877</v>
      </c>
      <c r="J110" s="17" t="s">
        <v>2950</v>
      </c>
      <c r="K110" s="17" t="s">
        <v>2951</v>
      </c>
      <c r="L110" s="17" t="s">
        <v>2952</v>
      </c>
    </row>
    <row r="111" spans="1:12" ht="38.25">
      <c r="A111" s="16"/>
      <c r="B111" s="17" t="s">
        <v>33</v>
      </c>
      <c r="C111" s="17" t="s">
        <v>1069</v>
      </c>
      <c r="D111" s="17" t="s">
        <v>1106</v>
      </c>
      <c r="E111" s="17">
        <v>10</v>
      </c>
      <c r="F111" s="17" t="s">
        <v>2849</v>
      </c>
      <c r="G111" s="17" t="s">
        <v>2850</v>
      </c>
      <c r="H111" s="17" t="s">
        <v>2850</v>
      </c>
      <c r="I111" s="17" t="s">
        <v>2851</v>
      </c>
      <c r="J111" s="17" t="s">
        <v>2849</v>
      </c>
      <c r="K111" s="17" t="s">
        <v>2852</v>
      </c>
      <c r="L111" s="17" t="s">
        <v>2853</v>
      </c>
    </row>
    <row r="112" spans="1:12" ht="318.75">
      <c r="A112" s="16"/>
      <c r="B112" s="17" t="s">
        <v>33</v>
      </c>
      <c r="C112" s="17" t="s">
        <v>1069</v>
      </c>
      <c r="D112" s="17" t="s">
        <v>1106</v>
      </c>
      <c r="E112" s="17">
        <v>11</v>
      </c>
      <c r="F112" s="17" t="s">
        <v>2860</v>
      </c>
      <c r="G112" s="17" t="s">
        <v>2949</v>
      </c>
      <c r="H112" s="17" t="s">
        <v>2862</v>
      </c>
      <c r="I112" s="17" t="s">
        <v>2877</v>
      </c>
      <c r="J112" s="17" t="s">
        <v>2953</v>
      </c>
      <c r="K112" s="17" t="s">
        <v>2951</v>
      </c>
      <c r="L112" s="17" t="s">
        <v>2954</v>
      </c>
    </row>
    <row r="113" spans="1:12" ht="38.25">
      <c r="A113" s="16"/>
      <c r="B113" s="17" t="s">
        <v>33</v>
      </c>
      <c r="C113" s="17" t="s">
        <v>1069</v>
      </c>
      <c r="D113" s="17" t="s">
        <v>1106</v>
      </c>
      <c r="E113" s="17">
        <v>12</v>
      </c>
      <c r="F113" s="17" t="s">
        <v>2849</v>
      </c>
      <c r="G113" s="17" t="s">
        <v>2850</v>
      </c>
      <c r="H113" s="17" t="s">
        <v>2850</v>
      </c>
      <c r="I113" s="17" t="s">
        <v>2851</v>
      </c>
      <c r="J113" s="17" t="s">
        <v>2849</v>
      </c>
      <c r="K113" s="17" t="s">
        <v>2852</v>
      </c>
      <c r="L113" s="17" t="s">
        <v>2853</v>
      </c>
    </row>
    <row r="114" spans="1:12" ht="38.25">
      <c r="A114" s="16"/>
      <c r="B114" s="17" t="s">
        <v>33</v>
      </c>
      <c r="C114" s="17" t="s">
        <v>1069</v>
      </c>
      <c r="D114" s="17" t="s">
        <v>1106</v>
      </c>
      <c r="E114" s="17">
        <v>13</v>
      </c>
      <c r="F114" s="17" t="s">
        <v>2849</v>
      </c>
      <c r="G114" s="17" t="s">
        <v>2850</v>
      </c>
      <c r="H114" s="17" t="s">
        <v>2850</v>
      </c>
      <c r="I114" s="17" t="s">
        <v>2851</v>
      </c>
      <c r="J114" s="17" t="s">
        <v>2849</v>
      </c>
      <c r="K114" s="17" t="s">
        <v>2852</v>
      </c>
      <c r="L114" s="17" t="s">
        <v>2853</v>
      </c>
    </row>
    <row r="115" spans="1:12" ht="38.25">
      <c r="A115" s="16"/>
      <c r="B115" s="17" t="s">
        <v>33</v>
      </c>
      <c r="C115" s="17" t="s">
        <v>1069</v>
      </c>
      <c r="D115" s="17" t="s">
        <v>1106</v>
      </c>
      <c r="E115" s="17">
        <v>14</v>
      </c>
      <c r="F115" s="17" t="s">
        <v>2849</v>
      </c>
      <c r="G115" s="17" t="s">
        <v>2850</v>
      </c>
      <c r="H115" s="17" t="s">
        <v>2850</v>
      </c>
      <c r="I115" s="17" t="s">
        <v>2851</v>
      </c>
      <c r="J115" s="17" t="s">
        <v>2849</v>
      </c>
      <c r="K115" s="17" t="s">
        <v>2852</v>
      </c>
      <c r="L115" s="17" t="s">
        <v>2853</v>
      </c>
    </row>
    <row r="116" spans="1:12" ht="38.25">
      <c r="A116" s="16"/>
      <c r="B116" s="17" t="s">
        <v>33</v>
      </c>
      <c r="C116" s="17" t="s">
        <v>1069</v>
      </c>
      <c r="D116" s="17" t="s">
        <v>1106</v>
      </c>
      <c r="E116" s="17">
        <v>15</v>
      </c>
      <c r="F116" s="17" t="s">
        <v>2849</v>
      </c>
      <c r="G116" s="17" t="s">
        <v>2850</v>
      </c>
      <c r="H116" s="17" t="s">
        <v>2850</v>
      </c>
      <c r="I116" s="17" t="s">
        <v>2851</v>
      </c>
      <c r="J116" s="17" t="s">
        <v>2849</v>
      </c>
      <c r="K116" s="17" t="s">
        <v>2852</v>
      </c>
      <c r="L116" s="17" t="s">
        <v>2853</v>
      </c>
    </row>
    <row r="117" spans="1:12" ht="38.25">
      <c r="A117" s="16"/>
      <c r="B117" s="17" t="s">
        <v>33</v>
      </c>
      <c r="C117" s="17" t="s">
        <v>1069</v>
      </c>
      <c r="D117" s="17" t="s">
        <v>1106</v>
      </c>
      <c r="E117" s="17">
        <v>16</v>
      </c>
      <c r="F117" s="17" t="s">
        <v>2849</v>
      </c>
      <c r="G117" s="17" t="s">
        <v>2850</v>
      </c>
      <c r="H117" s="17" t="s">
        <v>2850</v>
      </c>
      <c r="I117" s="17" t="s">
        <v>2851</v>
      </c>
      <c r="J117" s="17" t="s">
        <v>2849</v>
      </c>
      <c r="K117" s="17" t="s">
        <v>2852</v>
      </c>
      <c r="L117" s="17" t="s">
        <v>2853</v>
      </c>
    </row>
    <row r="118" spans="1:12" ht="38.25">
      <c r="A118" s="16"/>
      <c r="B118" s="17" t="s">
        <v>33</v>
      </c>
      <c r="C118" s="17" t="s">
        <v>1069</v>
      </c>
      <c r="D118" s="17" t="s">
        <v>1106</v>
      </c>
      <c r="E118" s="17">
        <v>17</v>
      </c>
      <c r="F118" s="17" t="s">
        <v>2849</v>
      </c>
      <c r="G118" s="17" t="s">
        <v>2850</v>
      </c>
      <c r="H118" s="17" t="s">
        <v>2850</v>
      </c>
      <c r="I118" s="17" t="s">
        <v>2851</v>
      </c>
      <c r="J118" s="17" t="s">
        <v>2849</v>
      </c>
      <c r="K118" s="17" t="s">
        <v>2852</v>
      </c>
      <c r="L118" s="17" t="s">
        <v>2853</v>
      </c>
    </row>
    <row r="119" spans="1:12" ht="38.25">
      <c r="A119" s="16"/>
      <c r="B119" s="17" t="s">
        <v>33</v>
      </c>
      <c r="C119" s="17" t="s">
        <v>1069</v>
      </c>
      <c r="D119" s="17" t="s">
        <v>1106</v>
      </c>
      <c r="E119" s="17">
        <v>18</v>
      </c>
      <c r="F119" s="17" t="s">
        <v>2849</v>
      </c>
      <c r="G119" s="17" t="s">
        <v>2850</v>
      </c>
      <c r="H119" s="17" t="s">
        <v>2850</v>
      </c>
      <c r="I119" s="17" t="s">
        <v>2851</v>
      </c>
      <c r="J119" s="17" t="s">
        <v>2849</v>
      </c>
      <c r="K119" s="17" t="s">
        <v>2852</v>
      </c>
      <c r="L119" s="17" t="s">
        <v>2853</v>
      </c>
    </row>
    <row r="120" spans="1:12" ht="38.25">
      <c r="A120" s="16"/>
      <c r="B120" s="17" t="s">
        <v>33</v>
      </c>
      <c r="C120" s="17" t="s">
        <v>1069</v>
      </c>
      <c r="D120" s="17" t="s">
        <v>1106</v>
      </c>
      <c r="E120" s="17">
        <v>19</v>
      </c>
      <c r="F120" s="17" t="s">
        <v>2849</v>
      </c>
      <c r="G120" s="17" t="s">
        <v>2850</v>
      </c>
      <c r="H120" s="17" t="s">
        <v>2850</v>
      </c>
      <c r="I120" s="17" t="s">
        <v>2851</v>
      </c>
      <c r="J120" s="17" t="s">
        <v>2849</v>
      </c>
      <c r="K120" s="17" t="s">
        <v>2852</v>
      </c>
      <c r="L120" s="17" t="s">
        <v>2853</v>
      </c>
    </row>
    <row r="121" spans="1:12" ht="38.25">
      <c r="A121" s="16"/>
      <c r="B121" s="17" t="s">
        <v>33</v>
      </c>
      <c r="C121" s="17" t="s">
        <v>1069</v>
      </c>
      <c r="D121" s="17" t="s">
        <v>1106</v>
      </c>
      <c r="E121" s="17">
        <v>20</v>
      </c>
      <c r="F121" s="17" t="s">
        <v>2849</v>
      </c>
      <c r="G121" s="17" t="s">
        <v>2850</v>
      </c>
      <c r="H121" s="17" t="s">
        <v>2850</v>
      </c>
      <c r="I121" s="17" t="s">
        <v>2851</v>
      </c>
      <c r="J121" s="17" t="s">
        <v>2849</v>
      </c>
      <c r="K121" s="17" t="s">
        <v>2852</v>
      </c>
      <c r="L121" s="17" t="s">
        <v>2853</v>
      </c>
    </row>
    <row r="122" spans="1:12" ht="409.5">
      <c r="A122" s="16"/>
      <c r="B122" s="17" t="s">
        <v>33</v>
      </c>
      <c r="C122" s="17" t="s">
        <v>1069</v>
      </c>
      <c r="D122" s="17" t="s">
        <v>542</v>
      </c>
      <c r="E122" s="17">
        <v>1</v>
      </c>
      <c r="F122" s="17" t="s">
        <v>2955</v>
      </c>
      <c r="G122" s="17" t="s">
        <v>2956</v>
      </c>
      <c r="H122" s="17" t="s">
        <v>2956</v>
      </c>
      <c r="I122" s="17" t="s">
        <v>2842</v>
      </c>
      <c r="J122" s="17" t="s">
        <v>2957</v>
      </c>
      <c r="K122" s="17" t="s">
        <v>2958</v>
      </c>
      <c r="L122" s="17" t="s">
        <v>2959</v>
      </c>
    </row>
    <row r="123" spans="1:12" ht="38.25">
      <c r="A123" s="16"/>
      <c r="B123" s="17" t="s">
        <v>33</v>
      </c>
      <c r="C123" s="17" t="s">
        <v>1069</v>
      </c>
      <c r="D123" s="17" t="s">
        <v>542</v>
      </c>
      <c r="E123" s="17">
        <v>2</v>
      </c>
      <c r="F123" s="17" t="s">
        <v>2849</v>
      </c>
      <c r="G123" s="17" t="s">
        <v>2850</v>
      </c>
      <c r="H123" s="17" t="s">
        <v>27</v>
      </c>
      <c r="I123" s="17" t="s">
        <v>2960</v>
      </c>
      <c r="J123" s="17" t="s">
        <v>2849</v>
      </c>
      <c r="K123" s="17" t="s">
        <v>2881</v>
      </c>
      <c r="L123" s="17" t="s">
        <v>2882</v>
      </c>
    </row>
    <row r="124" spans="1:12" ht="409.5">
      <c r="A124" s="16"/>
      <c r="B124" s="17" t="s">
        <v>33</v>
      </c>
      <c r="C124" s="17" t="s">
        <v>1069</v>
      </c>
      <c r="D124" s="17" t="s">
        <v>542</v>
      </c>
      <c r="E124" s="17">
        <v>3</v>
      </c>
      <c r="F124" s="17" t="s">
        <v>2955</v>
      </c>
      <c r="G124" s="17" t="s">
        <v>2956</v>
      </c>
      <c r="H124" s="17" t="s">
        <v>2956</v>
      </c>
      <c r="I124" s="17" t="s">
        <v>2842</v>
      </c>
      <c r="J124" s="17" t="s">
        <v>2961</v>
      </c>
      <c r="K124" s="17" t="s">
        <v>2962</v>
      </c>
      <c r="L124" s="17" t="s">
        <v>2963</v>
      </c>
    </row>
    <row r="125" spans="1:12" ht="38.25">
      <c r="A125" s="16"/>
      <c r="B125" s="17" t="s">
        <v>33</v>
      </c>
      <c r="C125" s="17" t="s">
        <v>1069</v>
      </c>
      <c r="D125" s="17" t="s">
        <v>542</v>
      </c>
      <c r="E125" s="17">
        <v>4</v>
      </c>
      <c r="F125" s="17" t="s">
        <v>2849</v>
      </c>
      <c r="G125" s="17" t="s">
        <v>2850</v>
      </c>
      <c r="H125" s="17" t="s">
        <v>2850</v>
      </c>
      <c r="I125" s="17" t="s">
        <v>2960</v>
      </c>
      <c r="J125" s="17" t="s">
        <v>2849</v>
      </c>
      <c r="K125" s="17" t="s">
        <v>2881</v>
      </c>
      <c r="L125" s="17" t="s">
        <v>2882</v>
      </c>
    </row>
    <row r="126" spans="1:12" ht="409.5">
      <c r="A126" s="16"/>
      <c r="B126" s="17" t="s">
        <v>33</v>
      </c>
      <c r="C126" s="17" t="s">
        <v>1069</v>
      </c>
      <c r="D126" s="17" t="s">
        <v>542</v>
      </c>
      <c r="E126" s="17">
        <v>5</v>
      </c>
      <c r="F126" s="17" t="s">
        <v>2955</v>
      </c>
      <c r="G126" s="17" t="s">
        <v>2956</v>
      </c>
      <c r="H126" s="17" t="s">
        <v>2956</v>
      </c>
      <c r="I126" s="17" t="s">
        <v>2842</v>
      </c>
      <c r="J126" s="17" t="s">
        <v>2964</v>
      </c>
      <c r="K126" s="17" t="s">
        <v>2965</v>
      </c>
      <c r="L126" s="17" t="s">
        <v>2966</v>
      </c>
    </row>
    <row r="127" spans="1:12" ht="38.25">
      <c r="A127" s="16"/>
      <c r="B127" s="17" t="s">
        <v>33</v>
      </c>
      <c r="C127" s="17" t="s">
        <v>1069</v>
      </c>
      <c r="D127" s="17" t="s">
        <v>542</v>
      </c>
      <c r="E127" s="17">
        <v>6</v>
      </c>
      <c r="F127" s="17" t="s">
        <v>2849</v>
      </c>
      <c r="G127" s="17" t="s">
        <v>2850</v>
      </c>
      <c r="H127" s="17" t="s">
        <v>2850</v>
      </c>
      <c r="I127" s="17" t="s">
        <v>2960</v>
      </c>
      <c r="J127" s="17" t="s">
        <v>2849</v>
      </c>
      <c r="K127" s="17" t="s">
        <v>2881</v>
      </c>
      <c r="L127" s="17" t="s">
        <v>2882</v>
      </c>
    </row>
    <row r="128" spans="1:12" ht="409.5">
      <c r="A128" s="16"/>
      <c r="B128" s="17" t="s">
        <v>33</v>
      </c>
      <c r="C128" s="17" t="s">
        <v>1069</v>
      </c>
      <c r="D128" s="17" t="s">
        <v>542</v>
      </c>
      <c r="E128" s="17">
        <v>7</v>
      </c>
      <c r="F128" s="17" t="s">
        <v>2955</v>
      </c>
      <c r="G128" s="17" t="s">
        <v>2956</v>
      </c>
      <c r="H128" s="17" t="s">
        <v>2956</v>
      </c>
      <c r="I128" s="17" t="s">
        <v>2842</v>
      </c>
      <c r="J128" s="17" t="s">
        <v>2967</v>
      </c>
      <c r="K128" s="17" t="s">
        <v>2968</v>
      </c>
      <c r="L128" s="17" t="s">
        <v>2969</v>
      </c>
    </row>
    <row r="129" spans="1:12" ht="38.25">
      <c r="A129" s="16"/>
      <c r="B129" s="17" t="s">
        <v>33</v>
      </c>
      <c r="C129" s="17" t="s">
        <v>1069</v>
      </c>
      <c r="D129" s="17" t="s">
        <v>542</v>
      </c>
      <c r="E129" s="17">
        <v>8</v>
      </c>
      <c r="F129" s="17" t="s">
        <v>2849</v>
      </c>
      <c r="G129" s="17" t="s">
        <v>2850</v>
      </c>
      <c r="H129" s="17" t="s">
        <v>2850</v>
      </c>
      <c r="I129" s="17" t="s">
        <v>2960</v>
      </c>
      <c r="J129" s="17" t="s">
        <v>2849</v>
      </c>
      <c r="K129" s="17" t="s">
        <v>2881</v>
      </c>
      <c r="L129" s="17" t="s">
        <v>2882</v>
      </c>
    </row>
    <row r="130" spans="1:12" ht="318.75">
      <c r="A130" s="16"/>
      <c r="B130" s="17" t="s">
        <v>33</v>
      </c>
      <c r="C130" s="17" t="s">
        <v>1069</v>
      </c>
      <c r="D130" s="17" t="s">
        <v>542</v>
      </c>
      <c r="E130" s="17">
        <v>9</v>
      </c>
      <c r="F130" s="17" t="s">
        <v>2860</v>
      </c>
      <c r="G130" s="17" t="s">
        <v>2861</v>
      </c>
      <c r="H130" s="17" t="s">
        <v>2862</v>
      </c>
      <c r="I130" s="17" t="s">
        <v>2877</v>
      </c>
      <c r="J130" s="17" t="s">
        <v>2970</v>
      </c>
      <c r="K130" s="17" t="s">
        <v>2971</v>
      </c>
      <c r="L130" s="17" t="s">
        <v>2972</v>
      </c>
    </row>
    <row r="131" spans="1:12" ht="38.25">
      <c r="A131" s="16"/>
      <c r="B131" s="17" t="s">
        <v>33</v>
      </c>
      <c r="C131" s="17" t="s">
        <v>1069</v>
      </c>
      <c r="D131" s="17" t="s">
        <v>542</v>
      </c>
      <c r="E131" s="17">
        <v>10</v>
      </c>
      <c r="F131" s="17" t="s">
        <v>2849</v>
      </c>
      <c r="G131" s="17" t="s">
        <v>2850</v>
      </c>
      <c r="H131" s="17" t="s">
        <v>2850</v>
      </c>
      <c r="I131" s="17" t="s">
        <v>2960</v>
      </c>
      <c r="J131" s="17" t="s">
        <v>2849</v>
      </c>
      <c r="K131" s="17" t="s">
        <v>2881</v>
      </c>
      <c r="L131" s="17" t="s">
        <v>2882</v>
      </c>
    </row>
    <row r="132" spans="1:12" ht="318.75">
      <c r="A132" s="16"/>
      <c r="B132" s="17" t="s">
        <v>33</v>
      </c>
      <c r="C132" s="17" t="s">
        <v>1069</v>
      </c>
      <c r="D132" s="17" t="s">
        <v>542</v>
      </c>
      <c r="E132" s="17">
        <v>11</v>
      </c>
      <c r="F132" s="17" t="s">
        <v>2860</v>
      </c>
      <c r="G132" s="17" t="s">
        <v>2861</v>
      </c>
      <c r="H132" s="17" t="s">
        <v>2862</v>
      </c>
      <c r="I132" s="17" t="s">
        <v>2877</v>
      </c>
      <c r="J132" s="17" t="s">
        <v>2973</v>
      </c>
      <c r="K132" s="17" t="s">
        <v>2974</v>
      </c>
      <c r="L132" s="17" t="s">
        <v>2975</v>
      </c>
    </row>
    <row r="133" spans="1:12" ht="38.25">
      <c r="A133" s="16"/>
      <c r="B133" s="17" t="s">
        <v>33</v>
      </c>
      <c r="C133" s="17" t="s">
        <v>1069</v>
      </c>
      <c r="D133" s="17" t="s">
        <v>542</v>
      </c>
      <c r="E133" s="17">
        <v>12</v>
      </c>
      <c r="F133" s="17" t="s">
        <v>2849</v>
      </c>
      <c r="G133" s="17" t="s">
        <v>2850</v>
      </c>
      <c r="H133" s="17" t="s">
        <v>2850</v>
      </c>
      <c r="I133" s="17" t="s">
        <v>2960</v>
      </c>
      <c r="J133" s="17" t="s">
        <v>2849</v>
      </c>
      <c r="K133" s="17" t="s">
        <v>2881</v>
      </c>
      <c r="L133" s="17" t="s">
        <v>2882</v>
      </c>
    </row>
    <row r="134" spans="1:12" ht="229.5">
      <c r="A134" s="16"/>
      <c r="B134" s="17" t="s">
        <v>33</v>
      </c>
      <c r="C134" s="17" t="s">
        <v>1069</v>
      </c>
      <c r="D134" s="17" t="s">
        <v>542</v>
      </c>
      <c r="E134" s="17">
        <v>13</v>
      </c>
      <c r="F134" s="17" t="s">
        <v>2849</v>
      </c>
      <c r="G134" s="17" t="s">
        <v>2850</v>
      </c>
      <c r="H134" s="17" t="s">
        <v>2976</v>
      </c>
      <c r="I134" s="17" t="s">
        <v>2960</v>
      </c>
      <c r="J134" s="17" t="s">
        <v>2849</v>
      </c>
      <c r="K134" s="17" t="s">
        <v>2881</v>
      </c>
      <c r="L134" s="17" t="s">
        <v>2882</v>
      </c>
    </row>
    <row r="135" spans="1:12" ht="38.25">
      <c r="A135" s="16"/>
      <c r="B135" s="17" t="s">
        <v>33</v>
      </c>
      <c r="C135" s="17" t="s">
        <v>1069</v>
      </c>
      <c r="D135" s="17" t="s">
        <v>542</v>
      </c>
      <c r="E135" s="17">
        <v>14</v>
      </c>
      <c r="F135" s="17" t="s">
        <v>2849</v>
      </c>
      <c r="G135" s="17" t="s">
        <v>2850</v>
      </c>
      <c r="H135" s="17" t="s">
        <v>2850</v>
      </c>
      <c r="I135" s="17" t="s">
        <v>2960</v>
      </c>
      <c r="J135" s="17" t="s">
        <v>2849</v>
      </c>
      <c r="K135" s="17" t="s">
        <v>2881</v>
      </c>
      <c r="L135" s="17" t="s">
        <v>2882</v>
      </c>
    </row>
    <row r="136" spans="1:12" ht="38.25">
      <c r="A136" s="16"/>
      <c r="B136" s="17" t="s">
        <v>33</v>
      </c>
      <c r="C136" s="17" t="s">
        <v>1069</v>
      </c>
      <c r="D136" s="17" t="s">
        <v>542</v>
      </c>
      <c r="E136" s="17">
        <v>15</v>
      </c>
      <c r="F136" s="17" t="s">
        <v>2849</v>
      </c>
      <c r="G136" s="17" t="s">
        <v>2850</v>
      </c>
      <c r="H136" s="17" t="s">
        <v>2850</v>
      </c>
      <c r="I136" s="17" t="s">
        <v>2960</v>
      </c>
      <c r="J136" s="17" t="s">
        <v>2849</v>
      </c>
      <c r="K136" s="17" t="s">
        <v>2881</v>
      </c>
      <c r="L136" s="17" t="s">
        <v>2882</v>
      </c>
    </row>
    <row r="137" spans="1:12" ht="38.25">
      <c r="A137" s="16"/>
      <c r="B137" s="17" t="s">
        <v>33</v>
      </c>
      <c r="C137" s="17" t="s">
        <v>1069</v>
      </c>
      <c r="D137" s="17" t="s">
        <v>542</v>
      </c>
      <c r="E137" s="17">
        <v>16</v>
      </c>
      <c r="F137" s="17" t="s">
        <v>2849</v>
      </c>
      <c r="G137" s="17" t="s">
        <v>2850</v>
      </c>
      <c r="H137" s="17" t="s">
        <v>2850</v>
      </c>
      <c r="I137" s="17" t="s">
        <v>2960</v>
      </c>
      <c r="J137" s="17" t="s">
        <v>2849</v>
      </c>
      <c r="K137" s="17" t="s">
        <v>2881</v>
      </c>
      <c r="L137" s="17" t="s">
        <v>2882</v>
      </c>
    </row>
    <row r="138" spans="1:12" ht="38.25">
      <c r="A138" s="16"/>
      <c r="B138" s="17" t="s">
        <v>33</v>
      </c>
      <c r="C138" s="17" t="s">
        <v>1069</v>
      </c>
      <c r="D138" s="17" t="s">
        <v>542</v>
      </c>
      <c r="E138" s="17">
        <v>17</v>
      </c>
      <c r="F138" s="17" t="s">
        <v>2849</v>
      </c>
      <c r="G138" s="17" t="s">
        <v>2850</v>
      </c>
      <c r="H138" s="17" t="s">
        <v>2850</v>
      </c>
      <c r="I138" s="17" t="s">
        <v>2960</v>
      </c>
      <c r="J138" s="17" t="s">
        <v>2849</v>
      </c>
      <c r="K138" s="17" t="s">
        <v>2881</v>
      </c>
      <c r="L138" s="17" t="s">
        <v>2882</v>
      </c>
    </row>
    <row r="139" spans="1:12" ht="38.25">
      <c r="A139" s="16"/>
      <c r="B139" s="17" t="s">
        <v>33</v>
      </c>
      <c r="C139" s="17" t="s">
        <v>1069</v>
      </c>
      <c r="D139" s="17" t="s">
        <v>542</v>
      </c>
      <c r="E139" s="17">
        <v>18</v>
      </c>
      <c r="F139" s="17" t="s">
        <v>2849</v>
      </c>
      <c r="G139" s="17" t="s">
        <v>2850</v>
      </c>
      <c r="H139" s="17" t="s">
        <v>2850</v>
      </c>
      <c r="I139" s="17" t="s">
        <v>2960</v>
      </c>
      <c r="J139" s="17" t="s">
        <v>2849</v>
      </c>
      <c r="K139" s="17" t="s">
        <v>2881</v>
      </c>
      <c r="L139" s="17" t="s">
        <v>2882</v>
      </c>
    </row>
    <row r="140" spans="1:12" ht="38.25">
      <c r="A140" s="16"/>
      <c r="B140" s="17" t="s">
        <v>33</v>
      </c>
      <c r="C140" s="17" t="s">
        <v>1069</v>
      </c>
      <c r="D140" s="17" t="s">
        <v>542</v>
      </c>
      <c r="E140" s="17">
        <v>19</v>
      </c>
      <c r="F140" s="17" t="s">
        <v>2849</v>
      </c>
      <c r="G140" s="17" t="s">
        <v>2850</v>
      </c>
      <c r="H140" s="17" t="s">
        <v>2850</v>
      </c>
      <c r="I140" s="17" t="s">
        <v>2960</v>
      </c>
      <c r="J140" s="17" t="s">
        <v>2849</v>
      </c>
      <c r="K140" s="17" t="s">
        <v>2881</v>
      </c>
      <c r="L140" s="17" t="s">
        <v>2882</v>
      </c>
    </row>
    <row r="141" spans="1:12" ht="38.25">
      <c r="A141" s="16"/>
      <c r="B141" s="17" t="s">
        <v>33</v>
      </c>
      <c r="C141" s="17" t="s">
        <v>1069</v>
      </c>
      <c r="D141" s="17" t="s">
        <v>542</v>
      </c>
      <c r="E141" s="17">
        <v>20</v>
      </c>
      <c r="F141" s="17" t="s">
        <v>2849</v>
      </c>
      <c r="G141" s="17" t="s">
        <v>2850</v>
      </c>
      <c r="H141" s="17" t="s">
        <v>2850</v>
      </c>
      <c r="I141" s="17" t="s">
        <v>2960</v>
      </c>
      <c r="J141" s="17" t="s">
        <v>2849</v>
      </c>
      <c r="K141" s="17" t="s">
        <v>2881</v>
      </c>
      <c r="L141" s="17" t="s">
        <v>2882</v>
      </c>
    </row>
    <row r="142" spans="1:12" ht="409.5">
      <c r="A142" s="16"/>
      <c r="B142" s="17" t="s">
        <v>33</v>
      </c>
      <c r="C142" s="17" t="s">
        <v>1069</v>
      </c>
      <c r="D142" s="17" t="s">
        <v>1171</v>
      </c>
      <c r="E142" s="17">
        <v>1</v>
      </c>
      <c r="F142" s="17" t="s">
        <v>2842</v>
      </c>
      <c r="G142" s="17" t="s">
        <v>2956</v>
      </c>
      <c r="H142" s="17" t="s">
        <v>2956</v>
      </c>
      <c r="I142" s="17" t="s">
        <v>2842</v>
      </c>
      <c r="J142" s="17" t="s">
        <v>2977</v>
      </c>
      <c r="K142" s="17" t="s">
        <v>2978</v>
      </c>
      <c r="L142" s="17" t="s">
        <v>2979</v>
      </c>
    </row>
    <row r="143" spans="1:12" ht="38.25">
      <c r="A143" s="16"/>
      <c r="B143" s="17" t="s">
        <v>33</v>
      </c>
      <c r="C143" s="17" t="s">
        <v>1069</v>
      </c>
      <c r="D143" s="17" t="s">
        <v>1171</v>
      </c>
      <c r="E143" s="17">
        <v>2</v>
      </c>
      <c r="F143" s="17" t="s">
        <v>2849</v>
      </c>
      <c r="G143" s="17" t="s">
        <v>2850</v>
      </c>
      <c r="H143" s="17" t="s">
        <v>2850</v>
      </c>
      <c r="I143" s="17" t="s">
        <v>2960</v>
      </c>
      <c r="J143" s="17" t="s">
        <v>2849</v>
      </c>
      <c r="K143" s="17" t="s">
        <v>2881</v>
      </c>
      <c r="L143" s="17" t="s">
        <v>2882</v>
      </c>
    </row>
    <row r="144" spans="1:12" ht="409.5">
      <c r="A144" s="16"/>
      <c r="B144" s="17" t="s">
        <v>33</v>
      </c>
      <c r="C144" s="17" t="s">
        <v>1069</v>
      </c>
      <c r="D144" s="17" t="s">
        <v>1171</v>
      </c>
      <c r="E144" s="17">
        <v>3</v>
      </c>
      <c r="F144" s="17" t="s">
        <v>2842</v>
      </c>
      <c r="G144" s="17" t="s">
        <v>2956</v>
      </c>
      <c r="H144" s="17" t="s">
        <v>2956</v>
      </c>
      <c r="I144" s="17" t="s">
        <v>2842</v>
      </c>
      <c r="J144" s="17" t="s">
        <v>2980</v>
      </c>
      <c r="K144" s="17" t="s">
        <v>2981</v>
      </c>
      <c r="L144" s="17" t="s">
        <v>2982</v>
      </c>
    </row>
    <row r="145" spans="1:12" ht="38.25">
      <c r="A145" s="16"/>
      <c r="B145" s="17" t="s">
        <v>33</v>
      </c>
      <c r="C145" s="17" t="s">
        <v>1069</v>
      </c>
      <c r="D145" s="17" t="s">
        <v>1171</v>
      </c>
      <c r="E145" s="17">
        <v>4</v>
      </c>
      <c r="F145" s="17" t="s">
        <v>2849</v>
      </c>
      <c r="G145" s="17" t="s">
        <v>2850</v>
      </c>
      <c r="H145" s="17" t="s">
        <v>2850</v>
      </c>
      <c r="I145" s="17" t="s">
        <v>2960</v>
      </c>
      <c r="J145" s="17" t="s">
        <v>2849</v>
      </c>
      <c r="K145" s="17" t="s">
        <v>2881</v>
      </c>
      <c r="L145" s="17" t="s">
        <v>2882</v>
      </c>
    </row>
    <row r="146" spans="1:12" ht="409.5">
      <c r="A146" s="16"/>
      <c r="B146" s="17" t="s">
        <v>33</v>
      </c>
      <c r="C146" s="17" t="s">
        <v>1069</v>
      </c>
      <c r="D146" s="17" t="s">
        <v>1171</v>
      </c>
      <c r="E146" s="17">
        <v>5</v>
      </c>
      <c r="F146" s="17" t="s">
        <v>2842</v>
      </c>
      <c r="G146" s="17" t="s">
        <v>2956</v>
      </c>
      <c r="H146" s="17" t="s">
        <v>2956</v>
      </c>
      <c r="I146" s="17" t="s">
        <v>2842</v>
      </c>
      <c r="J146" s="17" t="s">
        <v>2983</v>
      </c>
      <c r="K146" s="17" t="s">
        <v>2984</v>
      </c>
      <c r="L146" s="17" t="s">
        <v>2985</v>
      </c>
    </row>
    <row r="147" spans="1:12" ht="38.25">
      <c r="A147" s="16"/>
      <c r="B147" s="17" t="s">
        <v>33</v>
      </c>
      <c r="C147" s="17" t="s">
        <v>1069</v>
      </c>
      <c r="D147" s="17" t="s">
        <v>1171</v>
      </c>
      <c r="E147" s="17">
        <v>6</v>
      </c>
      <c r="F147" s="17" t="s">
        <v>2849</v>
      </c>
      <c r="G147" s="17" t="s">
        <v>2850</v>
      </c>
      <c r="H147" s="17" t="s">
        <v>2850</v>
      </c>
      <c r="I147" s="17" t="s">
        <v>2960</v>
      </c>
      <c r="J147" s="17" t="s">
        <v>2849</v>
      </c>
      <c r="K147" s="17" t="s">
        <v>2881</v>
      </c>
      <c r="L147" s="17" t="s">
        <v>2882</v>
      </c>
    </row>
    <row r="148" spans="1:12" ht="409.5">
      <c r="A148" s="16"/>
      <c r="B148" s="17" t="s">
        <v>33</v>
      </c>
      <c r="C148" s="17" t="s">
        <v>1069</v>
      </c>
      <c r="D148" s="17" t="s">
        <v>1171</v>
      </c>
      <c r="E148" s="17">
        <v>7</v>
      </c>
      <c r="F148" s="17" t="s">
        <v>2842</v>
      </c>
      <c r="G148" s="17" t="s">
        <v>2956</v>
      </c>
      <c r="H148" s="17" t="s">
        <v>2956</v>
      </c>
      <c r="I148" s="17" t="s">
        <v>2842</v>
      </c>
      <c r="J148" s="17" t="s">
        <v>2986</v>
      </c>
      <c r="K148" s="17" t="s">
        <v>2987</v>
      </c>
      <c r="L148" s="17" t="s">
        <v>2988</v>
      </c>
    </row>
    <row r="149" spans="1:12" ht="38.25">
      <c r="A149" s="16"/>
      <c r="B149" s="17" t="s">
        <v>33</v>
      </c>
      <c r="C149" s="17" t="s">
        <v>1069</v>
      </c>
      <c r="D149" s="17" t="s">
        <v>1171</v>
      </c>
      <c r="E149" s="17">
        <v>8</v>
      </c>
      <c r="F149" s="17" t="s">
        <v>2849</v>
      </c>
      <c r="G149" s="17" t="s">
        <v>2850</v>
      </c>
      <c r="H149" s="17" t="s">
        <v>2850</v>
      </c>
      <c r="I149" s="17" t="s">
        <v>2960</v>
      </c>
      <c r="J149" s="17" t="s">
        <v>2849</v>
      </c>
      <c r="K149" s="17" t="s">
        <v>2881</v>
      </c>
      <c r="L149" s="17" t="s">
        <v>2882</v>
      </c>
    </row>
    <row r="150" spans="1:12" ht="318.75">
      <c r="A150" s="16"/>
      <c r="B150" s="17" t="s">
        <v>33</v>
      </c>
      <c r="C150" s="17" t="s">
        <v>1069</v>
      </c>
      <c r="D150" s="17" t="s">
        <v>1171</v>
      </c>
      <c r="E150" s="17">
        <v>9</v>
      </c>
      <c r="F150" s="17" t="s">
        <v>2920</v>
      </c>
      <c r="G150" s="17" t="s">
        <v>2861</v>
      </c>
      <c r="H150" s="17" t="s">
        <v>2862</v>
      </c>
      <c r="I150" s="17" t="s">
        <v>2877</v>
      </c>
      <c r="J150" s="17" t="s">
        <v>2989</v>
      </c>
      <c r="K150" s="17" t="s">
        <v>2990</v>
      </c>
      <c r="L150" s="17" t="s">
        <v>2991</v>
      </c>
    </row>
    <row r="151" spans="1:12" ht="38.25">
      <c r="A151" s="16"/>
      <c r="B151" s="17" t="s">
        <v>33</v>
      </c>
      <c r="C151" s="17" t="s">
        <v>1069</v>
      </c>
      <c r="D151" s="17" t="s">
        <v>1171</v>
      </c>
      <c r="E151" s="17">
        <v>10</v>
      </c>
      <c r="F151" s="17" t="s">
        <v>2849</v>
      </c>
      <c r="G151" s="17" t="s">
        <v>2850</v>
      </c>
      <c r="H151" s="17" t="s">
        <v>2850</v>
      </c>
      <c r="I151" s="17" t="s">
        <v>2960</v>
      </c>
      <c r="J151" s="17" t="s">
        <v>2849</v>
      </c>
      <c r="K151" s="17" t="s">
        <v>2881</v>
      </c>
      <c r="L151" s="17" t="s">
        <v>2882</v>
      </c>
    </row>
    <row r="152" spans="1:12" ht="318.75">
      <c r="A152" s="16"/>
      <c r="B152" s="17" t="s">
        <v>33</v>
      </c>
      <c r="C152" s="17" t="s">
        <v>1069</v>
      </c>
      <c r="D152" s="17" t="s">
        <v>1171</v>
      </c>
      <c r="E152" s="17">
        <v>11</v>
      </c>
      <c r="F152" s="17" t="s">
        <v>2920</v>
      </c>
      <c r="G152" s="17" t="s">
        <v>2861</v>
      </c>
      <c r="H152" s="17" t="s">
        <v>2862</v>
      </c>
      <c r="I152" s="17" t="s">
        <v>2877</v>
      </c>
      <c r="J152" s="17" t="s">
        <v>2992</v>
      </c>
      <c r="K152" s="17" t="s">
        <v>2993</v>
      </c>
      <c r="L152" s="17" t="s">
        <v>2991</v>
      </c>
    </row>
    <row r="153" spans="1:12" ht="38.25">
      <c r="A153" s="16"/>
      <c r="B153" s="17" t="s">
        <v>33</v>
      </c>
      <c r="C153" s="17" t="s">
        <v>1069</v>
      </c>
      <c r="D153" s="17" t="s">
        <v>1171</v>
      </c>
      <c r="E153" s="17">
        <v>12</v>
      </c>
      <c r="F153" s="17" t="s">
        <v>2849</v>
      </c>
      <c r="G153" s="17" t="s">
        <v>2850</v>
      </c>
      <c r="H153" s="17" t="s">
        <v>2850</v>
      </c>
      <c r="I153" s="17" t="s">
        <v>2960</v>
      </c>
      <c r="J153" s="17" t="s">
        <v>2849</v>
      </c>
      <c r="K153" s="17" t="s">
        <v>2881</v>
      </c>
      <c r="L153" s="17" t="s">
        <v>2882</v>
      </c>
    </row>
    <row r="154" spans="1:12" ht="38.25">
      <c r="A154" s="16"/>
      <c r="B154" s="17" t="s">
        <v>33</v>
      </c>
      <c r="C154" s="17" t="s">
        <v>1069</v>
      </c>
      <c r="D154" s="17" t="s">
        <v>1171</v>
      </c>
      <c r="E154" s="17">
        <v>13</v>
      </c>
      <c r="F154" s="17" t="s">
        <v>2849</v>
      </c>
      <c r="G154" s="17" t="s">
        <v>2850</v>
      </c>
      <c r="H154" s="17" t="s">
        <v>2850</v>
      </c>
      <c r="I154" s="17" t="s">
        <v>2960</v>
      </c>
      <c r="J154" s="17" t="s">
        <v>2849</v>
      </c>
      <c r="K154" s="17" t="s">
        <v>2881</v>
      </c>
      <c r="L154" s="17" t="s">
        <v>2882</v>
      </c>
    </row>
    <row r="155" spans="1:12" ht="38.25">
      <c r="A155" s="16"/>
      <c r="B155" s="17" t="s">
        <v>33</v>
      </c>
      <c r="C155" s="17" t="s">
        <v>1069</v>
      </c>
      <c r="D155" s="17" t="s">
        <v>1171</v>
      </c>
      <c r="E155" s="17">
        <v>14</v>
      </c>
      <c r="F155" s="17" t="s">
        <v>2849</v>
      </c>
      <c r="G155" s="17" t="s">
        <v>2850</v>
      </c>
      <c r="H155" s="17" t="s">
        <v>2850</v>
      </c>
      <c r="I155" s="17" t="s">
        <v>2960</v>
      </c>
      <c r="J155" s="17" t="s">
        <v>2849</v>
      </c>
      <c r="K155" s="17" t="s">
        <v>2881</v>
      </c>
      <c r="L155" s="17" t="s">
        <v>2882</v>
      </c>
    </row>
    <row r="156" spans="1:12" ht="38.25">
      <c r="A156" s="16"/>
      <c r="B156" s="17" t="s">
        <v>33</v>
      </c>
      <c r="C156" s="17" t="s">
        <v>1069</v>
      </c>
      <c r="D156" s="17" t="s">
        <v>1171</v>
      </c>
      <c r="E156" s="17">
        <v>15</v>
      </c>
      <c r="F156" s="17" t="s">
        <v>2849</v>
      </c>
      <c r="G156" s="17" t="s">
        <v>2850</v>
      </c>
      <c r="H156" s="17" t="s">
        <v>2850</v>
      </c>
      <c r="I156" s="17" t="s">
        <v>2960</v>
      </c>
      <c r="J156" s="17" t="s">
        <v>2849</v>
      </c>
      <c r="K156" s="17" t="s">
        <v>2881</v>
      </c>
      <c r="L156" s="17" t="s">
        <v>2882</v>
      </c>
    </row>
    <row r="157" spans="1:12" ht="38.25">
      <c r="A157" s="16"/>
      <c r="B157" s="17" t="s">
        <v>33</v>
      </c>
      <c r="C157" s="17" t="s">
        <v>1069</v>
      </c>
      <c r="D157" s="17" t="s">
        <v>1171</v>
      </c>
      <c r="E157" s="17">
        <v>16</v>
      </c>
      <c r="F157" s="17" t="s">
        <v>2849</v>
      </c>
      <c r="G157" s="17" t="s">
        <v>2850</v>
      </c>
      <c r="H157" s="17" t="s">
        <v>2850</v>
      </c>
      <c r="I157" s="17" t="s">
        <v>2960</v>
      </c>
      <c r="J157" s="17" t="s">
        <v>2849</v>
      </c>
      <c r="K157" s="17" t="s">
        <v>2881</v>
      </c>
      <c r="L157" s="17" t="s">
        <v>2882</v>
      </c>
    </row>
    <row r="158" spans="1:12" ht="38.25">
      <c r="A158" s="16"/>
      <c r="B158" s="17" t="s">
        <v>33</v>
      </c>
      <c r="C158" s="17" t="s">
        <v>1069</v>
      </c>
      <c r="D158" s="17" t="s">
        <v>1171</v>
      </c>
      <c r="E158" s="17">
        <v>17</v>
      </c>
      <c r="F158" s="17" t="s">
        <v>2849</v>
      </c>
      <c r="G158" s="17" t="s">
        <v>2850</v>
      </c>
      <c r="H158" s="17" t="s">
        <v>2850</v>
      </c>
      <c r="I158" s="17" t="s">
        <v>2960</v>
      </c>
      <c r="J158" s="17" t="s">
        <v>2849</v>
      </c>
      <c r="K158" s="17" t="s">
        <v>2881</v>
      </c>
      <c r="L158" s="17" t="s">
        <v>2882</v>
      </c>
    </row>
    <row r="159" spans="1:12" ht="38.25">
      <c r="A159" s="16"/>
      <c r="B159" s="17" t="s">
        <v>33</v>
      </c>
      <c r="C159" s="17" t="s">
        <v>1069</v>
      </c>
      <c r="D159" s="17" t="s">
        <v>1171</v>
      </c>
      <c r="E159" s="17">
        <v>18</v>
      </c>
      <c r="F159" s="17" t="s">
        <v>2849</v>
      </c>
      <c r="G159" s="17" t="s">
        <v>2850</v>
      </c>
      <c r="H159" s="17" t="s">
        <v>2850</v>
      </c>
      <c r="I159" s="17" t="s">
        <v>2960</v>
      </c>
      <c r="J159" s="17" t="s">
        <v>2849</v>
      </c>
      <c r="K159" s="17" t="s">
        <v>2881</v>
      </c>
      <c r="L159" s="17" t="s">
        <v>2882</v>
      </c>
    </row>
    <row r="160" spans="1:12" ht="38.25">
      <c r="A160" s="16"/>
      <c r="B160" s="17" t="s">
        <v>33</v>
      </c>
      <c r="C160" s="17" t="s">
        <v>1069</v>
      </c>
      <c r="D160" s="17" t="s">
        <v>1171</v>
      </c>
      <c r="E160" s="17">
        <v>19</v>
      </c>
      <c r="F160" s="17" t="s">
        <v>2849</v>
      </c>
      <c r="G160" s="17" t="s">
        <v>2850</v>
      </c>
      <c r="H160" s="17" t="s">
        <v>2850</v>
      </c>
      <c r="I160" s="17" t="s">
        <v>2960</v>
      </c>
      <c r="J160" s="17" t="s">
        <v>2849</v>
      </c>
      <c r="K160" s="17" t="s">
        <v>2881</v>
      </c>
      <c r="L160" s="17" t="s">
        <v>2882</v>
      </c>
    </row>
    <row r="161" spans="1:12" ht="38.25">
      <c r="A161" s="16"/>
      <c r="B161" s="17" t="s">
        <v>33</v>
      </c>
      <c r="C161" s="17" t="s">
        <v>1069</v>
      </c>
      <c r="D161" s="17" t="s">
        <v>1171</v>
      </c>
      <c r="E161" s="17">
        <v>20</v>
      </c>
      <c r="F161" s="17" t="s">
        <v>2849</v>
      </c>
      <c r="G161" s="17" t="s">
        <v>2850</v>
      </c>
      <c r="H161" s="17" t="s">
        <v>2850</v>
      </c>
      <c r="I161" s="17" t="s">
        <v>2960</v>
      </c>
      <c r="J161" s="17" t="s">
        <v>2849</v>
      </c>
      <c r="K161" s="17" t="s">
        <v>2881</v>
      </c>
      <c r="L161" s="17" t="s">
        <v>2882</v>
      </c>
    </row>
    <row r="162" spans="1:12" ht="216.75">
      <c r="A162" s="16"/>
      <c r="B162" s="17" t="s">
        <v>33</v>
      </c>
      <c r="C162" s="17" t="s">
        <v>34</v>
      </c>
      <c r="D162" s="17" t="s">
        <v>35</v>
      </c>
      <c r="E162" s="17">
        <v>1</v>
      </c>
      <c r="F162" s="17" t="s">
        <v>2955</v>
      </c>
      <c r="G162" s="17" t="s">
        <v>2956</v>
      </c>
      <c r="H162" s="17" t="s">
        <v>2850</v>
      </c>
      <c r="I162" s="17" t="s">
        <v>2842</v>
      </c>
      <c r="J162" s="17" t="s">
        <v>2994</v>
      </c>
      <c r="K162" s="17" t="s">
        <v>2995</v>
      </c>
      <c r="L162" s="17" t="s">
        <v>2996</v>
      </c>
    </row>
    <row r="163" spans="1:12" ht="409.5">
      <c r="A163" s="16"/>
      <c r="B163" s="17" t="s">
        <v>33</v>
      </c>
      <c r="C163" s="17" t="s">
        <v>34</v>
      </c>
      <c r="D163" s="17" t="s">
        <v>35</v>
      </c>
      <c r="E163" s="17">
        <v>2</v>
      </c>
      <c r="F163" s="17" t="s">
        <v>2849</v>
      </c>
      <c r="G163" s="17" t="s">
        <v>2850</v>
      </c>
      <c r="H163" s="17" t="s">
        <v>2956</v>
      </c>
      <c r="I163" s="17" t="s">
        <v>2960</v>
      </c>
      <c r="J163" s="17" t="s">
        <v>2849</v>
      </c>
      <c r="K163" s="17" t="s">
        <v>2881</v>
      </c>
      <c r="L163" s="17" t="s">
        <v>2882</v>
      </c>
    </row>
    <row r="164" spans="1:12" ht="216.75">
      <c r="A164" s="16"/>
      <c r="B164" s="17" t="s">
        <v>33</v>
      </c>
      <c r="C164" s="17" t="s">
        <v>34</v>
      </c>
      <c r="D164" s="17" t="s">
        <v>35</v>
      </c>
      <c r="E164" s="17">
        <v>3</v>
      </c>
      <c r="F164" s="17" t="s">
        <v>2955</v>
      </c>
      <c r="G164" s="17" t="s">
        <v>2956</v>
      </c>
      <c r="H164" s="17" t="s">
        <v>2850</v>
      </c>
      <c r="I164" s="17" t="s">
        <v>2842</v>
      </c>
      <c r="J164" s="17" t="s">
        <v>2997</v>
      </c>
      <c r="K164" s="17" t="s">
        <v>2998</v>
      </c>
      <c r="L164" s="17" t="s">
        <v>2999</v>
      </c>
    </row>
    <row r="165" spans="1:12" ht="409.5">
      <c r="A165" s="16"/>
      <c r="B165" s="17" t="s">
        <v>33</v>
      </c>
      <c r="C165" s="17" t="s">
        <v>34</v>
      </c>
      <c r="D165" s="17" t="s">
        <v>35</v>
      </c>
      <c r="E165" s="17">
        <v>4</v>
      </c>
      <c r="F165" s="17" t="s">
        <v>2849</v>
      </c>
      <c r="G165" s="17" t="s">
        <v>2850</v>
      </c>
      <c r="H165" s="17" t="s">
        <v>2956</v>
      </c>
      <c r="I165" s="17" t="s">
        <v>2960</v>
      </c>
      <c r="J165" s="17" t="s">
        <v>2849</v>
      </c>
      <c r="K165" s="17" t="s">
        <v>2881</v>
      </c>
      <c r="L165" s="17" t="s">
        <v>2882</v>
      </c>
    </row>
    <row r="166" spans="1:12" ht="216.75">
      <c r="A166" s="16"/>
      <c r="B166" s="17" t="s">
        <v>33</v>
      </c>
      <c r="C166" s="17" t="s">
        <v>34</v>
      </c>
      <c r="D166" s="17" t="s">
        <v>35</v>
      </c>
      <c r="E166" s="17">
        <v>5</v>
      </c>
      <c r="F166" s="17" t="s">
        <v>2955</v>
      </c>
      <c r="G166" s="17" t="s">
        <v>2956</v>
      </c>
      <c r="H166" s="17" t="s">
        <v>2850</v>
      </c>
      <c r="I166" s="17" t="s">
        <v>2842</v>
      </c>
      <c r="J166" s="17" t="s">
        <v>3000</v>
      </c>
      <c r="K166" s="17" t="s">
        <v>3001</v>
      </c>
      <c r="L166" s="17" t="s">
        <v>3002</v>
      </c>
    </row>
    <row r="167" spans="1:12" ht="409.5">
      <c r="A167" s="16"/>
      <c r="B167" s="17" t="s">
        <v>33</v>
      </c>
      <c r="C167" s="17" t="s">
        <v>34</v>
      </c>
      <c r="D167" s="17" t="s">
        <v>35</v>
      </c>
      <c r="E167" s="17">
        <v>6</v>
      </c>
      <c r="F167" s="17" t="s">
        <v>2849</v>
      </c>
      <c r="G167" s="17" t="s">
        <v>2850</v>
      </c>
      <c r="H167" s="17" t="s">
        <v>2956</v>
      </c>
      <c r="I167" s="17" t="s">
        <v>2960</v>
      </c>
      <c r="J167" s="17" t="s">
        <v>2849</v>
      </c>
      <c r="K167" s="17" t="s">
        <v>2881</v>
      </c>
      <c r="L167" s="17" t="s">
        <v>2882</v>
      </c>
    </row>
    <row r="168" spans="1:12" ht="216.75">
      <c r="A168" s="16"/>
      <c r="B168" s="17" t="s">
        <v>33</v>
      </c>
      <c r="C168" s="17" t="s">
        <v>34</v>
      </c>
      <c r="D168" s="17" t="s">
        <v>35</v>
      </c>
      <c r="E168" s="17">
        <v>7</v>
      </c>
      <c r="F168" s="17" t="s">
        <v>2955</v>
      </c>
      <c r="G168" s="17" t="s">
        <v>2956</v>
      </c>
      <c r="H168" s="17" t="s">
        <v>2850</v>
      </c>
      <c r="I168" s="17" t="s">
        <v>2842</v>
      </c>
      <c r="J168" s="17" t="s">
        <v>3003</v>
      </c>
      <c r="K168" s="17" t="s">
        <v>3004</v>
      </c>
      <c r="L168" s="17" t="s">
        <v>3005</v>
      </c>
    </row>
    <row r="169" spans="1:12" ht="409.5">
      <c r="A169" s="16"/>
      <c r="B169" s="17" t="s">
        <v>33</v>
      </c>
      <c r="C169" s="17" t="s">
        <v>34</v>
      </c>
      <c r="D169" s="17" t="s">
        <v>35</v>
      </c>
      <c r="E169" s="17">
        <v>8</v>
      </c>
      <c r="F169" s="17" t="s">
        <v>2849</v>
      </c>
      <c r="G169" s="17" t="s">
        <v>2850</v>
      </c>
      <c r="H169" s="17" t="s">
        <v>2956</v>
      </c>
      <c r="I169" s="17" t="s">
        <v>2960</v>
      </c>
      <c r="J169" s="17" t="s">
        <v>2849</v>
      </c>
      <c r="K169" s="17" t="s">
        <v>2881</v>
      </c>
      <c r="L169" s="17" t="s">
        <v>2882</v>
      </c>
    </row>
    <row r="170" spans="1:12" ht="76.5">
      <c r="A170" s="16"/>
      <c r="B170" s="17" t="s">
        <v>33</v>
      </c>
      <c r="C170" s="17" t="s">
        <v>34</v>
      </c>
      <c r="D170" s="17" t="s">
        <v>35</v>
      </c>
      <c r="E170" s="17">
        <v>9</v>
      </c>
      <c r="F170" s="17" t="s">
        <v>2860</v>
      </c>
      <c r="G170" s="17" t="s">
        <v>2861</v>
      </c>
      <c r="H170" s="17" t="s">
        <v>2850</v>
      </c>
      <c r="I170" s="17" t="s">
        <v>3006</v>
      </c>
      <c r="J170" s="17" t="s">
        <v>3007</v>
      </c>
      <c r="K170" s="17" t="s">
        <v>3008</v>
      </c>
      <c r="L170" s="17" t="s">
        <v>3009</v>
      </c>
    </row>
    <row r="171" spans="1:12" ht="229.5">
      <c r="A171" s="16"/>
      <c r="B171" s="17" t="s">
        <v>33</v>
      </c>
      <c r="C171" s="17" t="s">
        <v>34</v>
      </c>
      <c r="D171" s="17" t="s">
        <v>35</v>
      </c>
      <c r="E171" s="17">
        <v>10</v>
      </c>
      <c r="F171" s="17" t="s">
        <v>2849</v>
      </c>
      <c r="G171" s="17" t="s">
        <v>2850</v>
      </c>
      <c r="H171" s="17" t="s">
        <v>2976</v>
      </c>
      <c r="I171" s="17" t="s">
        <v>2960</v>
      </c>
      <c r="J171" s="17" t="s">
        <v>2849</v>
      </c>
      <c r="K171" s="17" t="s">
        <v>2881</v>
      </c>
      <c r="L171" s="17" t="s">
        <v>2882</v>
      </c>
    </row>
    <row r="172" spans="1:12" ht="76.5">
      <c r="A172" s="16"/>
      <c r="B172" s="17" t="s">
        <v>33</v>
      </c>
      <c r="C172" s="17" t="s">
        <v>34</v>
      </c>
      <c r="D172" s="17" t="s">
        <v>35</v>
      </c>
      <c r="E172" s="17">
        <v>11</v>
      </c>
      <c r="F172" s="17" t="s">
        <v>2860</v>
      </c>
      <c r="G172" s="17" t="s">
        <v>2861</v>
      </c>
      <c r="H172" s="17" t="s">
        <v>2850</v>
      </c>
      <c r="I172" s="17" t="s">
        <v>3006</v>
      </c>
      <c r="J172" s="17" t="s">
        <v>3010</v>
      </c>
      <c r="K172" s="17" t="s">
        <v>3008</v>
      </c>
      <c r="L172" s="17" t="s">
        <v>3011</v>
      </c>
    </row>
    <row r="173" spans="1:12" ht="229.5">
      <c r="A173" s="16"/>
      <c r="B173" s="17" t="s">
        <v>33</v>
      </c>
      <c r="C173" s="17" t="s">
        <v>34</v>
      </c>
      <c r="D173" s="17" t="s">
        <v>35</v>
      </c>
      <c r="E173" s="17">
        <v>12</v>
      </c>
      <c r="F173" s="17" t="s">
        <v>2849</v>
      </c>
      <c r="G173" s="17" t="s">
        <v>2850</v>
      </c>
      <c r="H173" s="17" t="s">
        <v>2976</v>
      </c>
      <c r="I173" s="17" t="s">
        <v>2960</v>
      </c>
      <c r="J173" s="17" t="s">
        <v>2849</v>
      </c>
      <c r="K173" s="17" t="s">
        <v>2881</v>
      </c>
      <c r="L173" s="17" t="s">
        <v>2882</v>
      </c>
    </row>
    <row r="174" spans="1:12" ht="38.25">
      <c r="A174" s="16"/>
      <c r="B174" s="17" t="s">
        <v>33</v>
      </c>
      <c r="C174" s="17" t="s">
        <v>34</v>
      </c>
      <c r="D174" s="17" t="s">
        <v>35</v>
      </c>
      <c r="E174" s="17">
        <v>13</v>
      </c>
      <c r="F174" s="17" t="s">
        <v>2849</v>
      </c>
      <c r="G174" s="17" t="s">
        <v>2850</v>
      </c>
      <c r="H174" s="17" t="s">
        <v>2850</v>
      </c>
      <c r="I174" s="17" t="s">
        <v>2960</v>
      </c>
      <c r="J174" s="17" t="s">
        <v>2849</v>
      </c>
      <c r="K174" s="17" t="s">
        <v>2881</v>
      </c>
      <c r="L174" s="17" t="s">
        <v>2882</v>
      </c>
    </row>
    <row r="175" spans="1:12" ht="38.25">
      <c r="A175" s="16"/>
      <c r="B175" s="17" t="s">
        <v>33</v>
      </c>
      <c r="C175" s="17" t="s">
        <v>34</v>
      </c>
      <c r="D175" s="17" t="s">
        <v>35</v>
      </c>
      <c r="E175" s="17">
        <v>14</v>
      </c>
      <c r="F175" s="17" t="s">
        <v>2849</v>
      </c>
      <c r="G175" s="17" t="s">
        <v>2850</v>
      </c>
      <c r="H175" s="17" t="s">
        <v>2850</v>
      </c>
      <c r="I175" s="17" t="s">
        <v>2960</v>
      </c>
      <c r="J175" s="17" t="s">
        <v>2849</v>
      </c>
      <c r="K175" s="17" t="s">
        <v>2881</v>
      </c>
      <c r="L175" s="17" t="s">
        <v>2882</v>
      </c>
    </row>
    <row r="176" spans="1:12" ht="38.25">
      <c r="A176" s="16"/>
      <c r="B176" s="17" t="s">
        <v>33</v>
      </c>
      <c r="C176" s="17" t="s">
        <v>34</v>
      </c>
      <c r="D176" s="17" t="s">
        <v>35</v>
      </c>
      <c r="E176" s="17">
        <v>15</v>
      </c>
      <c r="F176" s="17" t="s">
        <v>2849</v>
      </c>
      <c r="G176" s="17" t="s">
        <v>2850</v>
      </c>
      <c r="H176" s="17" t="s">
        <v>2850</v>
      </c>
      <c r="I176" s="17" t="s">
        <v>2960</v>
      </c>
      <c r="J176" s="17" t="s">
        <v>2849</v>
      </c>
      <c r="K176" s="17" t="s">
        <v>2881</v>
      </c>
      <c r="L176" s="17" t="s">
        <v>2882</v>
      </c>
    </row>
    <row r="177" spans="1:12" ht="38.25">
      <c r="A177" s="16"/>
      <c r="B177" s="17" t="s">
        <v>33</v>
      </c>
      <c r="C177" s="17" t="s">
        <v>34</v>
      </c>
      <c r="D177" s="17" t="s">
        <v>35</v>
      </c>
      <c r="E177" s="17">
        <v>16</v>
      </c>
      <c r="F177" s="17" t="s">
        <v>2849</v>
      </c>
      <c r="G177" s="17" t="s">
        <v>2850</v>
      </c>
      <c r="H177" s="17" t="s">
        <v>2850</v>
      </c>
      <c r="I177" s="17" t="s">
        <v>2960</v>
      </c>
      <c r="J177" s="17" t="s">
        <v>2849</v>
      </c>
      <c r="K177" s="17" t="s">
        <v>2881</v>
      </c>
      <c r="L177" s="17" t="s">
        <v>2882</v>
      </c>
    </row>
    <row r="178" spans="1:12" ht="38.25">
      <c r="A178" s="16"/>
      <c r="B178" s="17" t="s">
        <v>33</v>
      </c>
      <c r="C178" s="17" t="s">
        <v>34</v>
      </c>
      <c r="D178" s="17" t="s">
        <v>35</v>
      </c>
      <c r="E178" s="17">
        <v>17</v>
      </c>
      <c r="F178" s="17" t="s">
        <v>2849</v>
      </c>
      <c r="G178" s="17" t="s">
        <v>2850</v>
      </c>
      <c r="H178" s="17" t="s">
        <v>2850</v>
      </c>
      <c r="I178" s="17" t="s">
        <v>2960</v>
      </c>
      <c r="J178" s="17" t="s">
        <v>2849</v>
      </c>
      <c r="K178" s="17" t="s">
        <v>2881</v>
      </c>
      <c r="L178" s="17" t="s">
        <v>2882</v>
      </c>
    </row>
    <row r="179" spans="1:12" ht="38.25">
      <c r="A179" s="16"/>
      <c r="B179" s="17" t="s">
        <v>33</v>
      </c>
      <c r="C179" s="17" t="s">
        <v>34</v>
      </c>
      <c r="D179" s="17" t="s">
        <v>35</v>
      </c>
      <c r="E179" s="17">
        <v>18</v>
      </c>
      <c r="F179" s="17" t="s">
        <v>2849</v>
      </c>
      <c r="G179" s="17" t="s">
        <v>2850</v>
      </c>
      <c r="H179" s="17" t="s">
        <v>2850</v>
      </c>
      <c r="I179" s="17" t="s">
        <v>2960</v>
      </c>
      <c r="J179" s="17" t="s">
        <v>2849</v>
      </c>
      <c r="K179" s="17" t="s">
        <v>2881</v>
      </c>
      <c r="L179" s="17" t="s">
        <v>2882</v>
      </c>
    </row>
    <row r="180" spans="1:12" ht="38.25">
      <c r="A180" s="16"/>
      <c r="B180" s="17" t="s">
        <v>33</v>
      </c>
      <c r="C180" s="17" t="s">
        <v>34</v>
      </c>
      <c r="D180" s="17" t="s">
        <v>35</v>
      </c>
      <c r="E180" s="17">
        <v>19</v>
      </c>
      <c r="F180" s="17" t="s">
        <v>2849</v>
      </c>
      <c r="G180" s="17" t="s">
        <v>2850</v>
      </c>
      <c r="H180" s="17" t="s">
        <v>2850</v>
      </c>
      <c r="I180" s="17" t="s">
        <v>2960</v>
      </c>
      <c r="J180" s="17" t="s">
        <v>2849</v>
      </c>
      <c r="K180" s="17" t="s">
        <v>2881</v>
      </c>
      <c r="L180" s="17" t="s">
        <v>2882</v>
      </c>
    </row>
    <row r="181" spans="1:12" ht="38.25">
      <c r="A181" s="16"/>
      <c r="B181" s="17" t="s">
        <v>33</v>
      </c>
      <c r="C181" s="17" t="s">
        <v>34</v>
      </c>
      <c r="D181" s="17" t="s">
        <v>35</v>
      </c>
      <c r="E181" s="17">
        <v>20</v>
      </c>
      <c r="F181" s="17" t="s">
        <v>2849</v>
      </c>
      <c r="G181" s="17" t="s">
        <v>2850</v>
      </c>
      <c r="H181" s="17" t="s">
        <v>2850</v>
      </c>
      <c r="I181" s="17" t="s">
        <v>2960</v>
      </c>
      <c r="J181" s="17" t="s">
        <v>2849</v>
      </c>
      <c r="K181" s="17" t="s">
        <v>2881</v>
      </c>
      <c r="L181" s="17" t="s">
        <v>2882</v>
      </c>
    </row>
    <row r="182" spans="1:12" ht="409.5">
      <c r="A182" s="16"/>
      <c r="B182" s="17" t="s">
        <v>33</v>
      </c>
      <c r="C182" s="17" t="s">
        <v>34</v>
      </c>
      <c r="D182" s="17" t="s">
        <v>1106</v>
      </c>
      <c r="E182" s="17">
        <v>1</v>
      </c>
      <c r="F182" s="17" t="s">
        <v>2842</v>
      </c>
      <c r="G182" s="17" t="s">
        <v>2956</v>
      </c>
      <c r="H182" s="17" t="s">
        <v>2956</v>
      </c>
      <c r="I182" s="17" t="s">
        <v>2955</v>
      </c>
      <c r="J182" s="17" t="s">
        <v>3012</v>
      </c>
      <c r="K182" s="17" t="s">
        <v>3013</v>
      </c>
      <c r="L182" s="17" t="s">
        <v>3014</v>
      </c>
    </row>
    <row r="183" spans="1:12" ht="38.25">
      <c r="A183" s="16"/>
      <c r="B183" s="17" t="s">
        <v>33</v>
      </c>
      <c r="C183" s="17" t="s">
        <v>34</v>
      </c>
      <c r="D183" s="17" t="s">
        <v>1106</v>
      </c>
      <c r="E183" s="17">
        <v>2</v>
      </c>
      <c r="F183" s="17" t="s">
        <v>2849</v>
      </c>
      <c r="G183" s="17" t="s">
        <v>2850</v>
      </c>
      <c r="H183" s="17" t="s">
        <v>2850</v>
      </c>
      <c r="I183" s="17" t="s">
        <v>2960</v>
      </c>
      <c r="J183" s="17" t="s">
        <v>2849</v>
      </c>
      <c r="K183" s="17" t="s">
        <v>2881</v>
      </c>
      <c r="L183" s="17" t="s">
        <v>2882</v>
      </c>
    </row>
    <row r="184" spans="1:12" ht="409.5">
      <c r="A184" s="16"/>
      <c r="B184" s="17" t="s">
        <v>33</v>
      </c>
      <c r="C184" s="17" t="s">
        <v>34</v>
      </c>
      <c r="D184" s="17" t="s">
        <v>1106</v>
      </c>
      <c r="E184" s="17">
        <v>3</v>
      </c>
      <c r="F184" s="17" t="s">
        <v>2842</v>
      </c>
      <c r="G184" s="17" t="s">
        <v>2956</v>
      </c>
      <c r="H184" s="17" t="s">
        <v>2956</v>
      </c>
      <c r="I184" s="17" t="s">
        <v>2955</v>
      </c>
      <c r="J184" s="17" t="s">
        <v>3015</v>
      </c>
      <c r="K184" s="17" t="s">
        <v>3016</v>
      </c>
      <c r="L184" s="17" t="s">
        <v>3017</v>
      </c>
    </row>
    <row r="185" spans="1:12" ht="38.25">
      <c r="A185" s="16"/>
      <c r="B185" s="17" t="s">
        <v>33</v>
      </c>
      <c r="C185" s="17" t="s">
        <v>34</v>
      </c>
      <c r="D185" s="17" t="s">
        <v>1106</v>
      </c>
      <c r="E185" s="17">
        <v>4</v>
      </c>
      <c r="F185" s="17" t="s">
        <v>2849</v>
      </c>
      <c r="G185" s="17" t="s">
        <v>2850</v>
      </c>
      <c r="H185" s="17" t="s">
        <v>2850</v>
      </c>
      <c r="I185" s="17" t="s">
        <v>2960</v>
      </c>
      <c r="J185" s="17" t="s">
        <v>2849</v>
      </c>
      <c r="K185" s="17" t="s">
        <v>2881</v>
      </c>
      <c r="L185" s="17" t="s">
        <v>2882</v>
      </c>
    </row>
    <row r="186" spans="1:12" ht="409.5">
      <c r="A186" s="16"/>
      <c r="B186" s="17" t="s">
        <v>33</v>
      </c>
      <c r="C186" s="17" t="s">
        <v>34</v>
      </c>
      <c r="D186" s="17" t="s">
        <v>1106</v>
      </c>
      <c r="E186" s="17">
        <v>5</v>
      </c>
      <c r="F186" s="17" t="s">
        <v>2842</v>
      </c>
      <c r="G186" s="17" t="s">
        <v>2956</v>
      </c>
      <c r="H186" s="17" t="s">
        <v>2956</v>
      </c>
      <c r="I186" s="17" t="s">
        <v>2955</v>
      </c>
      <c r="J186" s="17" t="s">
        <v>3018</v>
      </c>
      <c r="K186" s="17" t="s">
        <v>3019</v>
      </c>
      <c r="L186" s="17" t="s">
        <v>3020</v>
      </c>
    </row>
    <row r="187" spans="1:12" ht="38.25">
      <c r="A187" s="16"/>
      <c r="B187" s="17" t="s">
        <v>33</v>
      </c>
      <c r="C187" s="17" t="s">
        <v>34</v>
      </c>
      <c r="D187" s="17" t="s">
        <v>1106</v>
      </c>
      <c r="E187" s="17">
        <v>6</v>
      </c>
      <c r="F187" s="17" t="s">
        <v>2849</v>
      </c>
      <c r="G187" s="17" t="s">
        <v>2850</v>
      </c>
      <c r="H187" s="17" t="s">
        <v>2850</v>
      </c>
      <c r="I187" s="17" t="s">
        <v>2960</v>
      </c>
      <c r="J187" s="17" t="s">
        <v>2849</v>
      </c>
      <c r="K187" s="17" t="s">
        <v>2881</v>
      </c>
      <c r="L187" s="17" t="s">
        <v>2882</v>
      </c>
    </row>
    <row r="188" spans="1:12" ht="409.5">
      <c r="A188" s="16"/>
      <c r="B188" s="17" t="s">
        <v>33</v>
      </c>
      <c r="C188" s="17" t="s">
        <v>34</v>
      </c>
      <c r="D188" s="17" t="s">
        <v>1106</v>
      </c>
      <c r="E188" s="17">
        <v>7</v>
      </c>
      <c r="F188" s="17" t="s">
        <v>2842</v>
      </c>
      <c r="G188" s="17" t="s">
        <v>2956</v>
      </c>
      <c r="H188" s="17" t="s">
        <v>2956</v>
      </c>
      <c r="I188" s="17" t="s">
        <v>2955</v>
      </c>
      <c r="J188" s="17" t="s">
        <v>3021</v>
      </c>
      <c r="K188" s="17" t="s">
        <v>3022</v>
      </c>
      <c r="L188" s="17" t="s">
        <v>3023</v>
      </c>
    </row>
    <row r="189" spans="1:12" ht="38.25">
      <c r="A189" s="16"/>
      <c r="B189" s="17" t="s">
        <v>33</v>
      </c>
      <c r="C189" s="17" t="s">
        <v>34</v>
      </c>
      <c r="D189" s="17" t="s">
        <v>1106</v>
      </c>
      <c r="E189" s="17">
        <v>8</v>
      </c>
      <c r="F189" s="17" t="s">
        <v>2849</v>
      </c>
      <c r="G189" s="17" t="s">
        <v>2850</v>
      </c>
      <c r="H189" s="17" t="s">
        <v>2850</v>
      </c>
      <c r="I189" s="17" t="s">
        <v>2960</v>
      </c>
      <c r="J189" s="17" t="s">
        <v>2849</v>
      </c>
      <c r="K189" s="17" t="s">
        <v>2881</v>
      </c>
      <c r="L189" s="17" t="s">
        <v>2882</v>
      </c>
    </row>
    <row r="190" spans="1:12" ht="331.5">
      <c r="A190" s="16"/>
      <c r="B190" s="17" t="s">
        <v>33</v>
      </c>
      <c r="C190" s="17" t="s">
        <v>34</v>
      </c>
      <c r="D190" s="17" t="s">
        <v>1106</v>
      </c>
      <c r="E190" s="17">
        <v>9</v>
      </c>
      <c r="F190" s="17" t="s">
        <v>2860</v>
      </c>
      <c r="G190" s="17" t="s">
        <v>2861</v>
      </c>
      <c r="H190" s="17" t="s">
        <v>3024</v>
      </c>
      <c r="I190" s="17" t="s">
        <v>2877</v>
      </c>
      <c r="J190" s="17" t="s">
        <v>3025</v>
      </c>
      <c r="K190" s="17" t="s">
        <v>3026</v>
      </c>
      <c r="L190" s="17" t="s">
        <v>3027</v>
      </c>
    </row>
    <row r="191" spans="1:12" ht="63.75">
      <c r="A191" s="16"/>
      <c r="B191" s="17" t="s">
        <v>33</v>
      </c>
      <c r="C191" s="17" t="s">
        <v>34</v>
      </c>
      <c r="D191" s="17" t="s">
        <v>1106</v>
      </c>
      <c r="E191" s="17">
        <v>10</v>
      </c>
      <c r="F191" s="17" t="s">
        <v>2849</v>
      </c>
      <c r="G191" s="17" t="s">
        <v>2850</v>
      </c>
      <c r="H191" s="17" t="s">
        <v>2850</v>
      </c>
      <c r="I191" s="17" t="s">
        <v>2960</v>
      </c>
      <c r="J191" s="17" t="s">
        <v>2849</v>
      </c>
      <c r="K191" s="17" t="s">
        <v>2881</v>
      </c>
      <c r="L191" s="17" t="s">
        <v>3028</v>
      </c>
    </row>
    <row r="192" spans="1:12" ht="331.5">
      <c r="A192" s="16"/>
      <c r="B192" s="17" t="s">
        <v>33</v>
      </c>
      <c r="C192" s="17" t="s">
        <v>34</v>
      </c>
      <c r="D192" s="17" t="s">
        <v>1106</v>
      </c>
      <c r="E192" s="17">
        <v>11</v>
      </c>
      <c r="F192" s="17" t="s">
        <v>2860</v>
      </c>
      <c r="G192" s="17" t="s">
        <v>2861</v>
      </c>
      <c r="H192" s="17" t="s">
        <v>3024</v>
      </c>
      <c r="I192" s="17" t="s">
        <v>2877</v>
      </c>
      <c r="J192" s="17" t="s">
        <v>3029</v>
      </c>
      <c r="K192" s="17" t="s">
        <v>3030</v>
      </c>
      <c r="L192" s="17" t="s">
        <v>3031</v>
      </c>
    </row>
    <row r="193" spans="1:12" ht="38.25">
      <c r="A193" s="16"/>
      <c r="B193" s="17" t="s">
        <v>33</v>
      </c>
      <c r="C193" s="17" t="s">
        <v>34</v>
      </c>
      <c r="D193" s="17" t="s">
        <v>1106</v>
      </c>
      <c r="E193" s="17">
        <v>12</v>
      </c>
      <c r="F193" s="17" t="s">
        <v>2849</v>
      </c>
      <c r="G193" s="17" t="s">
        <v>2850</v>
      </c>
      <c r="H193" s="17" t="s">
        <v>2850</v>
      </c>
      <c r="I193" s="17" t="s">
        <v>2960</v>
      </c>
      <c r="J193" s="17" t="s">
        <v>2849</v>
      </c>
      <c r="K193" s="17" t="s">
        <v>2881</v>
      </c>
      <c r="L193" s="17" t="s">
        <v>2882</v>
      </c>
    </row>
    <row r="194" spans="1:12" ht="38.25">
      <c r="A194" s="16"/>
      <c r="B194" s="17" t="s">
        <v>33</v>
      </c>
      <c r="C194" s="17" t="s">
        <v>34</v>
      </c>
      <c r="D194" s="17" t="s">
        <v>1106</v>
      </c>
      <c r="E194" s="17">
        <v>13</v>
      </c>
      <c r="F194" s="17" t="s">
        <v>2849</v>
      </c>
      <c r="G194" s="17" t="s">
        <v>2850</v>
      </c>
      <c r="H194" s="17" t="s">
        <v>2850</v>
      </c>
      <c r="I194" s="17" t="s">
        <v>2960</v>
      </c>
      <c r="J194" s="17" t="s">
        <v>2849</v>
      </c>
      <c r="K194" s="17" t="s">
        <v>2881</v>
      </c>
      <c r="L194" s="17" t="s">
        <v>2882</v>
      </c>
    </row>
    <row r="195" spans="1:12" ht="38.25">
      <c r="A195" s="16"/>
      <c r="B195" s="17" t="s">
        <v>33</v>
      </c>
      <c r="C195" s="17" t="s">
        <v>34</v>
      </c>
      <c r="D195" s="17" t="s">
        <v>1106</v>
      </c>
      <c r="E195" s="17">
        <v>14</v>
      </c>
      <c r="F195" s="17" t="s">
        <v>2849</v>
      </c>
      <c r="G195" s="17" t="s">
        <v>2850</v>
      </c>
      <c r="H195" s="17" t="s">
        <v>2850</v>
      </c>
      <c r="I195" s="17" t="s">
        <v>2960</v>
      </c>
      <c r="J195" s="17" t="s">
        <v>2849</v>
      </c>
      <c r="K195" s="17" t="s">
        <v>2881</v>
      </c>
      <c r="L195" s="17" t="s">
        <v>2882</v>
      </c>
    </row>
    <row r="196" spans="1:12" ht="38.25">
      <c r="A196" s="16"/>
      <c r="B196" s="17" t="s">
        <v>33</v>
      </c>
      <c r="C196" s="17" t="s">
        <v>34</v>
      </c>
      <c r="D196" s="17" t="s">
        <v>1106</v>
      </c>
      <c r="E196" s="17">
        <v>15</v>
      </c>
      <c r="F196" s="17" t="s">
        <v>2849</v>
      </c>
      <c r="G196" s="17" t="s">
        <v>2850</v>
      </c>
      <c r="H196" s="17" t="s">
        <v>2850</v>
      </c>
      <c r="I196" s="17" t="s">
        <v>2960</v>
      </c>
      <c r="J196" s="17" t="s">
        <v>2849</v>
      </c>
      <c r="K196" s="17" t="s">
        <v>2881</v>
      </c>
      <c r="L196" s="17" t="s">
        <v>2882</v>
      </c>
    </row>
    <row r="197" spans="1:12" ht="38.25">
      <c r="A197" s="16"/>
      <c r="B197" s="17" t="s">
        <v>33</v>
      </c>
      <c r="C197" s="17" t="s">
        <v>34</v>
      </c>
      <c r="D197" s="17" t="s">
        <v>1106</v>
      </c>
      <c r="E197" s="17">
        <v>16</v>
      </c>
      <c r="F197" s="17" t="s">
        <v>2849</v>
      </c>
      <c r="G197" s="17" t="s">
        <v>2850</v>
      </c>
      <c r="H197" s="17" t="s">
        <v>2850</v>
      </c>
      <c r="I197" s="17" t="s">
        <v>2960</v>
      </c>
      <c r="J197" s="17" t="s">
        <v>2849</v>
      </c>
      <c r="K197" s="17" t="s">
        <v>2881</v>
      </c>
      <c r="L197" s="17" t="s">
        <v>2882</v>
      </c>
    </row>
    <row r="198" spans="1:12" ht="38.25">
      <c r="A198" s="16"/>
      <c r="B198" s="17" t="s">
        <v>33</v>
      </c>
      <c r="C198" s="17" t="s">
        <v>34</v>
      </c>
      <c r="D198" s="17" t="s">
        <v>1106</v>
      </c>
      <c r="E198" s="17">
        <v>17</v>
      </c>
      <c r="F198" s="17" t="s">
        <v>2849</v>
      </c>
      <c r="G198" s="17" t="s">
        <v>2850</v>
      </c>
      <c r="H198" s="17" t="s">
        <v>2850</v>
      </c>
      <c r="I198" s="17" t="s">
        <v>2960</v>
      </c>
      <c r="J198" s="17" t="s">
        <v>2849</v>
      </c>
      <c r="K198" s="17" t="s">
        <v>2881</v>
      </c>
      <c r="L198" s="17" t="s">
        <v>2882</v>
      </c>
    </row>
    <row r="199" spans="1:12" ht="38.25">
      <c r="A199" s="16"/>
      <c r="B199" s="17" t="s">
        <v>33</v>
      </c>
      <c r="C199" s="17" t="s">
        <v>34</v>
      </c>
      <c r="D199" s="17" t="s">
        <v>1106</v>
      </c>
      <c r="E199" s="17">
        <v>18</v>
      </c>
      <c r="F199" s="17" t="s">
        <v>2849</v>
      </c>
      <c r="G199" s="17" t="s">
        <v>2850</v>
      </c>
      <c r="H199" s="17" t="s">
        <v>2850</v>
      </c>
      <c r="I199" s="17" t="s">
        <v>2960</v>
      </c>
      <c r="J199" s="17" t="s">
        <v>2849</v>
      </c>
      <c r="K199" s="17" t="s">
        <v>2881</v>
      </c>
      <c r="L199" s="17" t="s">
        <v>2882</v>
      </c>
    </row>
    <row r="200" spans="1:12" ht="38.25">
      <c r="A200" s="16"/>
      <c r="B200" s="17" t="s">
        <v>33</v>
      </c>
      <c r="C200" s="17" t="s">
        <v>34</v>
      </c>
      <c r="D200" s="17" t="s">
        <v>1106</v>
      </c>
      <c r="E200" s="17">
        <v>19</v>
      </c>
      <c r="F200" s="17" t="s">
        <v>2849</v>
      </c>
      <c r="G200" s="17" t="s">
        <v>2850</v>
      </c>
      <c r="H200" s="17" t="s">
        <v>2850</v>
      </c>
      <c r="I200" s="17" t="s">
        <v>2960</v>
      </c>
      <c r="J200" s="17" t="s">
        <v>2849</v>
      </c>
      <c r="K200" s="17" t="s">
        <v>2881</v>
      </c>
      <c r="L200" s="17" t="s">
        <v>2882</v>
      </c>
    </row>
    <row r="201" spans="1:12" ht="38.25">
      <c r="A201" s="16"/>
      <c r="B201" s="17" t="s">
        <v>33</v>
      </c>
      <c r="C201" s="17" t="s">
        <v>34</v>
      </c>
      <c r="D201" s="17" t="s">
        <v>1106</v>
      </c>
      <c r="E201" s="17">
        <v>20</v>
      </c>
      <c r="F201" s="17" t="s">
        <v>2849</v>
      </c>
      <c r="G201" s="17" t="s">
        <v>2850</v>
      </c>
      <c r="H201" s="17" t="s">
        <v>2850</v>
      </c>
      <c r="I201" s="17" t="s">
        <v>2960</v>
      </c>
      <c r="J201" s="17" t="s">
        <v>2849</v>
      </c>
      <c r="K201" s="17" t="s">
        <v>2881</v>
      </c>
      <c r="L201" s="17" t="s">
        <v>2882</v>
      </c>
    </row>
    <row r="202" spans="1:12" ht="216.75">
      <c r="A202" s="16"/>
      <c r="B202" s="17" t="s">
        <v>33</v>
      </c>
      <c r="C202" s="17" t="s">
        <v>34</v>
      </c>
      <c r="D202" s="17" t="s">
        <v>542</v>
      </c>
      <c r="E202" s="17">
        <v>1</v>
      </c>
      <c r="F202" s="17" t="s">
        <v>2955</v>
      </c>
      <c r="G202" s="17" t="s">
        <v>2956</v>
      </c>
      <c r="H202" s="17" t="s">
        <v>2850</v>
      </c>
      <c r="I202" s="17" t="s">
        <v>2842</v>
      </c>
      <c r="J202" s="17" t="s">
        <v>3032</v>
      </c>
      <c r="K202" s="17" t="s">
        <v>3033</v>
      </c>
      <c r="L202" s="17" t="s">
        <v>3034</v>
      </c>
    </row>
    <row r="203" spans="1:12" ht="409.5">
      <c r="A203" s="16"/>
      <c r="B203" s="17" t="s">
        <v>33</v>
      </c>
      <c r="C203" s="17" t="s">
        <v>34</v>
      </c>
      <c r="D203" s="17" t="s">
        <v>542</v>
      </c>
      <c r="E203" s="17">
        <v>2</v>
      </c>
      <c r="F203" s="17" t="s">
        <v>2849</v>
      </c>
      <c r="G203" s="17" t="s">
        <v>2850</v>
      </c>
      <c r="H203" s="17" t="s">
        <v>3035</v>
      </c>
      <c r="I203" s="17" t="s">
        <v>2960</v>
      </c>
      <c r="J203" s="17" t="s">
        <v>2849</v>
      </c>
      <c r="K203" s="17" t="s">
        <v>2881</v>
      </c>
      <c r="L203" s="17" t="s">
        <v>2882</v>
      </c>
    </row>
    <row r="204" spans="1:12" ht="216.75">
      <c r="A204" s="16"/>
      <c r="B204" s="17" t="s">
        <v>33</v>
      </c>
      <c r="C204" s="17" t="s">
        <v>34</v>
      </c>
      <c r="D204" s="17" t="s">
        <v>542</v>
      </c>
      <c r="E204" s="17">
        <v>3</v>
      </c>
      <c r="F204" s="17" t="s">
        <v>2955</v>
      </c>
      <c r="G204" s="17" t="s">
        <v>2956</v>
      </c>
      <c r="H204" s="17" t="s">
        <v>2850</v>
      </c>
      <c r="I204" s="17" t="s">
        <v>2842</v>
      </c>
      <c r="J204" s="17" t="s">
        <v>3036</v>
      </c>
      <c r="K204" s="17" t="s">
        <v>3037</v>
      </c>
      <c r="L204" s="17" t="s">
        <v>3038</v>
      </c>
    </row>
    <row r="205" spans="1:12" ht="409.5">
      <c r="A205" s="16"/>
      <c r="B205" s="17" t="s">
        <v>33</v>
      </c>
      <c r="C205" s="17" t="s">
        <v>34</v>
      </c>
      <c r="D205" s="17" t="s">
        <v>542</v>
      </c>
      <c r="E205" s="17">
        <v>4</v>
      </c>
      <c r="F205" s="17" t="s">
        <v>2849</v>
      </c>
      <c r="G205" s="17" t="s">
        <v>2850</v>
      </c>
      <c r="H205" s="17" t="s">
        <v>3035</v>
      </c>
      <c r="I205" s="17" t="s">
        <v>2960</v>
      </c>
      <c r="J205" s="17" t="s">
        <v>2849</v>
      </c>
      <c r="K205" s="17" t="s">
        <v>2881</v>
      </c>
      <c r="L205" s="17" t="s">
        <v>2882</v>
      </c>
    </row>
    <row r="206" spans="1:12" ht="216.75">
      <c r="A206" s="16"/>
      <c r="B206" s="17" t="s">
        <v>33</v>
      </c>
      <c r="C206" s="17" t="s">
        <v>34</v>
      </c>
      <c r="D206" s="17" t="s">
        <v>542</v>
      </c>
      <c r="E206" s="17">
        <v>5</v>
      </c>
      <c r="F206" s="17" t="s">
        <v>2955</v>
      </c>
      <c r="G206" s="17" t="s">
        <v>2956</v>
      </c>
      <c r="H206" s="17" t="s">
        <v>2850</v>
      </c>
      <c r="I206" s="17" t="s">
        <v>2842</v>
      </c>
      <c r="J206" s="17" t="s">
        <v>3039</v>
      </c>
      <c r="K206" s="17" t="s">
        <v>3040</v>
      </c>
      <c r="L206" s="17" t="s">
        <v>3041</v>
      </c>
    </row>
    <row r="207" spans="1:12" ht="409.5">
      <c r="A207" s="16"/>
      <c r="B207" s="17" t="s">
        <v>33</v>
      </c>
      <c r="C207" s="17" t="s">
        <v>34</v>
      </c>
      <c r="D207" s="17" t="s">
        <v>542</v>
      </c>
      <c r="E207" s="17">
        <v>6</v>
      </c>
      <c r="F207" s="17" t="s">
        <v>2849</v>
      </c>
      <c r="G207" s="17" t="s">
        <v>2850</v>
      </c>
      <c r="H207" s="17" t="s">
        <v>3035</v>
      </c>
      <c r="I207" s="17" t="s">
        <v>2960</v>
      </c>
      <c r="J207" s="17" t="s">
        <v>2849</v>
      </c>
      <c r="K207" s="17" t="s">
        <v>2881</v>
      </c>
      <c r="L207" s="17" t="s">
        <v>2882</v>
      </c>
    </row>
    <row r="208" spans="1:12" ht="216.75">
      <c r="A208" s="16"/>
      <c r="B208" s="17" t="s">
        <v>33</v>
      </c>
      <c r="C208" s="17" t="s">
        <v>34</v>
      </c>
      <c r="D208" s="17" t="s">
        <v>542</v>
      </c>
      <c r="E208" s="17">
        <v>7</v>
      </c>
      <c r="F208" s="17" t="s">
        <v>2955</v>
      </c>
      <c r="G208" s="17" t="s">
        <v>2956</v>
      </c>
      <c r="H208" s="17" t="s">
        <v>2850</v>
      </c>
      <c r="I208" s="17" t="s">
        <v>2842</v>
      </c>
      <c r="J208" s="17" t="s">
        <v>3042</v>
      </c>
      <c r="K208" s="17" t="s">
        <v>3043</v>
      </c>
      <c r="L208" s="17" t="s">
        <v>3044</v>
      </c>
    </row>
    <row r="209" spans="1:12" ht="229.5">
      <c r="A209" s="16"/>
      <c r="B209" s="17" t="s">
        <v>33</v>
      </c>
      <c r="C209" s="17" t="s">
        <v>34</v>
      </c>
      <c r="D209" s="17" t="s">
        <v>542</v>
      </c>
      <c r="E209" s="17">
        <v>8</v>
      </c>
      <c r="F209" s="17" t="s">
        <v>2849</v>
      </c>
      <c r="G209" s="17" t="s">
        <v>2850</v>
      </c>
      <c r="H209" s="17" t="s">
        <v>2976</v>
      </c>
      <c r="I209" s="17" t="s">
        <v>2960</v>
      </c>
      <c r="J209" s="17" t="s">
        <v>2849</v>
      </c>
      <c r="K209" s="17" t="s">
        <v>2881</v>
      </c>
      <c r="L209" s="17" t="s">
        <v>2882</v>
      </c>
    </row>
    <row r="210" spans="1:12" ht="318.75">
      <c r="A210" s="16"/>
      <c r="B210" s="17" t="s">
        <v>33</v>
      </c>
      <c r="C210" s="17" t="s">
        <v>34</v>
      </c>
      <c r="D210" s="17" t="s">
        <v>542</v>
      </c>
      <c r="E210" s="17">
        <v>9</v>
      </c>
      <c r="F210" s="17" t="s">
        <v>2860</v>
      </c>
      <c r="G210" s="17" t="s">
        <v>2861</v>
      </c>
      <c r="H210" s="17" t="s">
        <v>2862</v>
      </c>
      <c r="I210" s="17" t="s">
        <v>2877</v>
      </c>
      <c r="J210" s="17" t="s">
        <v>3045</v>
      </c>
      <c r="K210" s="17" t="s">
        <v>3046</v>
      </c>
      <c r="L210" s="17" t="s">
        <v>3047</v>
      </c>
    </row>
    <row r="211" spans="1:12" ht="229.5">
      <c r="A211" s="16"/>
      <c r="B211" s="17" t="s">
        <v>33</v>
      </c>
      <c r="C211" s="17" t="s">
        <v>34</v>
      </c>
      <c r="D211" s="17" t="s">
        <v>542</v>
      </c>
      <c r="E211" s="17">
        <v>10</v>
      </c>
      <c r="F211" s="17" t="s">
        <v>2849</v>
      </c>
      <c r="G211" s="17" t="s">
        <v>2850</v>
      </c>
      <c r="H211" s="17" t="s">
        <v>2976</v>
      </c>
      <c r="I211" s="17" t="s">
        <v>2960</v>
      </c>
      <c r="J211" s="17" t="s">
        <v>2849</v>
      </c>
      <c r="K211" s="17" t="s">
        <v>2881</v>
      </c>
      <c r="L211" s="17" t="s">
        <v>2882</v>
      </c>
    </row>
    <row r="212" spans="1:12" ht="409.5">
      <c r="A212" s="16"/>
      <c r="B212" s="17" t="s">
        <v>33</v>
      </c>
      <c r="C212" s="17" t="s">
        <v>34</v>
      </c>
      <c r="D212" s="17" t="s">
        <v>542</v>
      </c>
      <c r="E212" s="17">
        <v>11</v>
      </c>
      <c r="F212" s="17" t="s">
        <v>2860</v>
      </c>
      <c r="G212" s="17" t="s">
        <v>3048</v>
      </c>
      <c r="H212" s="17" t="s">
        <v>3049</v>
      </c>
      <c r="I212" s="17" t="s">
        <v>2877</v>
      </c>
      <c r="J212" s="17" t="s">
        <v>3050</v>
      </c>
      <c r="K212" s="17" t="s">
        <v>3046</v>
      </c>
      <c r="L212" s="17" t="s">
        <v>3047</v>
      </c>
    </row>
    <row r="213" spans="1:12" ht="38.25">
      <c r="A213" s="16"/>
      <c r="B213" s="17" t="s">
        <v>33</v>
      </c>
      <c r="C213" s="17" t="s">
        <v>34</v>
      </c>
      <c r="D213" s="17" t="s">
        <v>542</v>
      </c>
      <c r="E213" s="17">
        <v>12</v>
      </c>
      <c r="F213" s="17" t="s">
        <v>2849</v>
      </c>
      <c r="G213" s="17" t="s">
        <v>2850</v>
      </c>
      <c r="H213" s="17" t="s">
        <v>2850</v>
      </c>
      <c r="I213" s="17" t="s">
        <v>2960</v>
      </c>
      <c r="J213" s="17" t="s">
        <v>2849</v>
      </c>
      <c r="K213" s="17" t="s">
        <v>2881</v>
      </c>
      <c r="L213" s="17" t="s">
        <v>2882</v>
      </c>
    </row>
    <row r="214" spans="1:12" ht="38.25">
      <c r="A214" s="16"/>
      <c r="B214" s="17" t="s">
        <v>33</v>
      </c>
      <c r="C214" s="17" t="s">
        <v>34</v>
      </c>
      <c r="D214" s="17" t="s">
        <v>542</v>
      </c>
      <c r="E214" s="17">
        <v>13</v>
      </c>
      <c r="F214" s="17" t="s">
        <v>2849</v>
      </c>
      <c r="G214" s="17" t="s">
        <v>2850</v>
      </c>
      <c r="H214" s="17" t="s">
        <v>2850</v>
      </c>
      <c r="I214" s="17" t="s">
        <v>2960</v>
      </c>
      <c r="J214" s="17" t="s">
        <v>2849</v>
      </c>
      <c r="K214" s="17" t="s">
        <v>2881</v>
      </c>
      <c r="L214" s="17" t="s">
        <v>2882</v>
      </c>
    </row>
    <row r="215" spans="1:12" ht="38.25">
      <c r="A215" s="16"/>
      <c r="B215" s="17" t="s">
        <v>33</v>
      </c>
      <c r="C215" s="17" t="s">
        <v>34</v>
      </c>
      <c r="D215" s="17" t="s">
        <v>542</v>
      </c>
      <c r="E215" s="17">
        <v>14</v>
      </c>
      <c r="F215" s="17" t="s">
        <v>2849</v>
      </c>
      <c r="G215" s="17" t="s">
        <v>2850</v>
      </c>
      <c r="H215" s="17" t="s">
        <v>2850</v>
      </c>
      <c r="I215" s="17" t="s">
        <v>2960</v>
      </c>
      <c r="J215" s="17" t="s">
        <v>2849</v>
      </c>
      <c r="K215" s="17" t="s">
        <v>2881</v>
      </c>
      <c r="L215" s="17" t="s">
        <v>2882</v>
      </c>
    </row>
    <row r="216" spans="1:12" ht="38.25">
      <c r="A216" s="16"/>
      <c r="B216" s="17" t="s">
        <v>33</v>
      </c>
      <c r="C216" s="17" t="s">
        <v>34</v>
      </c>
      <c r="D216" s="17" t="s">
        <v>542</v>
      </c>
      <c r="E216" s="17">
        <v>15</v>
      </c>
      <c r="F216" s="17" t="s">
        <v>2849</v>
      </c>
      <c r="G216" s="17" t="s">
        <v>2850</v>
      </c>
      <c r="H216" s="17" t="s">
        <v>2850</v>
      </c>
      <c r="I216" s="17" t="s">
        <v>2960</v>
      </c>
      <c r="J216" s="17" t="s">
        <v>2849</v>
      </c>
      <c r="K216" s="17" t="s">
        <v>2881</v>
      </c>
      <c r="L216" s="17" t="s">
        <v>2882</v>
      </c>
    </row>
    <row r="217" spans="1:12" ht="38.25">
      <c r="A217" s="16"/>
      <c r="B217" s="17" t="s">
        <v>33</v>
      </c>
      <c r="C217" s="17" t="s">
        <v>34</v>
      </c>
      <c r="D217" s="17" t="s">
        <v>542</v>
      </c>
      <c r="E217" s="17">
        <v>16</v>
      </c>
      <c r="F217" s="17" t="s">
        <v>2849</v>
      </c>
      <c r="G217" s="17" t="s">
        <v>2850</v>
      </c>
      <c r="H217" s="17" t="s">
        <v>2850</v>
      </c>
      <c r="I217" s="17" t="s">
        <v>2960</v>
      </c>
      <c r="J217" s="17" t="s">
        <v>2849</v>
      </c>
      <c r="K217" s="17" t="s">
        <v>2881</v>
      </c>
      <c r="L217" s="17" t="s">
        <v>2882</v>
      </c>
    </row>
    <row r="218" spans="1:12" ht="38.25">
      <c r="A218" s="16"/>
      <c r="B218" s="17" t="s">
        <v>33</v>
      </c>
      <c r="C218" s="17" t="s">
        <v>34</v>
      </c>
      <c r="D218" s="17" t="s">
        <v>542</v>
      </c>
      <c r="E218" s="17">
        <v>17</v>
      </c>
      <c r="F218" s="17" t="s">
        <v>2849</v>
      </c>
      <c r="G218" s="17" t="s">
        <v>2850</v>
      </c>
      <c r="H218" s="17" t="s">
        <v>2850</v>
      </c>
      <c r="I218" s="17" t="s">
        <v>2960</v>
      </c>
      <c r="J218" s="17" t="s">
        <v>2849</v>
      </c>
      <c r="K218" s="17" t="s">
        <v>2881</v>
      </c>
      <c r="L218" s="17" t="s">
        <v>2882</v>
      </c>
    </row>
    <row r="219" spans="1:12" ht="38.25">
      <c r="A219" s="16"/>
      <c r="B219" s="17" t="s">
        <v>33</v>
      </c>
      <c r="C219" s="17" t="s">
        <v>34</v>
      </c>
      <c r="D219" s="17" t="s">
        <v>542</v>
      </c>
      <c r="E219" s="17">
        <v>18</v>
      </c>
      <c r="F219" s="17" t="s">
        <v>2849</v>
      </c>
      <c r="G219" s="17" t="s">
        <v>2850</v>
      </c>
      <c r="H219" s="17" t="s">
        <v>2850</v>
      </c>
      <c r="I219" s="17" t="s">
        <v>2960</v>
      </c>
      <c r="J219" s="17" t="s">
        <v>2849</v>
      </c>
      <c r="K219" s="17" t="s">
        <v>2881</v>
      </c>
      <c r="L219" s="17" t="s">
        <v>2882</v>
      </c>
    </row>
    <row r="220" spans="1:12" ht="38.25">
      <c r="A220" s="16"/>
      <c r="B220" s="17" t="s">
        <v>33</v>
      </c>
      <c r="C220" s="17" t="s">
        <v>34</v>
      </c>
      <c r="D220" s="17" t="s">
        <v>542</v>
      </c>
      <c r="E220" s="17">
        <v>19</v>
      </c>
      <c r="F220" s="17" t="s">
        <v>2849</v>
      </c>
      <c r="G220" s="17" t="s">
        <v>2850</v>
      </c>
      <c r="H220" s="17" t="s">
        <v>2850</v>
      </c>
      <c r="I220" s="17" t="s">
        <v>2960</v>
      </c>
      <c r="J220" s="17" t="s">
        <v>2849</v>
      </c>
      <c r="K220" s="17" t="s">
        <v>2881</v>
      </c>
      <c r="L220" s="17" t="s">
        <v>2882</v>
      </c>
    </row>
    <row r="221" spans="1:12" ht="38.25">
      <c r="A221" s="16"/>
      <c r="B221" s="17" t="s">
        <v>33</v>
      </c>
      <c r="C221" s="17" t="s">
        <v>34</v>
      </c>
      <c r="D221" s="17" t="s">
        <v>542</v>
      </c>
      <c r="E221" s="17">
        <v>20</v>
      </c>
      <c r="F221" s="17" t="s">
        <v>2849</v>
      </c>
      <c r="G221" s="17" t="s">
        <v>2850</v>
      </c>
      <c r="H221" s="17"/>
      <c r="I221" s="17" t="s">
        <v>2960</v>
      </c>
      <c r="J221" s="17" t="s">
        <v>2849</v>
      </c>
      <c r="K221" s="17" t="s">
        <v>2881</v>
      </c>
      <c r="L221" s="17" t="s">
        <v>2882</v>
      </c>
    </row>
    <row r="222" spans="1:12" ht="409.5">
      <c r="A222" s="16"/>
      <c r="B222" s="17" t="s">
        <v>33</v>
      </c>
      <c r="C222" s="17" t="s">
        <v>34</v>
      </c>
      <c r="D222" s="17" t="s">
        <v>1171</v>
      </c>
      <c r="E222" s="17">
        <v>1</v>
      </c>
      <c r="F222" s="17" t="s">
        <v>2842</v>
      </c>
      <c r="G222" s="17" t="s">
        <v>2956</v>
      </c>
      <c r="H222" s="17" t="s">
        <v>2956</v>
      </c>
      <c r="I222" s="17" t="s">
        <v>2842</v>
      </c>
      <c r="J222" s="17" t="s">
        <v>3051</v>
      </c>
      <c r="K222" s="17" t="s">
        <v>3052</v>
      </c>
      <c r="L222" s="17" t="s">
        <v>3053</v>
      </c>
    </row>
    <row r="223" spans="1:12" ht="38.25">
      <c r="A223" s="16"/>
      <c r="B223" s="17" t="s">
        <v>33</v>
      </c>
      <c r="C223" s="17" t="s">
        <v>34</v>
      </c>
      <c r="D223" s="17" t="s">
        <v>1171</v>
      </c>
      <c r="E223" s="17">
        <v>2</v>
      </c>
      <c r="F223" s="17" t="s">
        <v>2849</v>
      </c>
      <c r="G223" s="17" t="s">
        <v>2850</v>
      </c>
      <c r="H223" s="17" t="s">
        <v>2850</v>
      </c>
      <c r="I223" s="17" t="s">
        <v>2960</v>
      </c>
      <c r="J223" s="17" t="s">
        <v>2849</v>
      </c>
      <c r="K223" s="17" t="s">
        <v>2881</v>
      </c>
      <c r="L223" s="17" t="s">
        <v>2882</v>
      </c>
    </row>
    <row r="224" spans="1:12" ht="409.5">
      <c r="A224" s="16"/>
      <c r="B224" s="17" t="s">
        <v>33</v>
      </c>
      <c r="C224" s="17" t="s">
        <v>34</v>
      </c>
      <c r="D224" s="17" t="s">
        <v>1171</v>
      </c>
      <c r="E224" s="17">
        <v>3</v>
      </c>
      <c r="F224" s="17" t="s">
        <v>2842</v>
      </c>
      <c r="G224" s="17" t="s">
        <v>2956</v>
      </c>
      <c r="H224" s="17" t="s">
        <v>2956</v>
      </c>
      <c r="I224" s="17" t="s">
        <v>2842</v>
      </c>
      <c r="J224" s="17" t="s">
        <v>3054</v>
      </c>
      <c r="K224" s="17" t="s">
        <v>3055</v>
      </c>
      <c r="L224" s="17" t="s">
        <v>3056</v>
      </c>
    </row>
    <row r="225" spans="1:12" ht="38.25">
      <c r="A225" s="16"/>
      <c r="B225" s="17" t="s">
        <v>33</v>
      </c>
      <c r="C225" s="17" t="s">
        <v>34</v>
      </c>
      <c r="D225" s="17" t="s">
        <v>1171</v>
      </c>
      <c r="E225" s="17">
        <v>4</v>
      </c>
      <c r="F225" s="17" t="s">
        <v>2849</v>
      </c>
      <c r="G225" s="17" t="s">
        <v>2850</v>
      </c>
      <c r="H225" s="17" t="s">
        <v>2850</v>
      </c>
      <c r="I225" s="17" t="s">
        <v>2960</v>
      </c>
      <c r="J225" s="17" t="s">
        <v>2849</v>
      </c>
      <c r="K225" s="17" t="s">
        <v>2881</v>
      </c>
      <c r="L225" s="17" t="s">
        <v>2882</v>
      </c>
    </row>
    <row r="226" spans="1:12" ht="409.5">
      <c r="A226" s="16"/>
      <c r="B226" s="17" t="s">
        <v>33</v>
      </c>
      <c r="C226" s="17" t="s">
        <v>34</v>
      </c>
      <c r="D226" s="17" t="s">
        <v>1171</v>
      </c>
      <c r="E226" s="17">
        <v>5</v>
      </c>
      <c r="F226" s="17" t="s">
        <v>2842</v>
      </c>
      <c r="G226" s="17" t="s">
        <v>2956</v>
      </c>
      <c r="H226" s="17" t="s">
        <v>2956</v>
      </c>
      <c r="I226" s="17" t="s">
        <v>2842</v>
      </c>
      <c r="J226" s="17" t="s">
        <v>3057</v>
      </c>
      <c r="K226" s="17" t="s">
        <v>3058</v>
      </c>
      <c r="L226" s="17" t="s">
        <v>3059</v>
      </c>
    </row>
    <row r="227" spans="1:12" ht="38.25">
      <c r="A227" s="16"/>
      <c r="B227" s="17" t="s">
        <v>33</v>
      </c>
      <c r="C227" s="17" t="s">
        <v>34</v>
      </c>
      <c r="D227" s="17" t="s">
        <v>1171</v>
      </c>
      <c r="E227" s="17">
        <v>6</v>
      </c>
      <c r="F227" s="17" t="s">
        <v>2849</v>
      </c>
      <c r="G227" s="17" t="s">
        <v>2850</v>
      </c>
      <c r="H227" s="17" t="s">
        <v>2850</v>
      </c>
      <c r="I227" s="17" t="s">
        <v>2960</v>
      </c>
      <c r="J227" s="17" t="s">
        <v>2849</v>
      </c>
      <c r="K227" s="17" t="s">
        <v>2881</v>
      </c>
      <c r="L227" s="17" t="s">
        <v>2882</v>
      </c>
    </row>
    <row r="228" spans="1:12" ht="318.75">
      <c r="A228" s="16"/>
      <c r="B228" s="17" t="s">
        <v>33</v>
      </c>
      <c r="C228" s="17" t="s">
        <v>34</v>
      </c>
      <c r="D228" s="17" t="s">
        <v>1171</v>
      </c>
      <c r="E228" s="17">
        <v>7</v>
      </c>
      <c r="F228" s="17" t="s">
        <v>2920</v>
      </c>
      <c r="G228" s="17" t="s">
        <v>3060</v>
      </c>
      <c r="H228" s="17" t="s">
        <v>2862</v>
      </c>
      <c r="I228" s="17" t="s">
        <v>2877</v>
      </c>
      <c r="J228" s="17" t="s">
        <v>3061</v>
      </c>
      <c r="K228" s="17" t="s">
        <v>3062</v>
      </c>
      <c r="L228" s="17" t="s">
        <v>3063</v>
      </c>
    </row>
    <row r="229" spans="1:12" ht="38.25">
      <c r="A229" s="16"/>
      <c r="B229" s="17" t="s">
        <v>33</v>
      </c>
      <c r="C229" s="17" t="s">
        <v>34</v>
      </c>
      <c r="D229" s="17" t="s">
        <v>1171</v>
      </c>
      <c r="E229" s="17">
        <v>8</v>
      </c>
      <c r="F229" s="17" t="s">
        <v>2849</v>
      </c>
      <c r="G229" s="17" t="s">
        <v>2850</v>
      </c>
      <c r="H229" s="17" t="s">
        <v>2850</v>
      </c>
      <c r="I229" s="17" t="s">
        <v>2960</v>
      </c>
      <c r="J229" s="17" t="s">
        <v>2849</v>
      </c>
      <c r="K229" s="17" t="s">
        <v>2881</v>
      </c>
      <c r="L229" s="17" t="s">
        <v>2882</v>
      </c>
    </row>
    <row r="230" spans="1:12" ht="318.75">
      <c r="A230" s="16"/>
      <c r="B230" s="17" t="s">
        <v>33</v>
      </c>
      <c r="C230" s="17" t="s">
        <v>34</v>
      </c>
      <c r="D230" s="17" t="s">
        <v>1171</v>
      </c>
      <c r="E230" s="17">
        <v>9</v>
      </c>
      <c r="F230" s="17" t="s">
        <v>2920</v>
      </c>
      <c r="G230" s="17" t="s">
        <v>3060</v>
      </c>
      <c r="H230" s="17" t="s">
        <v>2862</v>
      </c>
      <c r="I230" s="17" t="s">
        <v>2877</v>
      </c>
      <c r="J230" s="17" t="s">
        <v>3064</v>
      </c>
      <c r="K230" s="17" t="s">
        <v>3065</v>
      </c>
      <c r="L230" s="17" t="s">
        <v>3066</v>
      </c>
    </row>
    <row r="231" spans="1:12" ht="38.25">
      <c r="A231" s="16"/>
      <c r="B231" s="17" t="s">
        <v>33</v>
      </c>
      <c r="C231" s="17" t="s">
        <v>34</v>
      </c>
      <c r="D231" s="17" t="s">
        <v>1171</v>
      </c>
      <c r="E231" s="17">
        <v>10</v>
      </c>
      <c r="F231" s="17" t="s">
        <v>2849</v>
      </c>
      <c r="G231" s="17" t="s">
        <v>2850</v>
      </c>
      <c r="H231" s="17" t="s">
        <v>2850</v>
      </c>
      <c r="I231" s="17" t="s">
        <v>2960</v>
      </c>
      <c r="J231" s="17" t="s">
        <v>2849</v>
      </c>
      <c r="K231" s="17" t="s">
        <v>2881</v>
      </c>
      <c r="L231" s="17" t="s">
        <v>2882</v>
      </c>
    </row>
    <row r="232" spans="1:12" ht="318.75">
      <c r="A232" s="16"/>
      <c r="B232" s="17" t="s">
        <v>33</v>
      </c>
      <c r="C232" s="17" t="s">
        <v>34</v>
      </c>
      <c r="D232" s="17" t="s">
        <v>1171</v>
      </c>
      <c r="E232" s="17">
        <v>11</v>
      </c>
      <c r="F232" s="17" t="s">
        <v>2920</v>
      </c>
      <c r="G232" s="17" t="s">
        <v>3060</v>
      </c>
      <c r="H232" s="17" t="s">
        <v>2862</v>
      </c>
      <c r="I232" s="17" t="s">
        <v>2877</v>
      </c>
      <c r="J232" s="17" t="s">
        <v>3067</v>
      </c>
      <c r="K232" s="17" t="s">
        <v>3068</v>
      </c>
      <c r="L232" s="17" t="s">
        <v>3069</v>
      </c>
    </row>
    <row r="233" spans="1:12" ht="38.25">
      <c r="A233" s="16"/>
      <c r="B233" s="17" t="s">
        <v>33</v>
      </c>
      <c r="C233" s="17" t="s">
        <v>34</v>
      </c>
      <c r="D233" s="17" t="s">
        <v>1171</v>
      </c>
      <c r="E233" s="17">
        <v>12</v>
      </c>
      <c r="F233" s="17" t="s">
        <v>2849</v>
      </c>
      <c r="G233" s="17" t="s">
        <v>2850</v>
      </c>
      <c r="H233" s="17" t="s">
        <v>2850</v>
      </c>
      <c r="I233" s="17" t="s">
        <v>2960</v>
      </c>
      <c r="J233" s="17" t="s">
        <v>2849</v>
      </c>
      <c r="K233" s="17" t="s">
        <v>2881</v>
      </c>
      <c r="L233" s="17" t="s">
        <v>2882</v>
      </c>
    </row>
    <row r="234" spans="1:12" ht="38.25">
      <c r="A234" s="16"/>
      <c r="B234" s="17" t="s">
        <v>33</v>
      </c>
      <c r="C234" s="17" t="s">
        <v>34</v>
      </c>
      <c r="D234" s="17" t="s">
        <v>1171</v>
      </c>
      <c r="E234" s="17">
        <v>13</v>
      </c>
      <c r="F234" s="17" t="s">
        <v>2849</v>
      </c>
      <c r="G234" s="17" t="s">
        <v>2850</v>
      </c>
      <c r="H234" s="17" t="s">
        <v>2850</v>
      </c>
      <c r="I234" s="17" t="s">
        <v>2960</v>
      </c>
      <c r="J234" s="17" t="s">
        <v>2849</v>
      </c>
      <c r="K234" s="17" t="s">
        <v>2881</v>
      </c>
      <c r="L234" s="17" t="s">
        <v>2882</v>
      </c>
    </row>
    <row r="235" spans="1:12" ht="38.25">
      <c r="A235" s="16"/>
      <c r="B235" s="17" t="s">
        <v>33</v>
      </c>
      <c r="C235" s="17" t="s">
        <v>34</v>
      </c>
      <c r="D235" s="17" t="s">
        <v>1171</v>
      </c>
      <c r="E235" s="17">
        <v>14</v>
      </c>
      <c r="F235" s="17" t="s">
        <v>2849</v>
      </c>
      <c r="G235" s="17" t="s">
        <v>2850</v>
      </c>
      <c r="H235" s="17" t="s">
        <v>2850</v>
      </c>
      <c r="I235" s="17" t="s">
        <v>2960</v>
      </c>
      <c r="J235" s="17" t="s">
        <v>2849</v>
      </c>
      <c r="K235" s="17" t="s">
        <v>2881</v>
      </c>
      <c r="L235" s="17" t="s">
        <v>2882</v>
      </c>
    </row>
    <row r="236" spans="1:12" ht="38.25">
      <c r="A236" s="16"/>
      <c r="B236" s="17" t="s">
        <v>33</v>
      </c>
      <c r="C236" s="17" t="s">
        <v>34</v>
      </c>
      <c r="D236" s="17" t="s">
        <v>1171</v>
      </c>
      <c r="E236" s="17">
        <v>15</v>
      </c>
      <c r="F236" s="17" t="s">
        <v>2849</v>
      </c>
      <c r="G236" s="17" t="s">
        <v>2850</v>
      </c>
      <c r="H236" s="17" t="s">
        <v>2850</v>
      </c>
      <c r="I236" s="17" t="s">
        <v>2960</v>
      </c>
      <c r="J236" s="17" t="s">
        <v>2849</v>
      </c>
      <c r="K236" s="17" t="s">
        <v>2881</v>
      </c>
      <c r="L236" s="17" t="s">
        <v>2882</v>
      </c>
    </row>
    <row r="237" spans="1:12" ht="38.25">
      <c r="A237" s="16"/>
      <c r="B237" s="17" t="s">
        <v>33</v>
      </c>
      <c r="C237" s="17" t="s">
        <v>34</v>
      </c>
      <c r="D237" s="17" t="s">
        <v>1171</v>
      </c>
      <c r="E237" s="17">
        <v>16</v>
      </c>
      <c r="F237" s="17" t="s">
        <v>2849</v>
      </c>
      <c r="G237" s="17" t="s">
        <v>2850</v>
      </c>
      <c r="H237" s="17" t="s">
        <v>2850</v>
      </c>
      <c r="I237" s="17" t="s">
        <v>2960</v>
      </c>
      <c r="J237" s="17" t="s">
        <v>2849</v>
      </c>
      <c r="K237" s="17" t="s">
        <v>2881</v>
      </c>
      <c r="L237" s="17" t="s">
        <v>2882</v>
      </c>
    </row>
    <row r="238" spans="1:12" ht="38.25">
      <c r="A238" s="16"/>
      <c r="B238" s="17" t="s">
        <v>33</v>
      </c>
      <c r="C238" s="17" t="s">
        <v>34</v>
      </c>
      <c r="D238" s="17" t="s">
        <v>1171</v>
      </c>
      <c r="E238" s="17">
        <v>17</v>
      </c>
      <c r="F238" s="17" t="s">
        <v>2849</v>
      </c>
      <c r="G238" s="17" t="s">
        <v>2850</v>
      </c>
      <c r="H238" s="17" t="s">
        <v>2850</v>
      </c>
      <c r="I238" s="17" t="s">
        <v>2960</v>
      </c>
      <c r="J238" s="17" t="s">
        <v>2849</v>
      </c>
      <c r="K238" s="17" t="s">
        <v>2881</v>
      </c>
      <c r="L238" s="17" t="s">
        <v>2882</v>
      </c>
    </row>
    <row r="239" spans="1:12" ht="38.25">
      <c r="A239" s="16"/>
      <c r="B239" s="17" t="s">
        <v>33</v>
      </c>
      <c r="C239" s="17" t="s">
        <v>34</v>
      </c>
      <c r="D239" s="17" t="s">
        <v>1171</v>
      </c>
      <c r="E239" s="17">
        <v>18</v>
      </c>
      <c r="F239" s="17" t="s">
        <v>2849</v>
      </c>
      <c r="G239" s="17" t="s">
        <v>2850</v>
      </c>
      <c r="H239" s="17" t="s">
        <v>2850</v>
      </c>
      <c r="I239" s="17" t="s">
        <v>2960</v>
      </c>
      <c r="J239" s="17" t="s">
        <v>2849</v>
      </c>
      <c r="K239" s="17" t="s">
        <v>2881</v>
      </c>
      <c r="L239" s="17" t="s">
        <v>2882</v>
      </c>
    </row>
    <row r="240" spans="1:12" ht="38.25">
      <c r="A240" s="16"/>
      <c r="B240" s="17" t="s">
        <v>33</v>
      </c>
      <c r="C240" s="17" t="s">
        <v>34</v>
      </c>
      <c r="D240" s="17" t="s">
        <v>1171</v>
      </c>
      <c r="E240" s="17">
        <v>19</v>
      </c>
      <c r="F240" s="17" t="s">
        <v>2849</v>
      </c>
      <c r="G240" s="17" t="s">
        <v>2850</v>
      </c>
      <c r="H240" s="17" t="s">
        <v>2850</v>
      </c>
      <c r="I240" s="17" t="s">
        <v>2960</v>
      </c>
      <c r="J240" s="17" t="s">
        <v>2849</v>
      </c>
      <c r="K240" s="17" t="s">
        <v>2881</v>
      </c>
      <c r="L240" s="17" t="s">
        <v>2882</v>
      </c>
    </row>
    <row r="241" spans="1:12" ht="38.25">
      <c r="A241" s="16"/>
      <c r="B241" s="17" t="s">
        <v>33</v>
      </c>
      <c r="C241" s="17" t="s">
        <v>34</v>
      </c>
      <c r="D241" s="17" t="s">
        <v>1171</v>
      </c>
      <c r="E241" s="17">
        <v>20</v>
      </c>
      <c r="F241" s="17" t="s">
        <v>2849</v>
      </c>
      <c r="G241" s="17" t="s">
        <v>2850</v>
      </c>
      <c r="H241" s="17" t="s">
        <v>2850</v>
      </c>
      <c r="I241" s="17" t="s">
        <v>2960</v>
      </c>
      <c r="J241" s="17" t="s">
        <v>2849</v>
      </c>
      <c r="K241" s="17" t="s">
        <v>2881</v>
      </c>
      <c r="L241" s="17" t="s">
        <v>2882</v>
      </c>
    </row>
  </sheetData>
  <autoFilter ref="A1:L241"/>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sheetPr>
    <tabColor rgb="FFFFBFFC"/>
  </sheetPr>
  <dimension ref="A1:I37"/>
  <sheetViews>
    <sheetView workbookViewId="0">
      <pane ySplit="1" topLeftCell="A2" activePane="bottomLeft" state="frozen"/>
      <selection pane="bottomLeft" activeCell="B3" sqref="B3"/>
    </sheetView>
  </sheetViews>
  <sheetFormatPr defaultColWidth="12.5703125" defaultRowHeight="15" customHeight="1"/>
  <cols>
    <col min="1" max="1" width="19.42578125" customWidth="1"/>
    <col min="2" max="2" width="9" customWidth="1"/>
    <col min="3" max="3" width="13.28515625" customWidth="1"/>
    <col min="4" max="4" width="9.140625" customWidth="1"/>
    <col min="5" max="5" width="17" customWidth="1"/>
    <col min="6" max="6" width="22.28515625" customWidth="1"/>
    <col min="7" max="7" width="24.42578125" customWidth="1"/>
    <col min="8" max="8" width="25.85546875" customWidth="1"/>
    <col min="9" max="9" width="38.42578125" customWidth="1"/>
  </cols>
  <sheetData>
    <row r="1" spans="1:9" ht="35.25" customHeight="1">
      <c r="A1" s="13" t="s">
        <v>20</v>
      </c>
      <c r="B1" s="13" t="s">
        <v>22</v>
      </c>
      <c r="C1" s="14" t="s">
        <v>23</v>
      </c>
      <c r="D1" s="14" t="s">
        <v>24</v>
      </c>
      <c r="E1" s="14" t="s">
        <v>27</v>
      </c>
      <c r="F1" s="14" t="s">
        <v>835</v>
      </c>
      <c r="G1" s="14" t="s">
        <v>1464</v>
      </c>
      <c r="H1" s="14" t="s">
        <v>30</v>
      </c>
      <c r="I1" s="14" t="s">
        <v>31</v>
      </c>
    </row>
    <row r="2" spans="1:9" ht="51">
      <c r="A2" s="16"/>
      <c r="B2" s="9" t="s">
        <v>1658</v>
      </c>
      <c r="C2" s="17" t="s">
        <v>1070</v>
      </c>
      <c r="D2" s="9">
        <v>1</v>
      </c>
      <c r="E2" s="9" t="s">
        <v>3070</v>
      </c>
      <c r="F2" s="9" t="s">
        <v>3071</v>
      </c>
      <c r="G2" s="9" t="s">
        <v>3072</v>
      </c>
      <c r="H2" s="9" t="s">
        <v>3073</v>
      </c>
      <c r="I2" s="9" t="s">
        <v>3074</v>
      </c>
    </row>
    <row r="3" spans="1:9" ht="63.75">
      <c r="A3" s="16"/>
      <c r="B3" s="9" t="s">
        <v>1658</v>
      </c>
      <c r="C3" s="17" t="s">
        <v>1070</v>
      </c>
      <c r="D3" s="9">
        <v>2</v>
      </c>
      <c r="E3" s="9" t="s">
        <v>3075</v>
      </c>
      <c r="F3" s="9" t="s">
        <v>3076</v>
      </c>
      <c r="G3" s="9" t="s">
        <v>3077</v>
      </c>
      <c r="H3" s="9" t="s">
        <v>3078</v>
      </c>
      <c r="I3" s="9" t="s">
        <v>3079</v>
      </c>
    </row>
    <row r="4" spans="1:9" ht="63.75">
      <c r="A4" s="16"/>
      <c r="B4" s="9" t="s">
        <v>1658</v>
      </c>
      <c r="C4" s="17" t="s">
        <v>1070</v>
      </c>
      <c r="D4" s="9">
        <v>3</v>
      </c>
      <c r="E4" s="9" t="s">
        <v>3080</v>
      </c>
      <c r="F4" s="9" t="s">
        <v>3081</v>
      </c>
      <c r="G4" s="9" t="s">
        <v>3082</v>
      </c>
      <c r="H4" s="9" t="s">
        <v>3083</v>
      </c>
      <c r="I4" s="9" t="s">
        <v>3084</v>
      </c>
    </row>
    <row r="5" spans="1:9" ht="89.25">
      <c r="A5" s="16"/>
      <c r="B5" s="9" t="s">
        <v>1658</v>
      </c>
      <c r="C5" s="17" t="s">
        <v>1106</v>
      </c>
      <c r="D5" s="9">
        <v>1</v>
      </c>
      <c r="E5" s="9" t="s">
        <v>3080</v>
      </c>
      <c r="F5" s="9" t="s">
        <v>3085</v>
      </c>
      <c r="G5" s="9" t="s">
        <v>3086</v>
      </c>
      <c r="H5" s="9" t="s">
        <v>3087</v>
      </c>
      <c r="I5" s="9" t="s">
        <v>3088</v>
      </c>
    </row>
    <row r="6" spans="1:9" ht="51">
      <c r="A6" s="16"/>
      <c r="B6" s="9" t="s">
        <v>1658</v>
      </c>
      <c r="C6" s="17" t="s">
        <v>1106</v>
      </c>
      <c r="D6" s="9">
        <v>2</v>
      </c>
      <c r="E6" s="9" t="s">
        <v>3075</v>
      </c>
      <c r="F6" s="9" t="s">
        <v>3089</v>
      </c>
      <c r="G6" s="9" t="s">
        <v>3090</v>
      </c>
      <c r="H6" s="9" t="s">
        <v>3091</v>
      </c>
      <c r="I6" s="9" t="s">
        <v>3092</v>
      </c>
    </row>
    <row r="7" spans="1:9" ht="38.25">
      <c r="A7" s="16"/>
      <c r="B7" s="9" t="s">
        <v>1658</v>
      </c>
      <c r="C7" s="17" t="s">
        <v>1106</v>
      </c>
      <c r="D7" s="9">
        <v>3</v>
      </c>
      <c r="E7" s="9" t="s">
        <v>3093</v>
      </c>
      <c r="F7" s="9" t="s">
        <v>3094</v>
      </c>
      <c r="G7" s="9" t="s">
        <v>3095</v>
      </c>
      <c r="H7" s="9" t="s">
        <v>3096</v>
      </c>
      <c r="I7" s="9" t="s">
        <v>3097</v>
      </c>
    </row>
    <row r="8" spans="1:9" ht="63.75">
      <c r="A8" s="16"/>
      <c r="B8" s="9" t="s">
        <v>1069</v>
      </c>
      <c r="C8" s="17" t="s">
        <v>1070</v>
      </c>
      <c r="D8" s="9">
        <v>1</v>
      </c>
      <c r="E8" s="9" t="s">
        <v>3098</v>
      </c>
      <c r="F8" s="9" t="s">
        <v>3099</v>
      </c>
      <c r="G8" s="9" t="s">
        <v>3100</v>
      </c>
      <c r="H8" s="9" t="s">
        <v>3101</v>
      </c>
      <c r="I8" s="9" t="s">
        <v>3102</v>
      </c>
    </row>
    <row r="9" spans="1:9" ht="51">
      <c r="A9" s="16"/>
      <c r="B9" s="9" t="s">
        <v>1069</v>
      </c>
      <c r="C9" s="17" t="s">
        <v>1070</v>
      </c>
      <c r="D9" s="9">
        <v>2</v>
      </c>
      <c r="E9" s="9" t="s">
        <v>3103</v>
      </c>
      <c r="F9" s="9" t="s">
        <v>3104</v>
      </c>
      <c r="G9" s="9" t="s">
        <v>3105</v>
      </c>
      <c r="H9" s="9" t="s">
        <v>3104</v>
      </c>
      <c r="I9" s="9" t="s">
        <v>3106</v>
      </c>
    </row>
    <row r="10" spans="1:9" ht="38.25">
      <c r="A10" s="16"/>
      <c r="B10" s="9" t="s">
        <v>1069</v>
      </c>
      <c r="C10" s="17" t="s">
        <v>1070</v>
      </c>
      <c r="D10" s="9">
        <v>3</v>
      </c>
      <c r="E10" s="9" t="s">
        <v>3107</v>
      </c>
      <c r="F10" s="9" t="s">
        <v>3108</v>
      </c>
      <c r="G10" s="9" t="s">
        <v>3109</v>
      </c>
      <c r="H10" s="9" t="s">
        <v>3108</v>
      </c>
      <c r="I10" s="9" t="s">
        <v>3110</v>
      </c>
    </row>
    <row r="11" spans="1:9" ht="51">
      <c r="A11" s="16"/>
      <c r="B11" s="9" t="s">
        <v>1069</v>
      </c>
      <c r="C11" s="17" t="s">
        <v>1106</v>
      </c>
      <c r="D11" s="9">
        <v>1</v>
      </c>
      <c r="E11" s="9" t="s">
        <v>3111</v>
      </c>
      <c r="F11" s="9" t="s">
        <v>3112</v>
      </c>
      <c r="G11" s="9" t="s">
        <v>3113</v>
      </c>
      <c r="H11" s="9" t="s">
        <v>3114</v>
      </c>
      <c r="I11" s="9" t="s">
        <v>3115</v>
      </c>
    </row>
    <row r="12" spans="1:9" ht="51">
      <c r="A12" s="16"/>
      <c r="B12" s="9" t="s">
        <v>1069</v>
      </c>
      <c r="C12" s="17" t="s">
        <v>1106</v>
      </c>
      <c r="D12" s="9">
        <v>2</v>
      </c>
      <c r="E12" s="9" t="s">
        <v>3116</v>
      </c>
      <c r="F12" s="9" t="s">
        <v>3117</v>
      </c>
      <c r="G12" s="9" t="s">
        <v>3118</v>
      </c>
      <c r="H12" s="9" t="s">
        <v>3119</v>
      </c>
      <c r="I12" s="9" t="s">
        <v>3120</v>
      </c>
    </row>
    <row r="13" spans="1:9" ht="76.5">
      <c r="A13" s="16"/>
      <c r="B13" s="9" t="s">
        <v>1069</v>
      </c>
      <c r="C13" s="17" t="s">
        <v>1106</v>
      </c>
      <c r="D13" s="9">
        <v>3</v>
      </c>
      <c r="E13" s="9" t="s">
        <v>3080</v>
      </c>
      <c r="F13" s="9" t="s">
        <v>3121</v>
      </c>
      <c r="G13" s="9" t="s">
        <v>3122</v>
      </c>
      <c r="H13" s="9" t="s">
        <v>3123</v>
      </c>
      <c r="I13" s="9" t="s">
        <v>3124</v>
      </c>
    </row>
    <row r="14" spans="1:9" ht="51">
      <c r="A14" s="16"/>
      <c r="B14" s="9" t="s">
        <v>34</v>
      </c>
      <c r="C14" s="17" t="s">
        <v>1070</v>
      </c>
      <c r="D14" s="9">
        <v>1</v>
      </c>
      <c r="E14" s="9" t="s">
        <v>3080</v>
      </c>
      <c r="F14" s="9" t="s">
        <v>3125</v>
      </c>
      <c r="G14" s="9" t="s">
        <v>3126</v>
      </c>
      <c r="H14" s="9" t="s">
        <v>3127</v>
      </c>
      <c r="I14" s="9" t="s">
        <v>3128</v>
      </c>
    </row>
    <row r="15" spans="1:9" ht="51">
      <c r="A15" s="16"/>
      <c r="B15" s="9" t="s">
        <v>34</v>
      </c>
      <c r="C15" s="17" t="s">
        <v>1070</v>
      </c>
      <c r="D15" s="9">
        <v>2</v>
      </c>
      <c r="E15" s="9" t="s">
        <v>3129</v>
      </c>
      <c r="F15" s="9" t="s">
        <v>3130</v>
      </c>
      <c r="G15" s="9" t="s">
        <v>3131</v>
      </c>
      <c r="H15" s="9" t="s">
        <v>3132</v>
      </c>
      <c r="I15" s="9" t="s">
        <v>3133</v>
      </c>
    </row>
    <row r="16" spans="1:9" ht="51">
      <c r="A16" s="16"/>
      <c r="B16" s="9" t="s">
        <v>34</v>
      </c>
      <c r="C16" s="17" t="s">
        <v>1070</v>
      </c>
      <c r="D16" s="9">
        <v>3</v>
      </c>
      <c r="E16" s="9" t="s">
        <v>3134</v>
      </c>
      <c r="F16" s="9" t="s">
        <v>3135</v>
      </c>
      <c r="G16" s="9" t="s">
        <v>3136</v>
      </c>
      <c r="H16" s="9" t="s">
        <v>64</v>
      </c>
      <c r="I16" s="9" t="s">
        <v>3137</v>
      </c>
    </row>
    <row r="17" spans="1:9" ht="38.25">
      <c r="A17" s="16"/>
      <c r="B17" s="9" t="s">
        <v>34</v>
      </c>
      <c r="C17" s="17" t="s">
        <v>1106</v>
      </c>
      <c r="D17" s="9">
        <v>1</v>
      </c>
      <c r="E17" s="9" t="s">
        <v>3080</v>
      </c>
      <c r="F17" s="9" t="s">
        <v>668</v>
      </c>
      <c r="G17" s="9" t="s">
        <v>3138</v>
      </c>
      <c r="H17" s="9" t="s">
        <v>3139</v>
      </c>
      <c r="I17" s="9" t="s">
        <v>3140</v>
      </c>
    </row>
    <row r="18" spans="1:9" ht="51">
      <c r="A18" s="16"/>
      <c r="B18" s="9" t="s">
        <v>34</v>
      </c>
      <c r="C18" s="17" t="s">
        <v>1106</v>
      </c>
      <c r="D18" s="9">
        <v>2</v>
      </c>
      <c r="E18" s="9" t="s">
        <v>3141</v>
      </c>
      <c r="F18" s="9" t="s">
        <v>3142</v>
      </c>
      <c r="G18" s="9" t="s">
        <v>3143</v>
      </c>
      <c r="H18" s="9" t="s">
        <v>3144</v>
      </c>
      <c r="I18" s="9" t="s">
        <v>3145</v>
      </c>
    </row>
    <row r="19" spans="1:9" ht="25.5">
      <c r="A19" s="16"/>
      <c r="B19" s="9" t="s">
        <v>34</v>
      </c>
      <c r="C19" s="17" t="s">
        <v>1106</v>
      </c>
      <c r="D19" s="9">
        <v>3</v>
      </c>
      <c r="E19" s="9" t="s">
        <v>3134</v>
      </c>
      <c r="F19" s="9" t="s">
        <v>92</v>
      </c>
      <c r="G19" s="9" t="s">
        <v>3146</v>
      </c>
      <c r="H19" s="9" t="s">
        <v>3147</v>
      </c>
      <c r="I19" s="9" t="s">
        <v>3148</v>
      </c>
    </row>
    <row r="20" spans="1:9" ht="51">
      <c r="A20" s="16"/>
      <c r="B20" s="17" t="s">
        <v>1658</v>
      </c>
      <c r="C20" s="17" t="s">
        <v>542</v>
      </c>
      <c r="D20" s="17">
        <v>1</v>
      </c>
      <c r="E20" s="17" t="s">
        <v>3080</v>
      </c>
      <c r="F20" s="17" t="s">
        <v>3149</v>
      </c>
      <c r="G20" s="17" t="s">
        <v>3150</v>
      </c>
      <c r="H20" s="17" t="s">
        <v>3151</v>
      </c>
      <c r="I20" s="17" t="s">
        <v>3152</v>
      </c>
    </row>
    <row r="21" spans="1:9" ht="76.5">
      <c r="A21" s="16"/>
      <c r="B21" s="17" t="s">
        <v>1658</v>
      </c>
      <c r="C21" s="17" t="s">
        <v>542</v>
      </c>
      <c r="D21" s="17">
        <v>2</v>
      </c>
      <c r="E21" s="17" t="s">
        <v>3153</v>
      </c>
      <c r="F21" s="17" t="s">
        <v>3154</v>
      </c>
      <c r="G21" s="17" t="s">
        <v>3155</v>
      </c>
      <c r="H21" s="17" t="s">
        <v>3156</v>
      </c>
      <c r="I21" s="17" t="s">
        <v>3157</v>
      </c>
    </row>
    <row r="22" spans="1:9" ht="89.25">
      <c r="A22" s="16"/>
      <c r="B22" s="17" t="s">
        <v>1658</v>
      </c>
      <c r="C22" s="17" t="s">
        <v>542</v>
      </c>
      <c r="D22" s="17">
        <v>3</v>
      </c>
      <c r="E22" s="17" t="s">
        <v>3158</v>
      </c>
      <c r="F22" s="17" t="s">
        <v>3159</v>
      </c>
      <c r="G22" s="17" t="s">
        <v>3160</v>
      </c>
      <c r="H22" s="17" t="s">
        <v>3161</v>
      </c>
      <c r="I22" s="17" t="s">
        <v>3162</v>
      </c>
    </row>
    <row r="23" spans="1:9" ht="51">
      <c r="A23" s="16"/>
      <c r="B23" s="17" t="s">
        <v>1658</v>
      </c>
      <c r="C23" s="17" t="s">
        <v>1171</v>
      </c>
      <c r="D23" s="17">
        <v>1</v>
      </c>
      <c r="E23" s="17" t="s">
        <v>3080</v>
      </c>
      <c r="F23" s="17" t="s">
        <v>3163</v>
      </c>
      <c r="G23" s="17" t="s">
        <v>3164</v>
      </c>
      <c r="H23" s="17" t="s">
        <v>3165</v>
      </c>
      <c r="I23" s="17" t="s">
        <v>3166</v>
      </c>
    </row>
    <row r="24" spans="1:9" ht="51">
      <c r="A24" s="16"/>
      <c r="B24" s="17" t="s">
        <v>1658</v>
      </c>
      <c r="C24" s="17" t="s">
        <v>1171</v>
      </c>
      <c r="D24" s="17">
        <v>2</v>
      </c>
      <c r="E24" s="17" t="s">
        <v>3075</v>
      </c>
      <c r="F24" s="17" t="s">
        <v>3167</v>
      </c>
      <c r="G24" s="17" t="s">
        <v>3168</v>
      </c>
      <c r="H24" s="17" t="s">
        <v>3169</v>
      </c>
      <c r="I24" s="17" t="s">
        <v>3170</v>
      </c>
    </row>
    <row r="25" spans="1:9" ht="63.75">
      <c r="A25" s="16"/>
      <c r="B25" s="17" t="s">
        <v>1658</v>
      </c>
      <c r="C25" s="17" t="s">
        <v>1171</v>
      </c>
      <c r="D25" s="17">
        <v>3</v>
      </c>
      <c r="E25" s="17" t="s">
        <v>3134</v>
      </c>
      <c r="F25" s="17" t="s">
        <v>3171</v>
      </c>
      <c r="G25" s="17" t="s">
        <v>3172</v>
      </c>
      <c r="H25" s="17" t="s">
        <v>3173</v>
      </c>
      <c r="I25" s="17" t="s">
        <v>3174</v>
      </c>
    </row>
    <row r="26" spans="1:9" ht="76.5">
      <c r="A26" s="16"/>
      <c r="B26" s="17" t="s">
        <v>1069</v>
      </c>
      <c r="C26" s="17" t="s">
        <v>542</v>
      </c>
      <c r="D26" s="17">
        <v>1</v>
      </c>
      <c r="E26" s="17" t="s">
        <v>3153</v>
      </c>
      <c r="F26" s="17" t="s">
        <v>3175</v>
      </c>
      <c r="G26" s="17" t="s">
        <v>3176</v>
      </c>
      <c r="H26" s="17" t="s">
        <v>3177</v>
      </c>
      <c r="I26" s="17" t="s">
        <v>3178</v>
      </c>
    </row>
    <row r="27" spans="1:9" ht="76.5">
      <c r="A27" s="16"/>
      <c r="B27" s="17" t="s">
        <v>1069</v>
      </c>
      <c r="C27" s="17" t="s">
        <v>542</v>
      </c>
      <c r="D27" s="17">
        <v>2</v>
      </c>
      <c r="E27" s="17" t="s">
        <v>3093</v>
      </c>
      <c r="F27" s="17" t="s">
        <v>3179</v>
      </c>
      <c r="G27" s="17" t="s">
        <v>3180</v>
      </c>
      <c r="H27" s="17" t="s">
        <v>3181</v>
      </c>
      <c r="I27" s="17" t="s">
        <v>3182</v>
      </c>
    </row>
    <row r="28" spans="1:9" ht="38.25">
      <c r="A28" s="16"/>
      <c r="B28" s="17" t="s">
        <v>1069</v>
      </c>
      <c r="C28" s="17" t="s">
        <v>542</v>
      </c>
      <c r="D28" s="17">
        <v>3</v>
      </c>
      <c r="E28" s="17" t="s">
        <v>3153</v>
      </c>
      <c r="F28" s="17" t="s">
        <v>3183</v>
      </c>
      <c r="G28" s="17" t="s">
        <v>3184</v>
      </c>
      <c r="H28" s="17" t="s">
        <v>3185</v>
      </c>
      <c r="I28" s="17" t="s">
        <v>3186</v>
      </c>
    </row>
    <row r="29" spans="1:9" ht="63.75">
      <c r="A29" s="16"/>
      <c r="B29" s="17" t="s">
        <v>1069</v>
      </c>
      <c r="C29" s="17" t="s">
        <v>1171</v>
      </c>
      <c r="D29" s="17">
        <v>1</v>
      </c>
      <c r="E29" s="17" t="s">
        <v>3187</v>
      </c>
      <c r="F29" s="17" t="s">
        <v>3188</v>
      </c>
      <c r="G29" s="17" t="s">
        <v>3189</v>
      </c>
      <c r="H29" s="17" t="s">
        <v>3190</v>
      </c>
      <c r="I29" s="17" t="s">
        <v>3191</v>
      </c>
    </row>
    <row r="30" spans="1:9" ht="114.75">
      <c r="A30" s="16"/>
      <c r="B30" s="17" t="s">
        <v>1069</v>
      </c>
      <c r="C30" s="17" t="s">
        <v>1171</v>
      </c>
      <c r="D30" s="17">
        <v>2</v>
      </c>
      <c r="E30" s="17" t="s">
        <v>3093</v>
      </c>
      <c r="F30" s="17" t="s">
        <v>3192</v>
      </c>
      <c r="G30" s="17" t="s">
        <v>3193</v>
      </c>
      <c r="H30" s="17" t="s">
        <v>3194</v>
      </c>
      <c r="I30" s="17" t="s">
        <v>3195</v>
      </c>
    </row>
    <row r="31" spans="1:9" ht="51">
      <c r="A31" s="16"/>
      <c r="B31" s="17" t="s">
        <v>1069</v>
      </c>
      <c r="C31" s="17" t="s">
        <v>1171</v>
      </c>
      <c r="D31" s="17">
        <v>3</v>
      </c>
      <c r="E31" s="17" t="s">
        <v>3134</v>
      </c>
      <c r="F31" s="17" t="s">
        <v>3196</v>
      </c>
      <c r="G31" s="17" t="s">
        <v>3197</v>
      </c>
      <c r="H31" s="17" t="s">
        <v>3198</v>
      </c>
      <c r="I31" s="17" t="s">
        <v>3199</v>
      </c>
    </row>
    <row r="32" spans="1:9" ht="51">
      <c r="A32" s="16"/>
      <c r="B32" s="17" t="s">
        <v>34</v>
      </c>
      <c r="C32" s="17" t="s">
        <v>542</v>
      </c>
      <c r="D32" s="17">
        <v>1</v>
      </c>
      <c r="E32" s="17" t="s">
        <v>3080</v>
      </c>
      <c r="F32" s="17" t="s">
        <v>3200</v>
      </c>
      <c r="G32" s="17" t="s">
        <v>3201</v>
      </c>
      <c r="H32" s="17" t="s">
        <v>3202</v>
      </c>
      <c r="I32" s="17" t="s">
        <v>3203</v>
      </c>
    </row>
    <row r="33" spans="1:9" ht="89.25">
      <c r="A33" s="16"/>
      <c r="B33" s="17" t="s">
        <v>34</v>
      </c>
      <c r="C33" s="17" t="s">
        <v>542</v>
      </c>
      <c r="D33" s="17">
        <v>2</v>
      </c>
      <c r="E33" s="17" t="s">
        <v>3129</v>
      </c>
      <c r="F33" s="17" t="s">
        <v>3204</v>
      </c>
      <c r="G33" s="17" t="s">
        <v>3205</v>
      </c>
      <c r="H33" s="17" t="s">
        <v>3206</v>
      </c>
      <c r="I33" s="17" t="s">
        <v>3207</v>
      </c>
    </row>
    <row r="34" spans="1:9" ht="76.5">
      <c r="A34" s="16"/>
      <c r="B34" s="17" t="s">
        <v>34</v>
      </c>
      <c r="C34" s="17" t="s">
        <v>542</v>
      </c>
      <c r="D34" s="17">
        <v>3</v>
      </c>
      <c r="E34" s="17" t="s">
        <v>3134</v>
      </c>
      <c r="F34" s="17" t="s">
        <v>167</v>
      </c>
      <c r="G34" s="17" t="s">
        <v>3208</v>
      </c>
      <c r="H34" s="17" t="s">
        <v>184</v>
      </c>
      <c r="I34" s="17" t="s">
        <v>3209</v>
      </c>
    </row>
    <row r="35" spans="1:9" ht="51">
      <c r="A35" s="16"/>
      <c r="B35" s="17" t="s">
        <v>34</v>
      </c>
      <c r="C35" s="17" t="s">
        <v>1171</v>
      </c>
      <c r="D35" s="17">
        <v>1</v>
      </c>
      <c r="E35" s="17" t="s">
        <v>3210</v>
      </c>
      <c r="F35" s="17" t="s">
        <v>3188</v>
      </c>
      <c r="G35" s="17" t="s">
        <v>3211</v>
      </c>
      <c r="H35" s="17" t="s">
        <v>3212</v>
      </c>
      <c r="I35" s="17" t="s">
        <v>3213</v>
      </c>
    </row>
    <row r="36" spans="1:9" ht="63.75">
      <c r="A36" s="16"/>
      <c r="B36" s="17" t="s">
        <v>34</v>
      </c>
      <c r="C36" s="17" t="s">
        <v>1171</v>
      </c>
      <c r="D36" s="17">
        <v>2</v>
      </c>
      <c r="E36" s="17" t="s">
        <v>3214</v>
      </c>
      <c r="F36" s="17" t="s">
        <v>3215</v>
      </c>
      <c r="G36" s="17" t="s">
        <v>3216</v>
      </c>
      <c r="H36" s="17" t="s">
        <v>3217</v>
      </c>
      <c r="I36" s="17" t="s">
        <v>3218</v>
      </c>
    </row>
    <row r="37" spans="1:9" ht="102">
      <c r="A37" s="16"/>
      <c r="B37" s="17" t="s">
        <v>34</v>
      </c>
      <c r="C37" s="17" t="s">
        <v>1171</v>
      </c>
      <c r="D37" s="17">
        <v>3</v>
      </c>
      <c r="E37" s="17" t="s">
        <v>3153</v>
      </c>
      <c r="F37" s="17" t="s">
        <v>3219</v>
      </c>
      <c r="G37" s="17" t="s">
        <v>3220</v>
      </c>
      <c r="H37" s="17" t="s">
        <v>3221</v>
      </c>
      <c r="I37" s="17" t="s">
        <v>3222</v>
      </c>
    </row>
  </sheetData>
  <autoFilter ref="A1:I37"/>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dimension ref="A1:R136"/>
  <sheetViews>
    <sheetView workbookViewId="0"/>
  </sheetViews>
  <sheetFormatPr defaultColWidth="12.5703125" defaultRowHeight="15" customHeight="1"/>
  <cols>
    <col min="1" max="1" width="12.42578125" customWidth="1"/>
    <col min="2" max="3" width="13.5703125" customWidth="1"/>
    <col min="4" max="4" width="12.5703125" customWidth="1"/>
    <col min="5" max="5" width="12.42578125" customWidth="1"/>
    <col min="6" max="6" width="21.42578125" customWidth="1"/>
    <col min="7" max="7" width="13.5703125" customWidth="1"/>
    <col min="8" max="8" width="11.85546875" customWidth="1"/>
    <col min="9" max="9" width="21.28515625" customWidth="1"/>
    <col min="10" max="10" width="18.42578125" customWidth="1"/>
    <col min="11" max="11" width="47.140625" customWidth="1"/>
    <col min="12" max="12" width="43.42578125" customWidth="1"/>
    <col min="13" max="13" width="20.140625" customWidth="1"/>
    <col min="14" max="14" width="40.140625" customWidth="1"/>
    <col min="15" max="15" width="38.42578125" customWidth="1"/>
    <col min="16" max="16" width="29.140625" customWidth="1"/>
    <col min="17" max="17" width="27.42578125" customWidth="1"/>
    <col min="18" max="18" width="29" customWidth="1"/>
  </cols>
  <sheetData>
    <row r="1" spans="1:18" ht="12.75" customHeight="1">
      <c r="A1" s="38"/>
      <c r="B1" s="38"/>
      <c r="C1" s="38"/>
      <c r="D1" s="38"/>
      <c r="E1" s="39"/>
      <c r="F1" s="38"/>
      <c r="G1" s="38"/>
      <c r="H1" s="38"/>
      <c r="I1" s="38"/>
      <c r="J1" s="38"/>
      <c r="K1" s="38"/>
      <c r="L1" s="38"/>
      <c r="M1" s="38"/>
      <c r="N1" s="39"/>
      <c r="O1" s="38"/>
      <c r="P1" s="38"/>
      <c r="Q1" s="38"/>
      <c r="R1" s="38"/>
    </row>
    <row r="2" spans="1:18" ht="27" customHeight="1">
      <c r="A2" s="13" t="s">
        <v>21</v>
      </c>
      <c r="B2" s="14" t="s">
        <v>3223</v>
      </c>
      <c r="C2" s="13" t="s">
        <v>23</v>
      </c>
      <c r="D2" s="13" t="s">
        <v>3224</v>
      </c>
      <c r="E2" s="40" t="s">
        <v>3225</v>
      </c>
      <c r="F2" s="13" t="s">
        <v>3226</v>
      </c>
      <c r="G2" s="13" t="s">
        <v>3227</v>
      </c>
      <c r="H2" s="13" t="s">
        <v>3228</v>
      </c>
      <c r="I2" s="13" t="s">
        <v>29</v>
      </c>
      <c r="J2" s="13" t="s">
        <v>3229</v>
      </c>
      <c r="K2" s="13" t="s">
        <v>3230</v>
      </c>
      <c r="L2" s="13" t="s">
        <v>3231</v>
      </c>
      <c r="M2" s="13" t="s">
        <v>3232</v>
      </c>
      <c r="N2" s="40" t="s">
        <v>3233</v>
      </c>
      <c r="O2" s="40" t="s">
        <v>3234</v>
      </c>
      <c r="P2" s="40" t="s">
        <v>3235</v>
      </c>
      <c r="Q2" s="40" t="s">
        <v>3236</v>
      </c>
      <c r="R2" s="41" t="s">
        <v>3237</v>
      </c>
    </row>
    <row r="3" spans="1:18" ht="150" customHeight="1">
      <c r="A3" s="9" t="s">
        <v>33</v>
      </c>
      <c r="B3" s="241" t="s">
        <v>3238</v>
      </c>
      <c r="C3" s="241" t="s">
        <v>1070</v>
      </c>
      <c r="D3" s="241">
        <v>1</v>
      </c>
      <c r="E3" s="242" t="s">
        <v>3239</v>
      </c>
      <c r="F3" s="241" t="s">
        <v>3240</v>
      </c>
      <c r="G3" s="9">
        <v>1</v>
      </c>
      <c r="H3" s="9">
        <v>1</v>
      </c>
      <c r="I3" s="9" t="s">
        <v>3241</v>
      </c>
      <c r="J3" s="9" t="s">
        <v>3242</v>
      </c>
      <c r="K3" s="43" t="s">
        <v>3243</v>
      </c>
      <c r="L3" s="43" t="s">
        <v>3244</v>
      </c>
      <c r="M3" s="44" t="s">
        <v>3245</v>
      </c>
      <c r="N3" s="45" t="s">
        <v>3246</v>
      </c>
      <c r="O3" s="44" t="s">
        <v>3247</v>
      </c>
      <c r="P3" s="44" t="s">
        <v>3245</v>
      </c>
      <c r="Q3" s="44" t="s">
        <v>3245</v>
      </c>
      <c r="R3" s="16" t="s">
        <v>3248</v>
      </c>
    </row>
    <row r="4" spans="1:18" ht="150" customHeight="1">
      <c r="A4" s="9" t="s">
        <v>33</v>
      </c>
      <c r="B4" s="237"/>
      <c r="C4" s="237"/>
      <c r="D4" s="237"/>
      <c r="E4" s="237"/>
      <c r="F4" s="236"/>
      <c r="G4" s="9">
        <v>2</v>
      </c>
      <c r="H4" s="9">
        <v>2</v>
      </c>
      <c r="I4" s="9" t="s">
        <v>3249</v>
      </c>
      <c r="J4" s="9" t="s">
        <v>3250</v>
      </c>
      <c r="K4" s="43" t="s">
        <v>3251</v>
      </c>
      <c r="L4" s="43" t="s">
        <v>3252</v>
      </c>
      <c r="M4" s="44" t="s">
        <v>3245</v>
      </c>
      <c r="N4" s="45" t="s">
        <v>3253</v>
      </c>
      <c r="O4" s="44" t="s">
        <v>3254</v>
      </c>
      <c r="P4" s="44" t="s">
        <v>3245</v>
      </c>
      <c r="Q4" s="44" t="s">
        <v>3245</v>
      </c>
      <c r="R4" s="16" t="s">
        <v>3255</v>
      </c>
    </row>
    <row r="5" spans="1:18" ht="150" customHeight="1">
      <c r="A5" s="9" t="s">
        <v>33</v>
      </c>
      <c r="B5" s="241" t="s">
        <v>3238</v>
      </c>
      <c r="C5" s="241" t="s">
        <v>1070</v>
      </c>
      <c r="D5" s="241">
        <v>2</v>
      </c>
      <c r="E5" s="242" t="s">
        <v>3256</v>
      </c>
      <c r="F5" s="236"/>
      <c r="G5" s="9">
        <v>3</v>
      </c>
      <c r="H5" s="9">
        <v>3</v>
      </c>
      <c r="I5" s="9" t="s">
        <v>3257</v>
      </c>
      <c r="J5" s="9" t="s">
        <v>3242</v>
      </c>
      <c r="K5" s="43" t="s">
        <v>3258</v>
      </c>
      <c r="L5" s="43" t="s">
        <v>3259</v>
      </c>
      <c r="M5" s="44" t="s">
        <v>3245</v>
      </c>
      <c r="N5" s="45" t="s">
        <v>3260</v>
      </c>
      <c r="O5" s="44" t="s">
        <v>3261</v>
      </c>
      <c r="P5" s="44" t="s">
        <v>3245</v>
      </c>
      <c r="Q5" s="44" t="s">
        <v>3245</v>
      </c>
      <c r="R5" s="16" t="s">
        <v>3262</v>
      </c>
    </row>
    <row r="6" spans="1:18" ht="150" customHeight="1">
      <c r="A6" s="9" t="s">
        <v>33</v>
      </c>
      <c r="B6" s="237"/>
      <c r="C6" s="237"/>
      <c r="D6" s="237"/>
      <c r="E6" s="237"/>
      <c r="F6" s="237"/>
      <c r="G6" s="9">
        <v>4</v>
      </c>
      <c r="H6" s="9">
        <v>4</v>
      </c>
      <c r="I6" s="9" t="s">
        <v>3263</v>
      </c>
      <c r="J6" s="9" t="s">
        <v>3242</v>
      </c>
      <c r="K6" s="43" t="s">
        <v>3264</v>
      </c>
      <c r="L6" s="43" t="s">
        <v>3265</v>
      </c>
      <c r="M6" s="44" t="s">
        <v>3266</v>
      </c>
      <c r="N6" s="45" t="s">
        <v>3267</v>
      </c>
      <c r="O6" s="44" t="s">
        <v>3268</v>
      </c>
      <c r="P6" s="44" t="s">
        <v>3245</v>
      </c>
      <c r="Q6" s="44" t="s">
        <v>3245</v>
      </c>
      <c r="R6" s="16" t="s">
        <v>3269</v>
      </c>
    </row>
    <row r="7" spans="1:18" ht="57" customHeight="1">
      <c r="A7" s="46" t="s">
        <v>33</v>
      </c>
      <c r="B7" s="46" t="s">
        <v>3238</v>
      </c>
      <c r="C7" s="46" t="s">
        <v>1070</v>
      </c>
      <c r="D7" s="47">
        <v>3</v>
      </c>
      <c r="E7" s="48" t="s">
        <v>3270</v>
      </c>
      <c r="F7" s="47" t="s">
        <v>3271</v>
      </c>
      <c r="G7" s="46"/>
      <c r="H7" s="46"/>
      <c r="I7" s="46"/>
      <c r="J7" s="46"/>
      <c r="K7" s="46"/>
      <c r="L7" s="46"/>
      <c r="M7" s="46"/>
      <c r="N7" s="49"/>
      <c r="O7" s="46"/>
      <c r="P7" s="46"/>
      <c r="Q7" s="46"/>
      <c r="R7" s="50"/>
    </row>
    <row r="8" spans="1:18" ht="105.75" customHeight="1">
      <c r="A8" s="244" t="s">
        <v>33</v>
      </c>
      <c r="B8" s="244" t="s">
        <v>3238</v>
      </c>
      <c r="C8" s="244" t="s">
        <v>1070</v>
      </c>
      <c r="D8" s="244">
        <v>4</v>
      </c>
      <c r="E8" s="259" t="s">
        <v>3272</v>
      </c>
      <c r="F8" s="244" t="s">
        <v>3273</v>
      </c>
      <c r="G8" s="44">
        <v>1</v>
      </c>
      <c r="H8" s="44">
        <v>5</v>
      </c>
      <c r="I8" s="9" t="s">
        <v>3274</v>
      </c>
      <c r="J8" s="9" t="s">
        <v>3275</v>
      </c>
      <c r="K8" s="43" t="s">
        <v>3276</v>
      </c>
      <c r="L8" s="43" t="s">
        <v>3277</v>
      </c>
      <c r="M8" s="44" t="s">
        <v>3245</v>
      </c>
      <c r="N8" s="45" t="s">
        <v>3278</v>
      </c>
      <c r="O8" s="44" t="s">
        <v>3279</v>
      </c>
      <c r="P8" s="44" t="s">
        <v>3280</v>
      </c>
      <c r="Q8" s="44" t="s">
        <v>3281</v>
      </c>
      <c r="R8" s="16" t="s">
        <v>3282</v>
      </c>
    </row>
    <row r="9" spans="1:18" ht="153.75" customHeight="1">
      <c r="A9" s="237"/>
      <c r="B9" s="237"/>
      <c r="C9" s="237"/>
      <c r="D9" s="237"/>
      <c r="E9" s="237"/>
      <c r="F9" s="236"/>
      <c r="G9" s="44">
        <v>2</v>
      </c>
      <c r="H9" s="44">
        <v>6</v>
      </c>
      <c r="I9" s="9" t="s">
        <v>3283</v>
      </c>
      <c r="J9" s="9" t="s">
        <v>3250</v>
      </c>
      <c r="K9" s="43" t="s">
        <v>3284</v>
      </c>
      <c r="L9" s="43" t="s">
        <v>3285</v>
      </c>
      <c r="M9" s="44" t="s">
        <v>3245</v>
      </c>
      <c r="N9" s="45" t="s">
        <v>3278</v>
      </c>
      <c r="O9" s="44" t="s">
        <v>3279</v>
      </c>
      <c r="P9" s="44" t="s">
        <v>3280</v>
      </c>
      <c r="Q9" s="44" t="s">
        <v>3281</v>
      </c>
      <c r="R9" s="16" t="s">
        <v>3282</v>
      </c>
    </row>
    <row r="10" spans="1:18" ht="102" customHeight="1">
      <c r="A10" s="9" t="s">
        <v>33</v>
      </c>
      <c r="B10" s="241" t="s">
        <v>3238</v>
      </c>
      <c r="C10" s="241" t="s">
        <v>1070</v>
      </c>
      <c r="D10" s="243">
        <v>5</v>
      </c>
      <c r="E10" s="260" t="s">
        <v>3286</v>
      </c>
      <c r="F10" s="236"/>
      <c r="G10" s="51">
        <v>3</v>
      </c>
      <c r="H10" s="42">
        <v>7</v>
      </c>
      <c r="I10" s="9" t="s">
        <v>3287</v>
      </c>
      <c r="J10" s="9" t="s">
        <v>3250</v>
      </c>
      <c r="K10" s="43" t="s">
        <v>3288</v>
      </c>
      <c r="L10" s="43" t="s">
        <v>3289</v>
      </c>
      <c r="M10" s="44" t="s">
        <v>3245</v>
      </c>
      <c r="N10" s="45" t="s">
        <v>3278</v>
      </c>
      <c r="O10" s="44" t="s">
        <v>3279</v>
      </c>
      <c r="P10" s="44" t="s">
        <v>3280</v>
      </c>
      <c r="Q10" s="44" t="s">
        <v>3281</v>
      </c>
      <c r="R10" s="16" t="s">
        <v>1162</v>
      </c>
    </row>
    <row r="11" spans="1:18" ht="117.75" customHeight="1">
      <c r="A11" s="9" t="s">
        <v>33</v>
      </c>
      <c r="B11" s="237"/>
      <c r="C11" s="237"/>
      <c r="D11" s="237"/>
      <c r="E11" s="261"/>
      <c r="F11" s="237"/>
      <c r="G11" s="52">
        <v>4</v>
      </c>
      <c r="H11" s="9">
        <v>8</v>
      </c>
      <c r="I11" s="51" t="s">
        <v>3290</v>
      </c>
      <c r="J11" s="9" t="s">
        <v>3250</v>
      </c>
      <c r="K11" s="43" t="s">
        <v>3291</v>
      </c>
      <c r="L11" s="43" t="s">
        <v>3292</v>
      </c>
      <c r="M11" s="44" t="s">
        <v>3266</v>
      </c>
      <c r="N11" s="45" t="s">
        <v>3278</v>
      </c>
      <c r="O11" s="44" t="s">
        <v>3279</v>
      </c>
      <c r="P11" s="44" t="s">
        <v>3280</v>
      </c>
      <c r="Q11" s="44" t="s">
        <v>3281</v>
      </c>
      <c r="R11" s="16" t="s">
        <v>2280</v>
      </c>
    </row>
    <row r="12" spans="1:18" ht="69.75" customHeight="1">
      <c r="A12" s="53" t="s">
        <v>33</v>
      </c>
      <c r="B12" s="53" t="s">
        <v>3238</v>
      </c>
      <c r="C12" s="53" t="s">
        <v>1070</v>
      </c>
      <c r="D12" s="54">
        <v>6</v>
      </c>
      <c r="E12" s="55" t="s">
        <v>3293</v>
      </c>
      <c r="F12" s="56"/>
      <c r="G12" s="53" t="s">
        <v>1750</v>
      </c>
      <c r="H12" s="53" t="s">
        <v>3294</v>
      </c>
      <c r="I12" s="53" t="s">
        <v>3295</v>
      </c>
      <c r="J12" s="53"/>
      <c r="K12" s="53"/>
      <c r="L12" s="53"/>
      <c r="M12" s="53" t="s">
        <v>3296</v>
      </c>
      <c r="N12" s="55" t="s">
        <v>3296</v>
      </c>
      <c r="O12" s="53" t="s">
        <v>2850</v>
      </c>
      <c r="P12" s="53" t="s">
        <v>3296</v>
      </c>
      <c r="Q12" s="53"/>
      <c r="R12" s="57"/>
    </row>
    <row r="13" spans="1:18" ht="150" customHeight="1">
      <c r="A13" s="9" t="s">
        <v>33</v>
      </c>
      <c r="B13" s="241" t="s">
        <v>3238</v>
      </c>
      <c r="C13" s="241" t="s">
        <v>1070</v>
      </c>
      <c r="D13" s="262">
        <v>7</v>
      </c>
      <c r="E13" s="258" t="s">
        <v>3297</v>
      </c>
      <c r="F13" s="244" t="s">
        <v>3273</v>
      </c>
      <c r="G13" s="9">
        <v>5</v>
      </c>
      <c r="H13" s="58">
        <v>11</v>
      </c>
      <c r="I13" s="9" t="s">
        <v>3298</v>
      </c>
      <c r="J13" s="9" t="s">
        <v>3250</v>
      </c>
      <c r="K13" s="43" t="s">
        <v>3299</v>
      </c>
      <c r="L13" s="43" t="s">
        <v>3300</v>
      </c>
      <c r="M13" s="16" t="s">
        <v>3245</v>
      </c>
      <c r="N13" s="45" t="s">
        <v>3278</v>
      </c>
      <c r="O13" s="44" t="s">
        <v>3279</v>
      </c>
      <c r="P13" s="44" t="s">
        <v>3280</v>
      </c>
      <c r="Q13" s="44" t="s">
        <v>3281</v>
      </c>
      <c r="R13" s="16" t="s">
        <v>2280</v>
      </c>
    </row>
    <row r="14" spans="1:18" ht="150" customHeight="1">
      <c r="A14" s="9" t="s">
        <v>33</v>
      </c>
      <c r="B14" s="237"/>
      <c r="C14" s="237"/>
      <c r="D14" s="263"/>
      <c r="E14" s="237"/>
      <c r="F14" s="236"/>
      <c r="G14" s="9">
        <v>6</v>
      </c>
      <c r="H14" s="9">
        <v>12</v>
      </c>
      <c r="I14" s="9" t="s">
        <v>3301</v>
      </c>
      <c r="J14" s="9" t="s">
        <v>3250</v>
      </c>
      <c r="K14" s="43" t="s">
        <v>3302</v>
      </c>
      <c r="L14" s="43" t="s">
        <v>3303</v>
      </c>
      <c r="M14" s="16" t="s">
        <v>3245</v>
      </c>
      <c r="N14" s="45" t="s">
        <v>3304</v>
      </c>
      <c r="O14" s="59" t="s">
        <v>3305</v>
      </c>
      <c r="P14" s="60" t="s">
        <v>3280</v>
      </c>
      <c r="Q14" s="44" t="s">
        <v>3281</v>
      </c>
      <c r="R14" s="16" t="s">
        <v>3282</v>
      </c>
    </row>
    <row r="15" spans="1:18" ht="150" customHeight="1">
      <c r="A15" s="9" t="s">
        <v>33</v>
      </c>
      <c r="B15" s="241" t="s">
        <v>3238</v>
      </c>
      <c r="C15" s="241" t="s">
        <v>1070</v>
      </c>
      <c r="D15" s="243">
        <v>8</v>
      </c>
      <c r="E15" s="258" t="s">
        <v>3306</v>
      </c>
      <c r="F15" s="236"/>
      <c r="G15" s="9">
        <v>7</v>
      </c>
      <c r="H15" s="9">
        <v>13</v>
      </c>
      <c r="I15" s="9" t="s">
        <v>3307</v>
      </c>
      <c r="J15" s="9" t="s">
        <v>3250</v>
      </c>
      <c r="K15" s="43" t="s">
        <v>3308</v>
      </c>
      <c r="L15" s="43" t="s">
        <v>3309</v>
      </c>
      <c r="M15" s="16" t="s">
        <v>3245</v>
      </c>
      <c r="N15" s="45" t="s">
        <v>3278</v>
      </c>
      <c r="O15" s="44" t="s">
        <v>3279</v>
      </c>
      <c r="P15" s="44" t="s">
        <v>3280</v>
      </c>
      <c r="Q15" s="44" t="s">
        <v>3281</v>
      </c>
      <c r="R15" s="16" t="s">
        <v>3310</v>
      </c>
    </row>
    <row r="16" spans="1:18" ht="150" customHeight="1">
      <c r="A16" s="9" t="s">
        <v>33</v>
      </c>
      <c r="B16" s="237"/>
      <c r="C16" s="237"/>
      <c r="D16" s="237"/>
      <c r="E16" s="237"/>
      <c r="F16" s="237"/>
      <c r="G16" s="9">
        <v>8</v>
      </c>
      <c r="H16" s="9">
        <v>14</v>
      </c>
      <c r="I16" s="9" t="s">
        <v>3311</v>
      </c>
      <c r="J16" s="9" t="s">
        <v>3250</v>
      </c>
      <c r="K16" s="43" t="s">
        <v>3312</v>
      </c>
      <c r="L16" s="43" t="s">
        <v>3313</v>
      </c>
      <c r="M16" s="44" t="s">
        <v>3266</v>
      </c>
      <c r="N16" s="45" t="s">
        <v>3278</v>
      </c>
      <c r="O16" s="44" t="s">
        <v>3279</v>
      </c>
      <c r="P16" s="44" t="s">
        <v>3280</v>
      </c>
      <c r="Q16" s="44" t="s">
        <v>3281</v>
      </c>
      <c r="R16" s="16" t="s">
        <v>2211</v>
      </c>
    </row>
    <row r="17" spans="1:18" ht="150" customHeight="1">
      <c r="A17" s="61" t="s">
        <v>33</v>
      </c>
      <c r="B17" s="61" t="s">
        <v>3238</v>
      </c>
      <c r="C17" s="61" t="s">
        <v>1070</v>
      </c>
      <c r="D17" s="61">
        <v>9</v>
      </c>
      <c r="E17" s="62" t="s">
        <v>3314</v>
      </c>
      <c r="F17" s="61"/>
      <c r="G17" s="61" t="s">
        <v>1750</v>
      </c>
      <c r="H17" s="61" t="s">
        <v>3315</v>
      </c>
      <c r="I17" s="61" t="s">
        <v>3316</v>
      </c>
      <c r="J17" s="61"/>
      <c r="K17" s="61"/>
      <c r="L17" s="61"/>
      <c r="M17" s="61"/>
      <c r="N17" s="62" t="s">
        <v>3296</v>
      </c>
      <c r="O17" s="61" t="s">
        <v>3296</v>
      </c>
      <c r="P17" s="61" t="s">
        <v>3296</v>
      </c>
      <c r="Q17" s="61" t="s">
        <v>3296</v>
      </c>
      <c r="R17" s="63"/>
    </row>
    <row r="18" spans="1:18" ht="150" customHeight="1">
      <c r="A18" s="53" t="s">
        <v>33</v>
      </c>
      <c r="B18" s="53" t="s">
        <v>3238</v>
      </c>
      <c r="C18" s="53" t="s">
        <v>1070</v>
      </c>
      <c r="D18" s="53">
        <v>10</v>
      </c>
      <c r="E18" s="55" t="s">
        <v>3317</v>
      </c>
      <c r="F18" s="53"/>
      <c r="G18" s="53" t="s">
        <v>1750</v>
      </c>
      <c r="H18" s="53" t="s">
        <v>3318</v>
      </c>
      <c r="I18" s="64" t="s">
        <v>3319</v>
      </c>
      <c r="J18" s="53"/>
      <c r="K18" s="53"/>
      <c r="L18" s="53"/>
      <c r="M18" s="53" t="s">
        <v>3296</v>
      </c>
      <c r="N18" s="55" t="s">
        <v>3296</v>
      </c>
      <c r="O18" s="53" t="s">
        <v>2850</v>
      </c>
      <c r="P18" s="53" t="s">
        <v>3296</v>
      </c>
      <c r="Q18" s="53"/>
      <c r="R18" s="57"/>
    </row>
    <row r="19" spans="1:18" ht="150" customHeight="1">
      <c r="A19" s="65" t="s">
        <v>33</v>
      </c>
      <c r="B19" s="65" t="s">
        <v>3238</v>
      </c>
      <c r="C19" s="65" t="s">
        <v>1070</v>
      </c>
      <c r="D19" s="65">
        <v>11</v>
      </c>
      <c r="E19" s="66" t="s">
        <v>3320</v>
      </c>
      <c r="F19" s="67"/>
      <c r="G19" s="65" t="s">
        <v>1750</v>
      </c>
      <c r="H19" s="65" t="s">
        <v>3321</v>
      </c>
      <c r="I19" s="65" t="s">
        <v>3322</v>
      </c>
      <c r="J19" s="65"/>
      <c r="K19" s="65"/>
      <c r="L19" s="65"/>
      <c r="M19" s="65"/>
      <c r="N19" s="68"/>
      <c r="O19" s="65"/>
      <c r="P19" s="65"/>
      <c r="Q19" s="65"/>
      <c r="R19" s="69"/>
    </row>
    <row r="20" spans="1:18" ht="117.75" customHeight="1">
      <c r="A20" s="9" t="s">
        <v>33</v>
      </c>
      <c r="B20" s="241" t="s">
        <v>3238</v>
      </c>
      <c r="C20" s="241" t="s">
        <v>1106</v>
      </c>
      <c r="D20" s="241">
        <v>12</v>
      </c>
      <c r="E20" s="242" t="s">
        <v>3323</v>
      </c>
      <c r="F20" s="244" t="s">
        <v>3324</v>
      </c>
      <c r="G20" s="9">
        <v>1</v>
      </c>
      <c r="H20" s="9">
        <v>21</v>
      </c>
      <c r="I20" s="44" t="s">
        <v>3325</v>
      </c>
      <c r="J20" s="44" t="s">
        <v>3242</v>
      </c>
      <c r="K20" s="70" t="s">
        <v>3326</v>
      </c>
      <c r="L20" s="70" t="s">
        <v>3327</v>
      </c>
      <c r="M20" s="44" t="s">
        <v>3245</v>
      </c>
      <c r="N20" s="45" t="s">
        <v>3328</v>
      </c>
      <c r="O20" s="44" t="s">
        <v>3329</v>
      </c>
      <c r="P20" s="70" t="s">
        <v>3330</v>
      </c>
      <c r="Q20" s="44" t="s">
        <v>3331</v>
      </c>
      <c r="R20" s="16" t="s">
        <v>3332</v>
      </c>
    </row>
    <row r="21" spans="1:18" ht="95.25" customHeight="1">
      <c r="A21" s="9" t="s">
        <v>33</v>
      </c>
      <c r="B21" s="237"/>
      <c r="C21" s="237"/>
      <c r="D21" s="237"/>
      <c r="E21" s="237"/>
      <c r="F21" s="236"/>
      <c r="G21" s="9">
        <v>2</v>
      </c>
      <c r="H21" s="9">
        <v>22</v>
      </c>
      <c r="I21" s="44" t="s">
        <v>3333</v>
      </c>
      <c r="J21" s="44" t="s">
        <v>3250</v>
      </c>
      <c r="K21" s="70" t="s">
        <v>3334</v>
      </c>
      <c r="L21" s="70" t="s">
        <v>3335</v>
      </c>
      <c r="M21" s="44" t="s">
        <v>3245</v>
      </c>
      <c r="N21" s="45" t="s">
        <v>3328</v>
      </c>
      <c r="O21" s="44" t="s">
        <v>3329</v>
      </c>
      <c r="P21" s="70" t="s">
        <v>3330</v>
      </c>
      <c r="Q21" s="44" t="s">
        <v>3331</v>
      </c>
      <c r="R21" s="16" t="s">
        <v>2275</v>
      </c>
    </row>
    <row r="22" spans="1:18" ht="85.5" customHeight="1">
      <c r="A22" s="9" t="s">
        <v>33</v>
      </c>
      <c r="B22" s="241" t="s">
        <v>3238</v>
      </c>
      <c r="C22" s="241" t="s">
        <v>1106</v>
      </c>
      <c r="D22" s="241">
        <v>13</v>
      </c>
      <c r="E22" s="242" t="s">
        <v>3336</v>
      </c>
      <c r="F22" s="236"/>
      <c r="G22" s="9">
        <v>3</v>
      </c>
      <c r="H22" s="9">
        <v>23</v>
      </c>
      <c r="I22" s="44" t="s">
        <v>3337</v>
      </c>
      <c r="J22" s="44" t="s">
        <v>3250</v>
      </c>
      <c r="K22" s="70" t="s">
        <v>3338</v>
      </c>
      <c r="L22" s="70" t="s">
        <v>3339</v>
      </c>
      <c r="M22" s="44" t="s">
        <v>3245</v>
      </c>
      <c r="N22" s="45" t="s">
        <v>3328</v>
      </c>
      <c r="O22" s="44" t="s">
        <v>3329</v>
      </c>
      <c r="P22" s="70" t="s">
        <v>3330</v>
      </c>
      <c r="Q22" s="44" t="s">
        <v>3331</v>
      </c>
      <c r="R22" s="16" t="s">
        <v>3340</v>
      </c>
    </row>
    <row r="23" spans="1:18" ht="68.25" customHeight="1">
      <c r="A23" s="9" t="s">
        <v>33</v>
      </c>
      <c r="B23" s="237"/>
      <c r="C23" s="237"/>
      <c r="D23" s="237"/>
      <c r="E23" s="237"/>
      <c r="F23" s="237"/>
      <c r="G23" s="9">
        <v>4</v>
      </c>
      <c r="H23" s="9">
        <v>24</v>
      </c>
      <c r="I23" s="44" t="s">
        <v>3341</v>
      </c>
      <c r="J23" s="44" t="s">
        <v>3250</v>
      </c>
      <c r="K23" s="70" t="s">
        <v>3342</v>
      </c>
      <c r="L23" s="70" t="s">
        <v>3343</v>
      </c>
      <c r="M23" s="44" t="s">
        <v>3266</v>
      </c>
      <c r="N23" s="45" t="s">
        <v>3328</v>
      </c>
      <c r="O23" s="44" t="s">
        <v>3329</v>
      </c>
      <c r="P23" s="70" t="s">
        <v>3330</v>
      </c>
      <c r="Q23" s="44" t="s">
        <v>3331</v>
      </c>
      <c r="R23" s="16" t="s">
        <v>3344</v>
      </c>
    </row>
    <row r="24" spans="1:18" ht="101.25" customHeight="1">
      <c r="A24" s="53" t="s">
        <v>33</v>
      </c>
      <c r="B24" s="53" t="s">
        <v>3238</v>
      </c>
      <c r="C24" s="53" t="s">
        <v>1106</v>
      </c>
      <c r="D24" s="53">
        <v>14</v>
      </c>
      <c r="E24" s="55" t="s">
        <v>3345</v>
      </c>
      <c r="F24" s="53"/>
      <c r="G24" s="53" t="s">
        <v>1750</v>
      </c>
      <c r="H24" s="53" t="s">
        <v>3346</v>
      </c>
      <c r="I24" s="64" t="s">
        <v>3347</v>
      </c>
      <c r="J24" s="53"/>
      <c r="K24" s="53"/>
      <c r="L24" s="53"/>
      <c r="M24" s="53" t="s">
        <v>3296</v>
      </c>
      <c r="N24" s="55" t="s">
        <v>3296</v>
      </c>
      <c r="O24" s="53" t="s">
        <v>2850</v>
      </c>
      <c r="P24" s="53" t="s">
        <v>3296</v>
      </c>
      <c r="Q24" s="53"/>
      <c r="R24" s="16"/>
    </row>
    <row r="25" spans="1:18" ht="95.25" customHeight="1">
      <c r="A25" s="241" t="s">
        <v>33</v>
      </c>
      <c r="B25" s="241" t="s">
        <v>3238</v>
      </c>
      <c r="C25" s="241" t="s">
        <v>1106</v>
      </c>
      <c r="D25" s="241">
        <v>15</v>
      </c>
      <c r="E25" s="242" t="s">
        <v>3348</v>
      </c>
      <c r="F25" s="244" t="s">
        <v>3324</v>
      </c>
      <c r="G25" s="9">
        <v>1</v>
      </c>
      <c r="H25" s="9">
        <v>27</v>
      </c>
      <c r="I25" s="44" t="s">
        <v>3349</v>
      </c>
      <c r="J25" s="44" t="s">
        <v>3250</v>
      </c>
      <c r="K25" s="70" t="s">
        <v>3350</v>
      </c>
      <c r="L25" s="70" t="s">
        <v>3351</v>
      </c>
      <c r="M25" s="71" t="s">
        <v>3245</v>
      </c>
      <c r="N25" s="45" t="s">
        <v>3352</v>
      </c>
      <c r="O25" s="44" t="s">
        <v>3353</v>
      </c>
      <c r="P25" s="44" t="s">
        <v>3354</v>
      </c>
      <c r="Q25" s="44" t="s">
        <v>3355</v>
      </c>
      <c r="R25" s="16" t="s">
        <v>2102</v>
      </c>
    </row>
    <row r="26" spans="1:18" ht="83.25" customHeight="1">
      <c r="A26" s="237"/>
      <c r="B26" s="237"/>
      <c r="C26" s="237"/>
      <c r="D26" s="237"/>
      <c r="E26" s="237"/>
      <c r="F26" s="236"/>
      <c r="G26" s="9">
        <v>2</v>
      </c>
      <c r="H26" s="9">
        <v>28</v>
      </c>
      <c r="I26" s="44" t="s">
        <v>3356</v>
      </c>
      <c r="J26" s="44" t="s">
        <v>3250</v>
      </c>
      <c r="K26" s="70" t="s">
        <v>3357</v>
      </c>
      <c r="L26" s="70" t="s">
        <v>3358</v>
      </c>
      <c r="M26" s="71" t="s">
        <v>3245</v>
      </c>
      <c r="N26" s="45" t="s">
        <v>3352</v>
      </c>
      <c r="O26" s="44" t="s">
        <v>3353</v>
      </c>
      <c r="P26" s="44" t="s">
        <v>3354</v>
      </c>
      <c r="Q26" s="44" t="s">
        <v>3355</v>
      </c>
      <c r="R26" s="16" t="s">
        <v>3359</v>
      </c>
    </row>
    <row r="27" spans="1:18" ht="75.75" customHeight="1">
      <c r="A27" s="241" t="s">
        <v>33</v>
      </c>
      <c r="B27" s="241" t="s">
        <v>3238</v>
      </c>
      <c r="C27" s="241" t="s">
        <v>1106</v>
      </c>
      <c r="D27" s="241">
        <v>16</v>
      </c>
      <c r="E27" s="242" t="s">
        <v>3360</v>
      </c>
      <c r="F27" s="236"/>
      <c r="G27" s="9">
        <v>3</v>
      </c>
      <c r="H27" s="9">
        <v>29</v>
      </c>
      <c r="I27" s="44" t="s">
        <v>3361</v>
      </c>
      <c r="J27" s="44" t="s">
        <v>3250</v>
      </c>
      <c r="K27" s="70" t="s">
        <v>3362</v>
      </c>
      <c r="L27" s="70" t="s">
        <v>3363</v>
      </c>
      <c r="M27" s="71" t="s">
        <v>3245</v>
      </c>
      <c r="N27" s="45" t="s">
        <v>3352</v>
      </c>
      <c r="O27" s="44" t="s">
        <v>3353</v>
      </c>
      <c r="P27" s="44" t="s">
        <v>3354</v>
      </c>
      <c r="Q27" s="44" t="s">
        <v>3355</v>
      </c>
      <c r="R27" s="16" t="s">
        <v>3340</v>
      </c>
    </row>
    <row r="28" spans="1:18" ht="256.5" customHeight="1">
      <c r="A28" s="237"/>
      <c r="B28" s="237"/>
      <c r="C28" s="237"/>
      <c r="D28" s="237"/>
      <c r="E28" s="237"/>
      <c r="F28" s="245"/>
      <c r="G28" s="9">
        <v>4</v>
      </c>
      <c r="H28" s="9">
        <v>30</v>
      </c>
      <c r="I28" s="44" t="s">
        <v>3364</v>
      </c>
      <c r="J28" s="44" t="s">
        <v>3250</v>
      </c>
      <c r="K28" s="70" t="s">
        <v>3365</v>
      </c>
      <c r="L28" s="70" t="s">
        <v>3366</v>
      </c>
      <c r="M28" s="44" t="s">
        <v>3266</v>
      </c>
      <c r="N28" s="45" t="s">
        <v>3352</v>
      </c>
      <c r="O28" s="44" t="s">
        <v>3353</v>
      </c>
      <c r="P28" s="44" t="s">
        <v>3354</v>
      </c>
      <c r="Q28" s="44" t="s">
        <v>3355</v>
      </c>
      <c r="R28" s="16" t="s">
        <v>3365</v>
      </c>
    </row>
    <row r="29" spans="1:18" ht="54.75" customHeight="1">
      <c r="A29" s="61" t="s">
        <v>33</v>
      </c>
      <c r="B29" s="61" t="s">
        <v>3238</v>
      </c>
      <c r="C29" s="61" t="s">
        <v>1106</v>
      </c>
      <c r="D29" s="61">
        <v>17</v>
      </c>
      <c r="E29" s="62" t="s">
        <v>3367</v>
      </c>
      <c r="F29" s="61"/>
      <c r="G29" s="61" t="s">
        <v>1750</v>
      </c>
      <c r="H29" s="61" t="s">
        <v>3368</v>
      </c>
      <c r="I29" s="61" t="s">
        <v>3316</v>
      </c>
      <c r="J29" s="61"/>
      <c r="K29" s="61"/>
      <c r="L29" s="61"/>
      <c r="M29" s="61"/>
      <c r="N29" s="62" t="s">
        <v>3296</v>
      </c>
      <c r="O29" s="61" t="s">
        <v>3296</v>
      </c>
      <c r="P29" s="61" t="s">
        <v>3296</v>
      </c>
      <c r="Q29" s="61" t="s">
        <v>3296</v>
      </c>
      <c r="R29" s="63"/>
    </row>
    <row r="30" spans="1:18" ht="78.75" customHeight="1">
      <c r="A30" s="241" t="s">
        <v>33</v>
      </c>
      <c r="B30" s="241" t="s">
        <v>3238</v>
      </c>
      <c r="C30" s="241" t="s">
        <v>1106</v>
      </c>
      <c r="D30" s="241">
        <v>18</v>
      </c>
      <c r="E30" s="242" t="s">
        <v>3369</v>
      </c>
      <c r="F30" s="241" t="s">
        <v>3370</v>
      </c>
      <c r="G30" s="9">
        <v>1</v>
      </c>
      <c r="H30" s="9">
        <v>33</v>
      </c>
      <c r="I30" s="44" t="s">
        <v>3371</v>
      </c>
      <c r="J30" s="44" t="s">
        <v>3250</v>
      </c>
      <c r="K30" s="70" t="s">
        <v>3372</v>
      </c>
      <c r="L30" s="70" t="s">
        <v>3373</v>
      </c>
      <c r="M30" s="44" t="s">
        <v>3245</v>
      </c>
      <c r="N30" s="45" t="s">
        <v>3278</v>
      </c>
      <c r="O30" s="44" t="s">
        <v>3279</v>
      </c>
      <c r="P30" s="44" t="s">
        <v>3374</v>
      </c>
      <c r="Q30" s="44" t="s">
        <v>3375</v>
      </c>
      <c r="R30" s="16" t="s">
        <v>2850</v>
      </c>
    </row>
    <row r="31" spans="1:18" ht="93.75" customHeight="1">
      <c r="A31" s="237"/>
      <c r="B31" s="237"/>
      <c r="C31" s="237"/>
      <c r="D31" s="237"/>
      <c r="E31" s="237"/>
      <c r="F31" s="236"/>
      <c r="G31" s="9">
        <v>2</v>
      </c>
      <c r="H31" s="9">
        <v>34</v>
      </c>
      <c r="I31" s="44" t="s">
        <v>3376</v>
      </c>
      <c r="J31" s="44" t="s">
        <v>3242</v>
      </c>
      <c r="K31" s="70" t="s">
        <v>3377</v>
      </c>
      <c r="L31" s="70" t="s">
        <v>3378</v>
      </c>
      <c r="M31" s="44" t="s">
        <v>3245</v>
      </c>
      <c r="N31" s="45" t="s">
        <v>3379</v>
      </c>
      <c r="O31" s="44" t="s">
        <v>3380</v>
      </c>
      <c r="P31" s="44" t="s">
        <v>3374</v>
      </c>
      <c r="Q31" s="44" t="s">
        <v>3375</v>
      </c>
      <c r="R31" s="16" t="s">
        <v>2850</v>
      </c>
    </row>
    <row r="32" spans="1:18" ht="86.25" customHeight="1">
      <c r="A32" s="241" t="s">
        <v>33</v>
      </c>
      <c r="B32" s="241" t="s">
        <v>3238</v>
      </c>
      <c r="C32" s="241" t="s">
        <v>1106</v>
      </c>
      <c r="D32" s="241">
        <v>19</v>
      </c>
      <c r="E32" s="242" t="s">
        <v>3381</v>
      </c>
      <c r="F32" s="236"/>
      <c r="G32" s="9">
        <v>3</v>
      </c>
      <c r="H32" s="9">
        <v>35</v>
      </c>
      <c r="I32" s="44" t="s">
        <v>3382</v>
      </c>
      <c r="J32" s="44" t="s">
        <v>3250</v>
      </c>
      <c r="K32" s="70" t="s">
        <v>3383</v>
      </c>
      <c r="L32" s="70" t="s">
        <v>3384</v>
      </c>
      <c r="M32" s="44" t="s">
        <v>3245</v>
      </c>
      <c r="N32" s="45" t="s">
        <v>3385</v>
      </c>
      <c r="O32" s="44" t="s">
        <v>3386</v>
      </c>
      <c r="P32" s="44" t="s">
        <v>3374</v>
      </c>
      <c r="Q32" s="44" t="s">
        <v>3375</v>
      </c>
      <c r="R32" s="16" t="s">
        <v>2102</v>
      </c>
    </row>
    <row r="33" spans="1:18" ht="88.5" customHeight="1">
      <c r="A33" s="237"/>
      <c r="B33" s="237"/>
      <c r="C33" s="237"/>
      <c r="D33" s="237"/>
      <c r="E33" s="237"/>
      <c r="F33" s="236"/>
      <c r="G33" s="9">
        <v>4</v>
      </c>
      <c r="H33" s="9">
        <v>36</v>
      </c>
      <c r="I33" s="44" t="s">
        <v>3387</v>
      </c>
      <c r="J33" s="44" t="s">
        <v>3250</v>
      </c>
      <c r="K33" s="70" t="s">
        <v>3388</v>
      </c>
      <c r="L33" s="70" t="s">
        <v>3389</v>
      </c>
      <c r="M33" s="44" t="s">
        <v>3266</v>
      </c>
      <c r="N33" s="45" t="s">
        <v>3379</v>
      </c>
      <c r="O33" s="44" t="s">
        <v>3380</v>
      </c>
      <c r="P33" s="44" t="s">
        <v>3374</v>
      </c>
      <c r="Q33" s="44" t="s">
        <v>3375</v>
      </c>
      <c r="R33" s="16" t="s">
        <v>2211</v>
      </c>
    </row>
    <row r="34" spans="1:18" ht="150" customHeight="1">
      <c r="A34" s="53" t="s">
        <v>33</v>
      </c>
      <c r="B34" s="53" t="s">
        <v>3238</v>
      </c>
      <c r="C34" s="53" t="s">
        <v>1106</v>
      </c>
      <c r="D34" s="53">
        <v>20</v>
      </c>
      <c r="E34" s="55" t="s">
        <v>3390</v>
      </c>
      <c r="F34" s="53"/>
      <c r="G34" s="53" t="s">
        <v>1750</v>
      </c>
      <c r="H34" s="53" t="s">
        <v>3391</v>
      </c>
      <c r="I34" s="64" t="s">
        <v>3392</v>
      </c>
      <c r="J34" s="53"/>
      <c r="K34" s="53"/>
      <c r="L34" s="53"/>
      <c r="M34" s="53" t="s">
        <v>3296</v>
      </c>
      <c r="N34" s="55" t="s">
        <v>3296</v>
      </c>
      <c r="O34" s="53" t="s">
        <v>2850</v>
      </c>
      <c r="P34" s="53" t="s">
        <v>3296</v>
      </c>
      <c r="Q34" s="53"/>
      <c r="R34" s="57"/>
    </row>
    <row r="35" spans="1:18" ht="51.75" customHeight="1">
      <c r="A35" s="65" t="s">
        <v>33</v>
      </c>
      <c r="B35" s="65" t="s">
        <v>3238</v>
      </c>
      <c r="C35" s="65" t="s">
        <v>1106</v>
      </c>
      <c r="D35" s="65">
        <v>21</v>
      </c>
      <c r="E35" s="72" t="s">
        <v>3393</v>
      </c>
      <c r="F35" s="67"/>
      <c r="G35" s="65" t="s">
        <v>1750</v>
      </c>
      <c r="H35" s="65" t="s">
        <v>3394</v>
      </c>
      <c r="I35" s="65" t="s">
        <v>3322</v>
      </c>
      <c r="J35" s="65"/>
      <c r="K35" s="65"/>
      <c r="L35" s="65"/>
      <c r="M35" s="65"/>
      <c r="N35" s="68"/>
      <c r="O35" s="65"/>
      <c r="P35" s="65"/>
      <c r="Q35" s="65"/>
      <c r="R35" s="69"/>
    </row>
    <row r="36" spans="1:18" ht="99" customHeight="1">
      <c r="A36" s="73" t="s">
        <v>3395</v>
      </c>
      <c r="B36" s="241" t="s">
        <v>3238</v>
      </c>
      <c r="C36" s="241" t="s">
        <v>542</v>
      </c>
      <c r="D36" s="246">
        <v>26</v>
      </c>
      <c r="E36" s="247" t="s">
        <v>3396</v>
      </c>
      <c r="F36" s="246" t="s">
        <v>3397</v>
      </c>
      <c r="G36" s="73">
        <v>1</v>
      </c>
      <c r="H36" s="73">
        <v>1</v>
      </c>
      <c r="I36" s="74" t="s">
        <v>3398</v>
      </c>
      <c r="J36" s="73" t="s">
        <v>3250</v>
      </c>
      <c r="K36" s="75" t="s">
        <v>3399</v>
      </c>
      <c r="L36" s="73" t="s">
        <v>3400</v>
      </c>
      <c r="M36" s="74" t="s">
        <v>3245</v>
      </c>
      <c r="N36" s="76" t="s">
        <v>3401</v>
      </c>
      <c r="O36" s="74" t="s">
        <v>3402</v>
      </c>
      <c r="P36" s="74" t="s">
        <v>3245</v>
      </c>
      <c r="Q36" s="74" t="s">
        <v>3245</v>
      </c>
      <c r="R36" s="74" t="s">
        <v>3245</v>
      </c>
    </row>
    <row r="37" spans="1:18" ht="99" customHeight="1">
      <c r="A37" s="73" t="s">
        <v>3395</v>
      </c>
      <c r="B37" s="237"/>
      <c r="C37" s="237"/>
      <c r="D37" s="237"/>
      <c r="E37" s="237"/>
      <c r="F37" s="236"/>
      <c r="G37" s="73">
        <v>2</v>
      </c>
      <c r="H37" s="73">
        <v>2</v>
      </c>
      <c r="I37" s="74" t="s">
        <v>3403</v>
      </c>
      <c r="J37" s="73" t="s">
        <v>3250</v>
      </c>
      <c r="K37" s="75" t="s">
        <v>3404</v>
      </c>
      <c r="L37" s="73" t="s">
        <v>3405</v>
      </c>
      <c r="M37" s="74" t="s">
        <v>3245</v>
      </c>
      <c r="N37" s="76" t="s">
        <v>3406</v>
      </c>
      <c r="O37" s="74" t="s">
        <v>3407</v>
      </c>
      <c r="P37" s="74" t="s">
        <v>3245</v>
      </c>
      <c r="Q37" s="74" t="s">
        <v>3245</v>
      </c>
      <c r="R37" s="74" t="s">
        <v>3245</v>
      </c>
    </row>
    <row r="38" spans="1:18" ht="99" customHeight="1">
      <c r="A38" s="73" t="s">
        <v>3395</v>
      </c>
      <c r="B38" s="241" t="s">
        <v>3238</v>
      </c>
      <c r="C38" s="241" t="s">
        <v>542</v>
      </c>
      <c r="D38" s="246">
        <v>27</v>
      </c>
      <c r="E38" s="247" t="s">
        <v>3408</v>
      </c>
      <c r="F38" s="236"/>
      <c r="G38" s="73">
        <v>3</v>
      </c>
      <c r="H38" s="73">
        <v>3</v>
      </c>
      <c r="I38" s="74" t="s">
        <v>3409</v>
      </c>
      <c r="J38" s="73" t="s">
        <v>3250</v>
      </c>
      <c r="K38" s="75" t="s">
        <v>3410</v>
      </c>
      <c r="L38" s="73" t="s">
        <v>3411</v>
      </c>
      <c r="M38" s="74" t="s">
        <v>3245</v>
      </c>
      <c r="N38" s="76" t="s">
        <v>3401</v>
      </c>
      <c r="O38" s="74" t="s">
        <v>3402</v>
      </c>
      <c r="P38" s="74" t="s">
        <v>3245</v>
      </c>
      <c r="Q38" s="74" t="s">
        <v>3245</v>
      </c>
      <c r="R38" s="74" t="s">
        <v>3245</v>
      </c>
    </row>
    <row r="39" spans="1:18" ht="99" customHeight="1">
      <c r="A39" s="73" t="s">
        <v>3395</v>
      </c>
      <c r="B39" s="237"/>
      <c r="C39" s="237"/>
      <c r="D39" s="237"/>
      <c r="E39" s="237"/>
      <c r="F39" s="237"/>
      <c r="G39" s="73">
        <v>4</v>
      </c>
      <c r="H39" s="73">
        <v>4</v>
      </c>
      <c r="I39" s="74" t="s">
        <v>3412</v>
      </c>
      <c r="J39" s="73" t="s">
        <v>3250</v>
      </c>
      <c r="K39" s="75" t="s">
        <v>3413</v>
      </c>
      <c r="L39" s="73" t="s">
        <v>3414</v>
      </c>
      <c r="M39" s="74" t="s">
        <v>3266</v>
      </c>
      <c r="N39" s="76" t="s">
        <v>3401</v>
      </c>
      <c r="O39" s="74" t="s">
        <v>3402</v>
      </c>
      <c r="P39" s="74" t="s">
        <v>3245</v>
      </c>
      <c r="Q39" s="74" t="s">
        <v>3245</v>
      </c>
      <c r="R39" s="74" t="s">
        <v>3245</v>
      </c>
    </row>
    <row r="40" spans="1:18" ht="99" customHeight="1">
      <c r="A40" s="248" t="s">
        <v>3395</v>
      </c>
      <c r="B40" s="241" t="s">
        <v>3238</v>
      </c>
      <c r="C40" s="241" t="s">
        <v>542</v>
      </c>
      <c r="D40" s="248">
        <v>28</v>
      </c>
      <c r="E40" s="250" t="s">
        <v>3415</v>
      </c>
      <c r="F40" s="264" t="s">
        <v>3416</v>
      </c>
      <c r="G40" s="73">
        <v>1</v>
      </c>
      <c r="H40" s="74">
        <v>5</v>
      </c>
      <c r="I40" s="74" t="s">
        <v>3417</v>
      </c>
      <c r="J40" s="74" t="s">
        <v>3242</v>
      </c>
      <c r="K40" s="74" t="s">
        <v>3418</v>
      </c>
      <c r="L40" s="74" t="s">
        <v>3419</v>
      </c>
      <c r="M40" s="74" t="s">
        <v>3245</v>
      </c>
      <c r="N40" s="76" t="s">
        <v>3420</v>
      </c>
      <c r="O40" s="74" t="s">
        <v>3421</v>
      </c>
      <c r="P40" s="74" t="s">
        <v>3245</v>
      </c>
      <c r="Q40" s="74" t="s">
        <v>3245</v>
      </c>
      <c r="R40" s="77" t="s">
        <v>2280</v>
      </c>
    </row>
    <row r="41" spans="1:18" ht="99" customHeight="1">
      <c r="A41" s="237"/>
      <c r="B41" s="237"/>
      <c r="C41" s="237"/>
      <c r="D41" s="236"/>
      <c r="E41" s="236"/>
      <c r="F41" s="236"/>
      <c r="G41" s="73">
        <v>2</v>
      </c>
      <c r="H41" s="74">
        <v>6</v>
      </c>
      <c r="I41" s="74" t="s">
        <v>3422</v>
      </c>
      <c r="J41" s="74" t="s">
        <v>3242</v>
      </c>
      <c r="K41" s="74" t="s">
        <v>3423</v>
      </c>
      <c r="L41" s="74" t="s">
        <v>3424</v>
      </c>
      <c r="M41" s="74" t="s">
        <v>3245</v>
      </c>
      <c r="N41" s="76" t="s">
        <v>3420</v>
      </c>
      <c r="O41" s="74" t="s">
        <v>3421</v>
      </c>
      <c r="P41" s="74" t="s">
        <v>3245</v>
      </c>
      <c r="Q41" s="74" t="s">
        <v>3245</v>
      </c>
      <c r="R41" s="77" t="s">
        <v>2211</v>
      </c>
    </row>
    <row r="42" spans="1:18" ht="99" customHeight="1">
      <c r="A42" s="248" t="s">
        <v>3395</v>
      </c>
      <c r="B42" s="241" t="s">
        <v>3238</v>
      </c>
      <c r="C42" s="241" t="s">
        <v>542</v>
      </c>
      <c r="D42" s="248">
        <v>29</v>
      </c>
      <c r="E42" s="249" t="s">
        <v>3425</v>
      </c>
      <c r="F42" s="236"/>
      <c r="G42" s="73">
        <v>3</v>
      </c>
      <c r="H42" s="74">
        <v>7</v>
      </c>
      <c r="I42" s="73" t="s">
        <v>3426</v>
      </c>
      <c r="J42" s="73" t="s">
        <v>3250</v>
      </c>
      <c r="K42" s="73" t="s">
        <v>3427</v>
      </c>
      <c r="L42" s="73" t="s">
        <v>3428</v>
      </c>
      <c r="M42" s="74" t="s">
        <v>3245</v>
      </c>
      <c r="N42" s="76" t="s">
        <v>3420</v>
      </c>
      <c r="O42" s="74" t="s">
        <v>3421</v>
      </c>
      <c r="P42" s="74" t="s">
        <v>3245</v>
      </c>
      <c r="Q42" s="74" t="s">
        <v>3245</v>
      </c>
      <c r="R42" s="77" t="s">
        <v>2211</v>
      </c>
    </row>
    <row r="43" spans="1:18" ht="99" customHeight="1">
      <c r="A43" s="237"/>
      <c r="B43" s="237"/>
      <c r="C43" s="237"/>
      <c r="D43" s="237"/>
      <c r="E43" s="237"/>
      <c r="F43" s="237"/>
      <c r="G43" s="73">
        <v>4</v>
      </c>
      <c r="H43" s="74">
        <v>8</v>
      </c>
      <c r="I43" s="73" t="s">
        <v>3429</v>
      </c>
      <c r="J43" s="73" t="s">
        <v>3430</v>
      </c>
      <c r="K43" s="73" t="s">
        <v>3431</v>
      </c>
      <c r="L43" s="73" t="s">
        <v>3432</v>
      </c>
      <c r="M43" s="74" t="s">
        <v>3266</v>
      </c>
      <c r="N43" s="76" t="s">
        <v>3420</v>
      </c>
      <c r="O43" s="74" t="s">
        <v>3421</v>
      </c>
      <c r="P43" s="74" t="s">
        <v>3245</v>
      </c>
      <c r="Q43" s="74" t="s">
        <v>3245</v>
      </c>
      <c r="R43" s="77" t="s">
        <v>2211</v>
      </c>
    </row>
    <row r="44" spans="1:18" ht="99" customHeight="1">
      <c r="A44" s="78" t="s">
        <v>3395</v>
      </c>
      <c r="B44" s="78" t="s">
        <v>3238</v>
      </c>
      <c r="C44" s="79" t="s">
        <v>542</v>
      </c>
      <c r="D44" s="78">
        <v>30</v>
      </c>
      <c r="E44" s="80" t="s">
        <v>3433</v>
      </c>
      <c r="F44" s="78" t="s">
        <v>3434</v>
      </c>
      <c r="G44" s="81" t="s">
        <v>1136</v>
      </c>
      <c r="H44" s="82" t="s">
        <v>3294</v>
      </c>
      <c r="I44" s="78" t="s">
        <v>3434</v>
      </c>
      <c r="J44" s="83"/>
      <c r="K44" s="83"/>
      <c r="L44" s="83"/>
      <c r="M44" s="83"/>
      <c r="N44" s="84"/>
      <c r="O44" s="83"/>
      <c r="P44" s="83"/>
      <c r="Q44" s="83"/>
      <c r="R44" s="83"/>
    </row>
    <row r="45" spans="1:18" ht="99" customHeight="1">
      <c r="A45" s="248" t="s">
        <v>3395</v>
      </c>
      <c r="B45" s="241" t="s">
        <v>3238</v>
      </c>
      <c r="C45" s="241" t="s">
        <v>542</v>
      </c>
      <c r="D45" s="251">
        <v>31</v>
      </c>
      <c r="E45" s="249" t="s">
        <v>3435</v>
      </c>
      <c r="F45" s="248" t="s">
        <v>3416</v>
      </c>
      <c r="G45" s="74">
        <v>5</v>
      </c>
      <c r="H45" s="74">
        <v>11</v>
      </c>
      <c r="I45" s="74" t="s">
        <v>3436</v>
      </c>
      <c r="J45" s="74" t="s">
        <v>3250</v>
      </c>
      <c r="K45" s="74" t="s">
        <v>3437</v>
      </c>
      <c r="L45" s="74" t="s">
        <v>3438</v>
      </c>
      <c r="M45" s="74" t="s">
        <v>3245</v>
      </c>
      <c r="N45" s="76" t="s">
        <v>3420</v>
      </c>
      <c r="O45" s="74" t="s">
        <v>3421</v>
      </c>
      <c r="P45" s="74" t="s">
        <v>3245</v>
      </c>
      <c r="Q45" s="74" t="s">
        <v>3245</v>
      </c>
      <c r="R45" s="85" t="s">
        <v>3439</v>
      </c>
    </row>
    <row r="46" spans="1:18" ht="99" customHeight="1">
      <c r="A46" s="237"/>
      <c r="B46" s="237"/>
      <c r="C46" s="237"/>
      <c r="D46" s="252"/>
      <c r="E46" s="237"/>
      <c r="F46" s="236"/>
      <c r="G46" s="74">
        <v>6</v>
      </c>
      <c r="H46" s="86">
        <v>12</v>
      </c>
      <c r="I46" s="74" t="s">
        <v>3440</v>
      </c>
      <c r="J46" s="74" t="s">
        <v>3250</v>
      </c>
      <c r="K46" s="74" t="s">
        <v>3441</v>
      </c>
      <c r="L46" s="74" t="s">
        <v>3442</v>
      </c>
      <c r="M46" s="74" t="s">
        <v>3245</v>
      </c>
      <c r="N46" s="76" t="s">
        <v>3420</v>
      </c>
      <c r="O46" s="74" t="s">
        <v>3421</v>
      </c>
      <c r="P46" s="74" t="s">
        <v>3245</v>
      </c>
      <c r="Q46" s="74" t="s">
        <v>3245</v>
      </c>
      <c r="R46" s="77" t="s">
        <v>3439</v>
      </c>
    </row>
    <row r="47" spans="1:18" ht="99" customHeight="1">
      <c r="A47" s="73" t="s">
        <v>3395</v>
      </c>
      <c r="B47" s="241" t="s">
        <v>3238</v>
      </c>
      <c r="C47" s="241" t="s">
        <v>542</v>
      </c>
      <c r="D47" s="251">
        <v>32</v>
      </c>
      <c r="E47" s="249" t="s">
        <v>3443</v>
      </c>
      <c r="F47" s="236"/>
      <c r="G47" s="73">
        <v>7</v>
      </c>
      <c r="H47" s="87">
        <v>13</v>
      </c>
      <c r="I47" s="73" t="s">
        <v>3444</v>
      </c>
      <c r="J47" s="73" t="s">
        <v>3250</v>
      </c>
      <c r="K47" s="73" t="s">
        <v>3445</v>
      </c>
      <c r="L47" s="73" t="s">
        <v>3446</v>
      </c>
      <c r="M47" s="74" t="s">
        <v>3245</v>
      </c>
      <c r="N47" s="76" t="s">
        <v>3420</v>
      </c>
      <c r="O47" s="74" t="s">
        <v>3421</v>
      </c>
      <c r="P47" s="74" t="s">
        <v>3245</v>
      </c>
      <c r="Q47" s="74" t="s">
        <v>3245</v>
      </c>
      <c r="R47" s="77" t="s">
        <v>3439</v>
      </c>
    </row>
    <row r="48" spans="1:18" ht="99" customHeight="1">
      <c r="A48" s="73" t="s">
        <v>3395</v>
      </c>
      <c r="B48" s="237"/>
      <c r="C48" s="237"/>
      <c r="D48" s="252"/>
      <c r="E48" s="237"/>
      <c r="F48" s="237"/>
      <c r="G48" s="73">
        <v>8</v>
      </c>
      <c r="H48" s="73">
        <v>14</v>
      </c>
      <c r="I48" s="73" t="s">
        <v>3447</v>
      </c>
      <c r="J48" s="73" t="s">
        <v>3250</v>
      </c>
      <c r="K48" s="73" t="s">
        <v>3448</v>
      </c>
      <c r="L48" s="73" t="s">
        <v>3449</v>
      </c>
      <c r="M48" s="74" t="s">
        <v>3266</v>
      </c>
      <c r="N48" s="76" t="s">
        <v>3420</v>
      </c>
      <c r="O48" s="74" t="s">
        <v>3421</v>
      </c>
      <c r="P48" s="74" t="s">
        <v>3245</v>
      </c>
      <c r="Q48" s="74" t="s">
        <v>3245</v>
      </c>
      <c r="R48" s="77" t="s">
        <v>1162</v>
      </c>
    </row>
    <row r="49" spans="1:18" ht="99" customHeight="1">
      <c r="A49" s="88" t="s">
        <v>3395</v>
      </c>
      <c r="B49" s="88" t="s">
        <v>3238</v>
      </c>
      <c r="C49" s="89" t="s">
        <v>542</v>
      </c>
      <c r="D49" s="88">
        <v>33</v>
      </c>
      <c r="E49" s="90" t="s">
        <v>3450</v>
      </c>
      <c r="F49" s="88" t="s">
        <v>3316</v>
      </c>
      <c r="G49" s="88" t="s">
        <v>1136</v>
      </c>
      <c r="H49" s="88" t="s">
        <v>3315</v>
      </c>
      <c r="I49" s="88" t="s">
        <v>3316</v>
      </c>
      <c r="J49" s="91"/>
      <c r="K49" s="91"/>
      <c r="L49" s="91"/>
      <c r="M49" s="91"/>
      <c r="N49" s="92"/>
      <c r="O49" s="91"/>
      <c r="P49" s="91"/>
      <c r="Q49" s="91"/>
      <c r="R49" s="91"/>
    </row>
    <row r="50" spans="1:18" ht="99" customHeight="1">
      <c r="A50" s="83" t="s">
        <v>3395</v>
      </c>
      <c r="B50" s="78" t="s">
        <v>3238</v>
      </c>
      <c r="C50" s="79" t="s">
        <v>542</v>
      </c>
      <c r="D50" s="83">
        <v>34</v>
      </c>
      <c r="E50" s="84" t="s">
        <v>3451</v>
      </c>
      <c r="F50" s="78" t="s">
        <v>3452</v>
      </c>
      <c r="G50" s="83" t="s">
        <v>1750</v>
      </c>
      <c r="H50" s="83" t="s">
        <v>3318</v>
      </c>
      <c r="I50" s="78" t="s">
        <v>3452</v>
      </c>
      <c r="J50" s="83"/>
      <c r="K50" s="83"/>
      <c r="L50" s="83"/>
      <c r="M50" s="83"/>
      <c r="N50" s="84"/>
      <c r="O50" s="83"/>
      <c r="P50" s="83"/>
      <c r="Q50" s="83"/>
      <c r="R50" s="83"/>
    </row>
    <row r="51" spans="1:18" ht="99" customHeight="1">
      <c r="A51" s="248" t="s">
        <v>3395</v>
      </c>
      <c r="B51" s="241" t="s">
        <v>3238</v>
      </c>
      <c r="C51" s="241" t="s">
        <v>1171</v>
      </c>
      <c r="D51" s="248">
        <v>35</v>
      </c>
      <c r="E51" s="249" t="s">
        <v>3453</v>
      </c>
      <c r="F51" s="248" t="s">
        <v>3454</v>
      </c>
      <c r="G51" s="74">
        <v>1</v>
      </c>
      <c r="H51" s="74">
        <v>19</v>
      </c>
      <c r="I51" s="74" t="s">
        <v>3455</v>
      </c>
      <c r="J51" s="74" t="s">
        <v>3250</v>
      </c>
      <c r="K51" s="74" t="s">
        <v>3456</v>
      </c>
      <c r="L51" s="74" t="s">
        <v>3457</v>
      </c>
      <c r="M51" s="74" t="s">
        <v>3245</v>
      </c>
      <c r="N51" s="76" t="s">
        <v>3458</v>
      </c>
      <c r="O51" s="74" t="s">
        <v>3459</v>
      </c>
      <c r="P51" s="74" t="s">
        <v>3245</v>
      </c>
      <c r="Q51" s="74" t="s">
        <v>3245</v>
      </c>
      <c r="R51" s="77" t="s">
        <v>3269</v>
      </c>
    </row>
    <row r="52" spans="1:18" ht="99" customHeight="1">
      <c r="A52" s="237"/>
      <c r="B52" s="237"/>
      <c r="C52" s="237"/>
      <c r="D52" s="237"/>
      <c r="E52" s="237"/>
      <c r="F52" s="236"/>
      <c r="G52" s="74">
        <v>2</v>
      </c>
      <c r="H52" s="74">
        <v>20</v>
      </c>
      <c r="I52" s="74" t="s">
        <v>3460</v>
      </c>
      <c r="J52" s="74" t="s">
        <v>3250</v>
      </c>
      <c r="K52" s="74" t="s">
        <v>3461</v>
      </c>
      <c r="L52" s="74" t="s">
        <v>3462</v>
      </c>
      <c r="M52" s="74" t="s">
        <v>3245</v>
      </c>
      <c r="N52" s="76" t="s">
        <v>3458</v>
      </c>
      <c r="O52" s="74" t="s">
        <v>3459</v>
      </c>
      <c r="P52" s="74" t="s">
        <v>3245</v>
      </c>
      <c r="Q52" s="74" t="s">
        <v>3245</v>
      </c>
      <c r="R52" s="77" t="s">
        <v>3269</v>
      </c>
    </row>
    <row r="53" spans="1:18" ht="99" customHeight="1">
      <c r="A53" s="248" t="s">
        <v>3395</v>
      </c>
      <c r="B53" s="241" t="s">
        <v>3238</v>
      </c>
      <c r="C53" s="241" t="s">
        <v>1171</v>
      </c>
      <c r="D53" s="248">
        <v>36</v>
      </c>
      <c r="E53" s="256" t="s">
        <v>3463</v>
      </c>
      <c r="F53" s="236"/>
      <c r="G53" s="93" t="s">
        <v>1750</v>
      </c>
      <c r="H53" s="94" t="s">
        <v>3464</v>
      </c>
      <c r="I53" s="94" t="s">
        <v>3465</v>
      </c>
      <c r="J53" s="95"/>
      <c r="K53" s="95"/>
      <c r="L53" s="95"/>
      <c r="M53" s="95"/>
      <c r="N53" s="96"/>
      <c r="O53" s="95"/>
      <c r="P53" s="95"/>
      <c r="Q53" s="95"/>
      <c r="R53" s="95"/>
    </row>
    <row r="54" spans="1:18" ht="99" customHeight="1">
      <c r="A54" s="236"/>
      <c r="B54" s="236"/>
      <c r="C54" s="236"/>
      <c r="D54" s="236"/>
      <c r="E54" s="257"/>
      <c r="F54" s="236"/>
      <c r="G54" s="97">
        <v>3</v>
      </c>
      <c r="H54" s="74">
        <v>21</v>
      </c>
      <c r="I54" s="74" t="s">
        <v>3466</v>
      </c>
      <c r="J54" s="74" t="s">
        <v>3250</v>
      </c>
      <c r="K54" s="74" t="s">
        <v>3467</v>
      </c>
      <c r="L54" s="74" t="s">
        <v>3468</v>
      </c>
      <c r="M54" s="74" t="s">
        <v>3245</v>
      </c>
      <c r="N54" s="76" t="s">
        <v>3458</v>
      </c>
      <c r="O54" s="74" t="s">
        <v>3459</v>
      </c>
      <c r="P54" s="74" t="s">
        <v>3245</v>
      </c>
      <c r="Q54" s="74" t="s">
        <v>3245</v>
      </c>
      <c r="R54" s="77" t="s">
        <v>3269</v>
      </c>
    </row>
    <row r="55" spans="1:18" ht="99" customHeight="1">
      <c r="A55" s="237"/>
      <c r="B55" s="237"/>
      <c r="C55" s="237"/>
      <c r="D55" s="237"/>
      <c r="E55" s="257"/>
      <c r="F55" s="236"/>
      <c r="G55" s="97">
        <v>4</v>
      </c>
      <c r="H55" s="74">
        <v>22</v>
      </c>
      <c r="I55" s="74" t="s">
        <v>3469</v>
      </c>
      <c r="J55" s="74" t="s">
        <v>3250</v>
      </c>
      <c r="K55" s="74" t="s">
        <v>3470</v>
      </c>
      <c r="L55" s="74" t="s">
        <v>3471</v>
      </c>
      <c r="M55" s="74" t="s">
        <v>3266</v>
      </c>
      <c r="N55" s="76" t="s">
        <v>3472</v>
      </c>
      <c r="O55" s="74" t="s">
        <v>3473</v>
      </c>
      <c r="P55" s="74" t="s">
        <v>3245</v>
      </c>
      <c r="Q55" s="74" t="s">
        <v>3245</v>
      </c>
      <c r="R55" s="77" t="s">
        <v>3269</v>
      </c>
    </row>
    <row r="56" spans="1:18" ht="99" customHeight="1">
      <c r="A56" s="88" t="s">
        <v>3395</v>
      </c>
      <c r="B56" s="88" t="s">
        <v>3238</v>
      </c>
      <c r="C56" s="89" t="s">
        <v>1171</v>
      </c>
      <c r="D56" s="88">
        <v>37</v>
      </c>
      <c r="E56" s="98" t="s">
        <v>3474</v>
      </c>
      <c r="F56" s="88" t="s">
        <v>3316</v>
      </c>
      <c r="G56" s="88">
        <v>1</v>
      </c>
      <c r="H56" s="88" t="s">
        <v>3475</v>
      </c>
      <c r="I56" s="88" t="s">
        <v>3316</v>
      </c>
      <c r="J56" s="91"/>
      <c r="K56" s="91"/>
      <c r="L56" s="91"/>
      <c r="M56" s="91"/>
      <c r="N56" s="92"/>
      <c r="O56" s="91"/>
      <c r="P56" s="91"/>
      <c r="Q56" s="91"/>
      <c r="R56" s="91"/>
    </row>
    <row r="57" spans="1:18" ht="99" customHeight="1">
      <c r="A57" s="78" t="s">
        <v>3395</v>
      </c>
      <c r="B57" s="78" t="s">
        <v>3238</v>
      </c>
      <c r="C57" s="79" t="s">
        <v>1171</v>
      </c>
      <c r="D57" s="78">
        <v>38</v>
      </c>
      <c r="E57" s="99" t="s">
        <v>3476</v>
      </c>
      <c r="F57" s="78" t="s">
        <v>3477</v>
      </c>
      <c r="G57" s="78">
        <v>3</v>
      </c>
      <c r="H57" s="78" t="s">
        <v>3346</v>
      </c>
      <c r="I57" s="78" t="s">
        <v>3477</v>
      </c>
      <c r="J57" s="83"/>
      <c r="K57" s="83"/>
      <c r="L57" s="83"/>
      <c r="M57" s="83"/>
      <c r="N57" s="84"/>
      <c r="O57" s="83"/>
      <c r="P57" s="83"/>
      <c r="Q57" s="83"/>
      <c r="R57" s="83"/>
    </row>
    <row r="58" spans="1:18" ht="99" customHeight="1">
      <c r="A58" s="248" t="s">
        <v>3395</v>
      </c>
      <c r="B58" s="241" t="s">
        <v>3238</v>
      </c>
      <c r="C58" s="241" t="s">
        <v>1171</v>
      </c>
      <c r="D58" s="248">
        <v>39</v>
      </c>
      <c r="E58" s="249" t="s">
        <v>3478</v>
      </c>
      <c r="F58" s="248" t="s">
        <v>3479</v>
      </c>
      <c r="G58" s="74">
        <v>1</v>
      </c>
      <c r="H58" s="74">
        <v>27</v>
      </c>
      <c r="I58" s="74" t="s">
        <v>3480</v>
      </c>
      <c r="J58" s="74" t="s">
        <v>3242</v>
      </c>
      <c r="K58" s="74" t="s">
        <v>3481</v>
      </c>
      <c r="L58" s="74" t="s">
        <v>3482</v>
      </c>
      <c r="M58" s="74" t="s">
        <v>3245</v>
      </c>
      <c r="N58" s="76" t="s">
        <v>3401</v>
      </c>
      <c r="O58" s="74" t="s">
        <v>3402</v>
      </c>
      <c r="P58" s="74" t="s">
        <v>3245</v>
      </c>
      <c r="Q58" s="74" t="s">
        <v>3245</v>
      </c>
      <c r="R58" s="74" t="s">
        <v>3245</v>
      </c>
    </row>
    <row r="59" spans="1:18" ht="99" customHeight="1">
      <c r="A59" s="237"/>
      <c r="B59" s="237"/>
      <c r="C59" s="237"/>
      <c r="D59" s="237"/>
      <c r="E59" s="237"/>
      <c r="F59" s="236"/>
      <c r="G59" s="73">
        <v>2</v>
      </c>
      <c r="H59" s="73">
        <v>28</v>
      </c>
      <c r="I59" s="74" t="s">
        <v>3483</v>
      </c>
      <c r="J59" s="74" t="s">
        <v>3242</v>
      </c>
      <c r="K59" s="74" t="s">
        <v>3484</v>
      </c>
      <c r="L59" s="74" t="s">
        <v>3485</v>
      </c>
      <c r="M59" s="74" t="s">
        <v>3245</v>
      </c>
      <c r="N59" s="76" t="s">
        <v>3486</v>
      </c>
      <c r="O59" s="74" t="s">
        <v>3487</v>
      </c>
      <c r="P59" s="74" t="s">
        <v>3245</v>
      </c>
      <c r="Q59" s="74" t="s">
        <v>3245</v>
      </c>
      <c r="R59" s="74" t="s">
        <v>3245</v>
      </c>
    </row>
    <row r="60" spans="1:18" ht="99" customHeight="1">
      <c r="A60" s="246" t="s">
        <v>3395</v>
      </c>
      <c r="B60" s="241" t="s">
        <v>3238</v>
      </c>
      <c r="C60" s="241" t="s">
        <v>1171</v>
      </c>
      <c r="D60" s="246">
        <v>40</v>
      </c>
      <c r="E60" s="247" t="s">
        <v>3488</v>
      </c>
      <c r="F60" s="236"/>
      <c r="G60" s="73">
        <v>3</v>
      </c>
      <c r="H60" s="73">
        <v>29</v>
      </c>
      <c r="I60" s="74" t="s">
        <v>3489</v>
      </c>
      <c r="J60" s="74" t="s">
        <v>3250</v>
      </c>
      <c r="K60" s="74" t="s">
        <v>3490</v>
      </c>
      <c r="L60" s="74" t="s">
        <v>3491</v>
      </c>
      <c r="M60" s="74" t="s">
        <v>3245</v>
      </c>
      <c r="N60" s="76" t="s">
        <v>3492</v>
      </c>
      <c r="O60" s="74" t="s">
        <v>3493</v>
      </c>
      <c r="P60" s="74" t="s">
        <v>3245</v>
      </c>
      <c r="Q60" s="74" t="s">
        <v>3245</v>
      </c>
      <c r="R60" s="74" t="s">
        <v>3245</v>
      </c>
    </row>
    <row r="61" spans="1:18" ht="99" customHeight="1">
      <c r="A61" s="236"/>
      <c r="B61" s="237"/>
      <c r="C61" s="237"/>
      <c r="D61" s="236"/>
      <c r="E61" s="236"/>
      <c r="F61" s="236"/>
      <c r="G61" s="73">
        <v>4</v>
      </c>
      <c r="H61" s="73">
        <v>30</v>
      </c>
      <c r="I61" s="74" t="s">
        <v>3494</v>
      </c>
      <c r="J61" s="74" t="s">
        <v>3250</v>
      </c>
      <c r="K61" s="74" t="s">
        <v>3495</v>
      </c>
      <c r="L61" s="74" t="s">
        <v>3496</v>
      </c>
      <c r="M61" s="74" t="s">
        <v>3266</v>
      </c>
      <c r="N61" s="76" t="s">
        <v>3492</v>
      </c>
      <c r="O61" s="74" t="s">
        <v>3493</v>
      </c>
      <c r="P61" s="74" t="s">
        <v>3245</v>
      </c>
      <c r="Q61" s="74" t="s">
        <v>3245</v>
      </c>
      <c r="R61" s="77" t="s">
        <v>3269</v>
      </c>
    </row>
    <row r="62" spans="1:18" ht="99" customHeight="1">
      <c r="A62" s="246" t="s">
        <v>3395</v>
      </c>
      <c r="B62" s="241" t="s">
        <v>3238</v>
      </c>
      <c r="C62" s="241" t="s">
        <v>1171</v>
      </c>
      <c r="D62" s="246">
        <v>41</v>
      </c>
      <c r="E62" s="253" t="s">
        <v>3497</v>
      </c>
      <c r="F62" s="236"/>
      <c r="G62" s="73">
        <v>5</v>
      </c>
      <c r="H62" s="73">
        <v>31</v>
      </c>
      <c r="I62" s="74" t="s">
        <v>3498</v>
      </c>
      <c r="J62" s="74" t="s">
        <v>3250</v>
      </c>
      <c r="K62" s="74" t="s">
        <v>3499</v>
      </c>
      <c r="L62" s="74" t="s">
        <v>3500</v>
      </c>
      <c r="M62" s="74" t="s">
        <v>3245</v>
      </c>
      <c r="N62" s="76" t="s">
        <v>3401</v>
      </c>
      <c r="O62" s="74" t="s">
        <v>3402</v>
      </c>
      <c r="P62" s="74" t="s">
        <v>3245</v>
      </c>
      <c r="Q62" s="74" t="s">
        <v>3245</v>
      </c>
      <c r="R62" s="74" t="s">
        <v>3245</v>
      </c>
    </row>
    <row r="63" spans="1:18" ht="99" customHeight="1">
      <c r="A63" s="236"/>
      <c r="B63" s="237"/>
      <c r="C63" s="237"/>
      <c r="D63" s="236"/>
      <c r="E63" s="237"/>
      <c r="F63" s="236"/>
      <c r="G63" s="100">
        <v>6</v>
      </c>
      <c r="H63" s="100">
        <v>32</v>
      </c>
      <c r="I63" s="100" t="s">
        <v>3501</v>
      </c>
      <c r="J63" s="100" t="s">
        <v>3250</v>
      </c>
      <c r="K63" s="74" t="s">
        <v>3502</v>
      </c>
      <c r="L63" s="74" t="s">
        <v>3503</v>
      </c>
      <c r="M63" s="74" t="s">
        <v>3245</v>
      </c>
      <c r="N63" s="76" t="s">
        <v>3486</v>
      </c>
      <c r="O63" s="74" t="s">
        <v>3487</v>
      </c>
      <c r="P63" s="74" t="s">
        <v>3245</v>
      </c>
      <c r="Q63" s="74" t="s">
        <v>3245</v>
      </c>
      <c r="R63" s="74" t="s">
        <v>3245</v>
      </c>
    </row>
    <row r="64" spans="1:18" ht="99" customHeight="1">
      <c r="A64" s="254" t="s">
        <v>3395</v>
      </c>
      <c r="B64" s="241" t="s">
        <v>3238</v>
      </c>
      <c r="C64" s="241" t="s">
        <v>1171</v>
      </c>
      <c r="D64" s="254">
        <v>42</v>
      </c>
      <c r="E64" s="253" t="s">
        <v>3504</v>
      </c>
      <c r="F64" s="236"/>
      <c r="G64" s="78" t="s">
        <v>1750</v>
      </c>
      <c r="H64" s="78" t="s">
        <v>3505</v>
      </c>
      <c r="I64" s="78" t="s">
        <v>3506</v>
      </c>
      <c r="J64" s="83"/>
      <c r="K64" s="83"/>
      <c r="L64" s="83"/>
      <c r="M64" s="83"/>
      <c r="N64" s="84"/>
      <c r="O64" s="83"/>
      <c r="P64" s="83"/>
      <c r="Q64" s="83"/>
      <c r="R64" s="83"/>
    </row>
    <row r="65" spans="1:18" ht="99" customHeight="1">
      <c r="A65" s="236"/>
      <c r="B65" s="236"/>
      <c r="C65" s="236"/>
      <c r="D65" s="236"/>
      <c r="E65" s="236"/>
      <c r="F65" s="236"/>
      <c r="G65" s="73">
        <v>7</v>
      </c>
      <c r="H65" s="73">
        <v>33</v>
      </c>
      <c r="I65" s="74" t="s">
        <v>3507</v>
      </c>
      <c r="J65" s="74" t="s">
        <v>3250</v>
      </c>
      <c r="K65" s="74" t="s">
        <v>3508</v>
      </c>
      <c r="L65" s="74" t="s">
        <v>3509</v>
      </c>
      <c r="M65" s="74" t="s">
        <v>3245</v>
      </c>
      <c r="N65" s="76" t="s">
        <v>3401</v>
      </c>
      <c r="O65" s="74" t="s">
        <v>3402</v>
      </c>
      <c r="P65" s="74" t="s">
        <v>3245</v>
      </c>
      <c r="Q65" s="74" t="s">
        <v>3245</v>
      </c>
      <c r="R65" s="74" t="s">
        <v>3245</v>
      </c>
    </row>
    <row r="66" spans="1:18" ht="99" customHeight="1">
      <c r="A66" s="237"/>
      <c r="B66" s="237"/>
      <c r="C66" s="237"/>
      <c r="D66" s="237"/>
      <c r="E66" s="237"/>
      <c r="F66" s="237"/>
      <c r="G66" s="73">
        <v>8</v>
      </c>
      <c r="H66" s="73">
        <v>34</v>
      </c>
      <c r="I66" s="74" t="s">
        <v>3510</v>
      </c>
      <c r="J66" s="74" t="s">
        <v>3250</v>
      </c>
      <c r="K66" s="74" t="s">
        <v>3511</v>
      </c>
      <c r="L66" s="74" t="s">
        <v>3512</v>
      </c>
      <c r="M66" s="74" t="s">
        <v>3266</v>
      </c>
      <c r="N66" s="76" t="s">
        <v>3513</v>
      </c>
      <c r="O66" s="74" t="s">
        <v>3514</v>
      </c>
      <c r="P66" s="74" t="s">
        <v>3245</v>
      </c>
      <c r="Q66" s="74" t="s">
        <v>3245</v>
      </c>
      <c r="R66" s="74" t="s">
        <v>3245</v>
      </c>
    </row>
    <row r="67" spans="1:18" ht="99" customHeight="1">
      <c r="A67" s="78" t="s">
        <v>3395</v>
      </c>
      <c r="B67" s="78" t="s">
        <v>3238</v>
      </c>
      <c r="C67" s="79" t="s">
        <v>1171</v>
      </c>
      <c r="D67" s="78">
        <v>43</v>
      </c>
      <c r="E67" s="99" t="s">
        <v>3515</v>
      </c>
      <c r="F67" s="255" t="s">
        <v>3516</v>
      </c>
      <c r="G67" s="78" t="s">
        <v>1750</v>
      </c>
      <c r="H67" s="78" t="s">
        <v>3517</v>
      </c>
      <c r="I67" s="255" t="s">
        <v>3516</v>
      </c>
      <c r="J67" s="266"/>
      <c r="K67" s="266"/>
      <c r="L67" s="266"/>
      <c r="M67" s="266"/>
      <c r="N67" s="265"/>
      <c r="O67" s="266"/>
      <c r="P67" s="266"/>
      <c r="Q67" s="266"/>
      <c r="R67" s="266"/>
    </row>
    <row r="68" spans="1:18" ht="99" customHeight="1">
      <c r="A68" s="78" t="s">
        <v>3395</v>
      </c>
      <c r="B68" s="78" t="s">
        <v>3238</v>
      </c>
      <c r="C68" s="79" t="s">
        <v>1171</v>
      </c>
      <c r="D68" s="78">
        <v>44</v>
      </c>
      <c r="E68" s="99" t="s">
        <v>3518</v>
      </c>
      <c r="F68" s="237"/>
      <c r="G68" s="78" t="s">
        <v>1750</v>
      </c>
      <c r="H68" s="78" t="s">
        <v>3391</v>
      </c>
      <c r="I68" s="237"/>
      <c r="J68" s="237"/>
      <c r="K68" s="237"/>
      <c r="L68" s="237"/>
      <c r="M68" s="237"/>
      <c r="N68" s="237"/>
      <c r="O68" s="237"/>
      <c r="P68" s="237"/>
      <c r="Q68" s="237"/>
      <c r="R68" s="237"/>
    </row>
    <row r="69" spans="1:18" ht="99" customHeight="1">
      <c r="A69" s="94" t="s">
        <v>3395</v>
      </c>
      <c r="B69" s="94" t="s">
        <v>3238</v>
      </c>
      <c r="C69" s="101" t="s">
        <v>1171</v>
      </c>
      <c r="D69" s="94">
        <v>45</v>
      </c>
      <c r="E69" s="102" t="s">
        <v>3519</v>
      </c>
      <c r="F69" s="103" t="s">
        <v>3520</v>
      </c>
      <c r="G69" s="94" t="s">
        <v>1750</v>
      </c>
      <c r="H69" s="94" t="s">
        <v>3394</v>
      </c>
      <c r="I69" s="94" t="s">
        <v>3520</v>
      </c>
      <c r="J69" s="95"/>
      <c r="K69" s="95"/>
      <c r="L69" s="95"/>
      <c r="M69" s="95"/>
      <c r="N69" s="96"/>
      <c r="O69" s="95"/>
      <c r="P69" s="95"/>
      <c r="Q69" s="95"/>
      <c r="R69" s="95"/>
    </row>
    <row r="70" spans="1:18" ht="99" customHeight="1">
      <c r="A70" s="241" t="s">
        <v>33</v>
      </c>
      <c r="B70" s="241" t="s">
        <v>1465</v>
      </c>
      <c r="C70" s="241" t="s">
        <v>1070</v>
      </c>
      <c r="D70" s="241">
        <v>1</v>
      </c>
      <c r="E70" s="242" t="s">
        <v>3521</v>
      </c>
      <c r="F70" s="244" t="s">
        <v>3522</v>
      </c>
      <c r="G70" s="9">
        <v>1</v>
      </c>
      <c r="H70" s="9">
        <v>1</v>
      </c>
      <c r="I70" s="44" t="s">
        <v>3523</v>
      </c>
      <c r="J70" s="44" t="s">
        <v>3242</v>
      </c>
      <c r="K70" s="70" t="s">
        <v>3524</v>
      </c>
      <c r="L70" s="70" t="s">
        <v>3525</v>
      </c>
      <c r="M70" s="44" t="s">
        <v>3245</v>
      </c>
      <c r="N70" s="59" t="s">
        <v>3526</v>
      </c>
      <c r="O70" s="44" t="s">
        <v>3527</v>
      </c>
      <c r="P70" s="44" t="s">
        <v>3245</v>
      </c>
      <c r="Q70" s="44" t="s">
        <v>3245</v>
      </c>
      <c r="R70" s="9" t="s">
        <v>3269</v>
      </c>
    </row>
    <row r="71" spans="1:18" ht="103.5" customHeight="1">
      <c r="A71" s="237"/>
      <c r="B71" s="237"/>
      <c r="C71" s="237"/>
      <c r="D71" s="237"/>
      <c r="E71" s="237"/>
      <c r="F71" s="236"/>
      <c r="G71" s="9">
        <v>2</v>
      </c>
      <c r="H71" s="9">
        <v>2</v>
      </c>
      <c r="I71" s="44" t="s">
        <v>3528</v>
      </c>
      <c r="J71" s="44" t="s">
        <v>3250</v>
      </c>
      <c r="K71" s="70" t="s">
        <v>3529</v>
      </c>
      <c r="L71" s="70" t="s">
        <v>3530</v>
      </c>
      <c r="M71" s="44" t="s">
        <v>3245</v>
      </c>
      <c r="N71" s="59" t="s">
        <v>3526</v>
      </c>
      <c r="O71" s="44" t="s">
        <v>3527</v>
      </c>
      <c r="P71" s="44" t="s">
        <v>3245</v>
      </c>
      <c r="Q71" s="44" t="s">
        <v>3245</v>
      </c>
      <c r="R71" s="16" t="s">
        <v>1162</v>
      </c>
    </row>
    <row r="72" spans="1:18" ht="97.5" customHeight="1">
      <c r="A72" s="241" t="s">
        <v>33</v>
      </c>
      <c r="B72" s="241" t="s">
        <v>1465</v>
      </c>
      <c r="C72" s="241" t="s">
        <v>1070</v>
      </c>
      <c r="D72" s="241">
        <v>2</v>
      </c>
      <c r="E72" s="242" t="s">
        <v>3256</v>
      </c>
      <c r="F72" s="236"/>
      <c r="G72" s="9">
        <v>3</v>
      </c>
      <c r="H72" s="9">
        <v>3</v>
      </c>
      <c r="I72" s="44" t="s">
        <v>3531</v>
      </c>
      <c r="J72" s="44" t="s">
        <v>3250</v>
      </c>
      <c r="K72" s="70" t="s">
        <v>3532</v>
      </c>
      <c r="L72" s="70" t="s">
        <v>3533</v>
      </c>
      <c r="M72" s="44" t="s">
        <v>3245</v>
      </c>
      <c r="N72" s="59" t="s">
        <v>3534</v>
      </c>
      <c r="O72" s="44" t="s">
        <v>3535</v>
      </c>
      <c r="P72" s="44" t="s">
        <v>3245</v>
      </c>
      <c r="Q72" s="44" t="s">
        <v>3245</v>
      </c>
      <c r="R72" s="16" t="s">
        <v>1162</v>
      </c>
    </row>
    <row r="73" spans="1:18" ht="134.25" customHeight="1">
      <c r="A73" s="237"/>
      <c r="B73" s="237"/>
      <c r="C73" s="237"/>
      <c r="D73" s="237"/>
      <c r="E73" s="237"/>
      <c r="F73" s="237"/>
      <c r="G73" s="9">
        <v>4</v>
      </c>
      <c r="H73" s="9">
        <v>4</v>
      </c>
      <c r="I73" s="44" t="s">
        <v>3536</v>
      </c>
      <c r="J73" s="44" t="s">
        <v>3250</v>
      </c>
      <c r="K73" s="70" t="s">
        <v>3537</v>
      </c>
      <c r="L73" s="70" t="s">
        <v>3538</v>
      </c>
      <c r="M73" s="44" t="s">
        <v>3266</v>
      </c>
      <c r="N73" s="59" t="s">
        <v>3539</v>
      </c>
      <c r="O73" s="44" t="s">
        <v>3540</v>
      </c>
      <c r="P73" s="44" t="s">
        <v>3245</v>
      </c>
      <c r="Q73" s="44" t="s">
        <v>3245</v>
      </c>
      <c r="R73" s="16" t="s">
        <v>3541</v>
      </c>
    </row>
    <row r="74" spans="1:18" ht="61.5" customHeight="1">
      <c r="A74" s="46" t="s">
        <v>33</v>
      </c>
      <c r="B74" s="46" t="s">
        <v>3542</v>
      </c>
      <c r="C74" s="46" t="s">
        <v>1070</v>
      </c>
      <c r="D74" s="47">
        <v>3</v>
      </c>
      <c r="E74" s="48" t="s">
        <v>3270</v>
      </c>
      <c r="F74" s="47" t="s">
        <v>3271</v>
      </c>
      <c r="G74" s="46"/>
      <c r="H74" s="46"/>
      <c r="I74" s="46"/>
      <c r="J74" s="46"/>
      <c r="K74" s="46"/>
      <c r="L74" s="46"/>
      <c r="M74" s="46"/>
      <c r="N74" s="49"/>
      <c r="O74" s="46"/>
      <c r="P74" s="46"/>
      <c r="Q74" s="46"/>
      <c r="R74" s="50"/>
    </row>
    <row r="75" spans="1:18" ht="121.5" customHeight="1">
      <c r="A75" s="241" t="s">
        <v>33</v>
      </c>
      <c r="B75" s="241" t="s">
        <v>1465</v>
      </c>
      <c r="C75" s="241" t="s">
        <v>1070</v>
      </c>
      <c r="D75" s="243">
        <v>4</v>
      </c>
      <c r="E75" s="259" t="s">
        <v>3272</v>
      </c>
      <c r="F75" s="244" t="s">
        <v>3522</v>
      </c>
      <c r="G75" s="9">
        <v>5</v>
      </c>
      <c r="H75" s="9">
        <v>5</v>
      </c>
      <c r="I75" s="44" t="s">
        <v>3543</v>
      </c>
      <c r="J75" s="44" t="s">
        <v>3250</v>
      </c>
      <c r="K75" s="70" t="s">
        <v>3544</v>
      </c>
      <c r="L75" s="70" t="s">
        <v>3545</v>
      </c>
      <c r="M75" s="44" t="s">
        <v>3245</v>
      </c>
      <c r="N75" s="45" t="s">
        <v>3534</v>
      </c>
      <c r="O75" s="44" t="s">
        <v>3535</v>
      </c>
      <c r="P75" s="44" t="s">
        <v>3245</v>
      </c>
      <c r="Q75" s="44" t="s">
        <v>3245</v>
      </c>
      <c r="R75" s="16" t="s">
        <v>1154</v>
      </c>
    </row>
    <row r="76" spans="1:18" ht="114" customHeight="1">
      <c r="A76" s="237"/>
      <c r="B76" s="237"/>
      <c r="C76" s="237"/>
      <c r="D76" s="237"/>
      <c r="E76" s="245"/>
      <c r="F76" s="236"/>
      <c r="G76" s="9">
        <v>6</v>
      </c>
      <c r="H76" s="9">
        <v>6</v>
      </c>
      <c r="I76" s="44" t="s">
        <v>3546</v>
      </c>
      <c r="J76" s="44" t="s">
        <v>3250</v>
      </c>
      <c r="K76" s="70" t="s">
        <v>3547</v>
      </c>
      <c r="L76" s="70" t="s">
        <v>3548</v>
      </c>
      <c r="M76" s="44" t="s">
        <v>3245</v>
      </c>
      <c r="N76" s="45" t="s">
        <v>3534</v>
      </c>
      <c r="O76" s="44" t="s">
        <v>3535</v>
      </c>
      <c r="P76" s="44" t="s">
        <v>3245</v>
      </c>
      <c r="Q76" s="44" t="s">
        <v>3245</v>
      </c>
      <c r="R76" s="16" t="s">
        <v>1154</v>
      </c>
    </row>
    <row r="77" spans="1:18" ht="118.5" customHeight="1">
      <c r="A77" s="241" t="s">
        <v>33</v>
      </c>
      <c r="B77" s="241" t="s">
        <v>1465</v>
      </c>
      <c r="C77" s="241" t="s">
        <v>1070</v>
      </c>
      <c r="D77" s="262">
        <v>5</v>
      </c>
      <c r="E77" s="267" t="s">
        <v>3286</v>
      </c>
      <c r="F77" s="236"/>
      <c r="G77" s="9">
        <v>7</v>
      </c>
      <c r="H77" s="9">
        <v>7</v>
      </c>
      <c r="I77" s="44" t="s">
        <v>3549</v>
      </c>
      <c r="J77" s="44" t="s">
        <v>3250</v>
      </c>
      <c r="K77" s="70" t="s">
        <v>3550</v>
      </c>
      <c r="L77" s="70" t="s">
        <v>3551</v>
      </c>
      <c r="M77" s="44" t="s">
        <v>3245</v>
      </c>
      <c r="N77" s="45" t="s">
        <v>3534</v>
      </c>
      <c r="O77" s="44" t="s">
        <v>3535</v>
      </c>
      <c r="P77" s="70" t="s">
        <v>3245</v>
      </c>
      <c r="Q77" s="70" t="s">
        <v>3245</v>
      </c>
      <c r="R77" s="16" t="s">
        <v>1162</v>
      </c>
    </row>
    <row r="78" spans="1:18" ht="125.25" customHeight="1">
      <c r="A78" s="237"/>
      <c r="B78" s="237"/>
      <c r="C78" s="237"/>
      <c r="D78" s="263"/>
      <c r="E78" s="237"/>
      <c r="F78" s="237"/>
      <c r="G78" s="9">
        <v>8</v>
      </c>
      <c r="H78" s="9">
        <v>8</v>
      </c>
      <c r="I78" s="44" t="s">
        <v>3552</v>
      </c>
      <c r="J78" s="44" t="s">
        <v>3242</v>
      </c>
      <c r="K78" s="70" t="s">
        <v>3553</v>
      </c>
      <c r="L78" s="70" t="s">
        <v>3554</v>
      </c>
      <c r="M78" s="44" t="s">
        <v>3266</v>
      </c>
      <c r="N78" s="45" t="s">
        <v>3534</v>
      </c>
      <c r="O78" s="44" t="s">
        <v>3535</v>
      </c>
      <c r="P78" s="70" t="s">
        <v>3245</v>
      </c>
      <c r="Q78" s="70" t="s">
        <v>3245</v>
      </c>
      <c r="R78" s="16" t="s">
        <v>3555</v>
      </c>
    </row>
    <row r="79" spans="1:18" ht="72.75" customHeight="1">
      <c r="A79" s="53" t="s">
        <v>33</v>
      </c>
      <c r="B79" s="53" t="s">
        <v>1465</v>
      </c>
      <c r="C79" s="53" t="s">
        <v>1070</v>
      </c>
      <c r="D79" s="53">
        <v>6</v>
      </c>
      <c r="E79" s="104" t="s">
        <v>3556</v>
      </c>
      <c r="F79" s="105"/>
      <c r="G79" s="53" t="s">
        <v>1750</v>
      </c>
      <c r="H79" s="53" t="s">
        <v>3294</v>
      </c>
      <c r="I79" s="64" t="s">
        <v>3557</v>
      </c>
      <c r="J79" s="53"/>
      <c r="K79" s="53"/>
      <c r="L79" s="53"/>
      <c r="M79" s="53" t="s">
        <v>3296</v>
      </c>
      <c r="N79" s="55" t="s">
        <v>3296</v>
      </c>
      <c r="O79" s="53" t="s">
        <v>2850</v>
      </c>
      <c r="P79" s="53" t="s">
        <v>3296</v>
      </c>
      <c r="Q79" s="53"/>
      <c r="R79" s="57"/>
    </row>
    <row r="80" spans="1:18" ht="110.25" customHeight="1">
      <c r="A80" s="241" t="s">
        <v>33</v>
      </c>
      <c r="B80" s="241" t="s">
        <v>1465</v>
      </c>
      <c r="C80" s="241" t="s">
        <v>1070</v>
      </c>
      <c r="D80" s="243">
        <v>7</v>
      </c>
      <c r="E80" s="242" t="s">
        <v>3297</v>
      </c>
      <c r="F80" s="241" t="s">
        <v>3558</v>
      </c>
      <c r="G80" s="51">
        <v>1</v>
      </c>
      <c r="H80" s="9">
        <v>11</v>
      </c>
      <c r="I80" s="9" t="s">
        <v>3559</v>
      </c>
      <c r="J80" s="44" t="s">
        <v>3250</v>
      </c>
      <c r="K80" s="70" t="s">
        <v>3560</v>
      </c>
      <c r="L80" s="70" t="s">
        <v>3561</v>
      </c>
      <c r="M80" s="71" t="s">
        <v>3245</v>
      </c>
      <c r="N80" s="45" t="s">
        <v>3562</v>
      </c>
      <c r="O80" s="70" t="s">
        <v>3563</v>
      </c>
      <c r="P80" s="44"/>
      <c r="Q80" s="44"/>
      <c r="R80" s="16" t="s">
        <v>3564</v>
      </c>
    </row>
    <row r="81" spans="1:18" ht="114.75" customHeight="1">
      <c r="A81" s="237"/>
      <c r="B81" s="237"/>
      <c r="C81" s="237"/>
      <c r="D81" s="237"/>
      <c r="E81" s="237"/>
      <c r="F81" s="236"/>
      <c r="G81" s="51">
        <v>2</v>
      </c>
      <c r="H81" s="9">
        <v>12</v>
      </c>
      <c r="I81" s="9" t="s">
        <v>3565</v>
      </c>
      <c r="J81" s="44" t="s">
        <v>3250</v>
      </c>
      <c r="K81" s="70" t="s">
        <v>3566</v>
      </c>
      <c r="L81" s="70" t="s">
        <v>3567</v>
      </c>
      <c r="M81" s="71" t="s">
        <v>3245</v>
      </c>
      <c r="N81" s="45" t="s">
        <v>3562</v>
      </c>
      <c r="O81" s="70" t="s">
        <v>3563</v>
      </c>
      <c r="P81" s="44"/>
      <c r="Q81" s="44"/>
      <c r="R81" s="16" t="s">
        <v>2850</v>
      </c>
    </row>
    <row r="82" spans="1:18" ht="125.25" customHeight="1">
      <c r="A82" s="241" t="s">
        <v>33</v>
      </c>
      <c r="B82" s="241" t="s">
        <v>1465</v>
      </c>
      <c r="C82" s="241" t="s">
        <v>1070</v>
      </c>
      <c r="D82" s="243">
        <v>8</v>
      </c>
      <c r="E82" s="267" t="s">
        <v>3306</v>
      </c>
      <c r="F82" s="236"/>
      <c r="G82" s="51">
        <v>3</v>
      </c>
      <c r="H82" s="9">
        <v>13</v>
      </c>
      <c r="I82" s="9" t="s">
        <v>3568</v>
      </c>
      <c r="J82" s="44" t="s">
        <v>3250</v>
      </c>
      <c r="K82" s="70" t="s">
        <v>3569</v>
      </c>
      <c r="L82" s="70" t="s">
        <v>3570</v>
      </c>
      <c r="M82" s="71" t="s">
        <v>3245</v>
      </c>
      <c r="N82" s="45" t="s">
        <v>3571</v>
      </c>
      <c r="O82" s="70" t="s">
        <v>3572</v>
      </c>
      <c r="P82" s="44"/>
      <c r="Q82" s="44"/>
      <c r="R82" s="16" t="s">
        <v>3332</v>
      </c>
    </row>
    <row r="83" spans="1:18" ht="114" customHeight="1">
      <c r="A83" s="237"/>
      <c r="B83" s="237"/>
      <c r="C83" s="237"/>
      <c r="D83" s="237"/>
      <c r="E83" s="237"/>
      <c r="F83" s="237"/>
      <c r="G83" s="51">
        <v>4</v>
      </c>
      <c r="H83" s="9">
        <v>14</v>
      </c>
      <c r="I83" s="9" t="s">
        <v>3573</v>
      </c>
      <c r="J83" s="44" t="s">
        <v>3250</v>
      </c>
      <c r="K83" s="70" t="s">
        <v>3574</v>
      </c>
      <c r="L83" s="70" t="s">
        <v>3575</v>
      </c>
      <c r="M83" s="71" t="s">
        <v>3245</v>
      </c>
      <c r="N83" s="45" t="s">
        <v>3562</v>
      </c>
      <c r="O83" s="70" t="s">
        <v>3563</v>
      </c>
      <c r="P83" s="44"/>
      <c r="Q83" s="44"/>
      <c r="R83" s="16" t="s">
        <v>3576</v>
      </c>
    </row>
    <row r="84" spans="1:18" ht="63" customHeight="1">
      <c r="A84" s="61" t="s">
        <v>33</v>
      </c>
      <c r="B84" s="61" t="s">
        <v>1465</v>
      </c>
      <c r="C84" s="61" t="s">
        <v>1070</v>
      </c>
      <c r="D84" s="61">
        <v>9</v>
      </c>
      <c r="E84" s="62" t="s">
        <v>3314</v>
      </c>
      <c r="F84" s="61"/>
      <c r="G84" s="61" t="s">
        <v>1750</v>
      </c>
      <c r="H84" s="61" t="s">
        <v>3315</v>
      </c>
      <c r="I84" s="61" t="s">
        <v>3316</v>
      </c>
      <c r="J84" s="61"/>
      <c r="K84" s="61"/>
      <c r="L84" s="61"/>
      <c r="M84" s="61"/>
      <c r="N84" s="62" t="s">
        <v>3296</v>
      </c>
      <c r="O84" s="61" t="s">
        <v>3296</v>
      </c>
      <c r="P84" s="61" t="s">
        <v>3296</v>
      </c>
      <c r="Q84" s="61" t="s">
        <v>3296</v>
      </c>
      <c r="R84" s="63"/>
    </row>
    <row r="85" spans="1:18" ht="100.5" customHeight="1">
      <c r="A85" s="53" t="s">
        <v>33</v>
      </c>
      <c r="B85" s="53" t="s">
        <v>1465</v>
      </c>
      <c r="C85" s="53" t="s">
        <v>1070</v>
      </c>
      <c r="D85" s="53">
        <v>10</v>
      </c>
      <c r="E85" s="55" t="s">
        <v>3317</v>
      </c>
      <c r="F85" s="53"/>
      <c r="G85" s="53" t="s">
        <v>1750</v>
      </c>
      <c r="H85" s="53" t="s">
        <v>3318</v>
      </c>
      <c r="I85" s="53" t="s">
        <v>3577</v>
      </c>
      <c r="J85" s="53"/>
      <c r="K85" s="53"/>
      <c r="L85" s="53"/>
      <c r="M85" s="53" t="s">
        <v>3296</v>
      </c>
      <c r="N85" s="55" t="s">
        <v>3296</v>
      </c>
      <c r="O85" s="53" t="s">
        <v>2850</v>
      </c>
      <c r="P85" s="53" t="s">
        <v>3296</v>
      </c>
      <c r="Q85" s="53"/>
      <c r="R85" s="57"/>
    </row>
    <row r="86" spans="1:18" ht="92.25" customHeight="1">
      <c r="A86" s="65" t="s">
        <v>33</v>
      </c>
      <c r="B86" s="65" t="s">
        <v>1465</v>
      </c>
      <c r="C86" s="65" t="s">
        <v>1070</v>
      </c>
      <c r="D86" s="65">
        <v>11</v>
      </c>
      <c r="E86" s="66" t="s">
        <v>3320</v>
      </c>
      <c r="F86" s="67"/>
      <c r="G86" s="65" t="s">
        <v>1750</v>
      </c>
      <c r="H86" s="65" t="s">
        <v>3321</v>
      </c>
      <c r="I86" s="65" t="s">
        <v>3322</v>
      </c>
      <c r="J86" s="65"/>
      <c r="K86" s="65"/>
      <c r="L86" s="65"/>
      <c r="M86" s="65"/>
      <c r="N86" s="68"/>
      <c r="O86" s="65"/>
      <c r="P86" s="65"/>
      <c r="Q86" s="65"/>
      <c r="R86" s="69"/>
    </row>
    <row r="87" spans="1:18" ht="87.75" customHeight="1">
      <c r="A87" s="241" t="s">
        <v>33</v>
      </c>
      <c r="B87" s="241" t="s">
        <v>1465</v>
      </c>
      <c r="C87" s="241" t="s">
        <v>1106</v>
      </c>
      <c r="D87" s="241">
        <v>12</v>
      </c>
      <c r="E87" s="242" t="s">
        <v>3323</v>
      </c>
      <c r="F87" s="241" t="s">
        <v>3578</v>
      </c>
      <c r="G87" s="9">
        <v>5</v>
      </c>
      <c r="H87" s="9">
        <v>21</v>
      </c>
      <c r="I87" s="44" t="s">
        <v>3579</v>
      </c>
      <c r="J87" s="44" t="s">
        <v>3250</v>
      </c>
      <c r="K87" s="70" t="s">
        <v>3580</v>
      </c>
      <c r="L87" s="70" t="s">
        <v>3581</v>
      </c>
      <c r="M87" s="44" t="s">
        <v>3266</v>
      </c>
      <c r="N87" s="45" t="s">
        <v>3571</v>
      </c>
      <c r="O87" s="44" t="s">
        <v>3582</v>
      </c>
      <c r="P87" s="44"/>
      <c r="Q87" s="44"/>
      <c r="R87" s="16" t="s">
        <v>2280</v>
      </c>
    </row>
    <row r="88" spans="1:18" ht="81.75" customHeight="1">
      <c r="A88" s="237"/>
      <c r="B88" s="237"/>
      <c r="C88" s="237"/>
      <c r="D88" s="237"/>
      <c r="E88" s="237"/>
      <c r="F88" s="236"/>
      <c r="G88" s="9">
        <v>6</v>
      </c>
      <c r="H88" s="9">
        <v>22</v>
      </c>
      <c r="I88" s="44" t="s">
        <v>3583</v>
      </c>
      <c r="J88" s="44" t="s">
        <v>3242</v>
      </c>
      <c r="K88" s="70" t="s">
        <v>3584</v>
      </c>
      <c r="L88" s="70" t="s">
        <v>3585</v>
      </c>
      <c r="M88" s="44" t="s">
        <v>3245</v>
      </c>
      <c r="N88" s="45" t="s">
        <v>3571</v>
      </c>
      <c r="O88" s="44" t="s">
        <v>3582</v>
      </c>
      <c r="P88" s="44"/>
      <c r="Q88" s="44"/>
      <c r="R88" s="16" t="s">
        <v>3269</v>
      </c>
    </row>
    <row r="89" spans="1:18" ht="62.25" customHeight="1">
      <c r="A89" s="241" t="s">
        <v>33</v>
      </c>
      <c r="B89" s="241" t="s">
        <v>1465</v>
      </c>
      <c r="C89" s="241" t="s">
        <v>1106</v>
      </c>
      <c r="D89" s="241">
        <v>13</v>
      </c>
      <c r="E89" s="242" t="s">
        <v>3336</v>
      </c>
      <c r="F89" s="236"/>
      <c r="G89" s="9">
        <v>7</v>
      </c>
      <c r="H89" s="9">
        <v>23</v>
      </c>
      <c r="I89" s="44" t="s">
        <v>3586</v>
      </c>
      <c r="J89" s="44" t="s">
        <v>3250</v>
      </c>
      <c r="K89" s="70" t="s">
        <v>3587</v>
      </c>
      <c r="L89" s="70" t="s">
        <v>3588</v>
      </c>
      <c r="M89" s="44" t="s">
        <v>3245</v>
      </c>
      <c r="N89" s="45" t="s">
        <v>3562</v>
      </c>
      <c r="O89" s="70" t="s">
        <v>3563</v>
      </c>
      <c r="P89" s="44"/>
      <c r="Q89" s="44"/>
      <c r="R89" s="16" t="s">
        <v>3564</v>
      </c>
    </row>
    <row r="90" spans="1:18" ht="71.25" customHeight="1">
      <c r="A90" s="237"/>
      <c r="B90" s="237"/>
      <c r="C90" s="237"/>
      <c r="D90" s="237"/>
      <c r="E90" s="237"/>
      <c r="F90" s="237"/>
      <c r="G90" s="9">
        <v>8</v>
      </c>
      <c r="H90" s="9">
        <v>24</v>
      </c>
      <c r="I90" s="44" t="s">
        <v>3589</v>
      </c>
      <c r="J90" s="44" t="s">
        <v>3242</v>
      </c>
      <c r="K90" s="70" t="s">
        <v>3590</v>
      </c>
      <c r="L90" s="70" t="s">
        <v>3591</v>
      </c>
      <c r="M90" s="44" t="s">
        <v>3266</v>
      </c>
      <c r="N90" s="45" t="s">
        <v>3526</v>
      </c>
      <c r="O90" s="44" t="s">
        <v>3592</v>
      </c>
      <c r="P90" s="44"/>
      <c r="Q90" s="44"/>
      <c r="R90" s="16" t="s">
        <v>2850</v>
      </c>
    </row>
    <row r="91" spans="1:18" ht="150" customHeight="1">
      <c r="A91" s="53" t="s">
        <v>33</v>
      </c>
      <c r="B91" s="53" t="s">
        <v>1465</v>
      </c>
      <c r="C91" s="53" t="s">
        <v>1106</v>
      </c>
      <c r="D91" s="53">
        <v>14</v>
      </c>
      <c r="E91" s="55" t="s">
        <v>3345</v>
      </c>
      <c r="F91" s="53"/>
      <c r="G91" s="53" t="s">
        <v>1750</v>
      </c>
      <c r="H91" s="53" t="s">
        <v>3346</v>
      </c>
      <c r="I91" s="53" t="s">
        <v>3593</v>
      </c>
      <c r="J91" s="53"/>
      <c r="K91" s="53"/>
      <c r="L91" s="53"/>
      <c r="M91" s="53" t="s">
        <v>3296</v>
      </c>
      <c r="N91" s="55" t="s">
        <v>3296</v>
      </c>
      <c r="O91" s="53" t="s">
        <v>2850</v>
      </c>
      <c r="P91" s="53" t="s">
        <v>3296</v>
      </c>
      <c r="Q91" s="53"/>
      <c r="R91" s="57"/>
    </row>
    <row r="92" spans="1:18" ht="100.5" customHeight="1">
      <c r="A92" s="241" t="s">
        <v>33</v>
      </c>
      <c r="B92" s="241" t="s">
        <v>1465</v>
      </c>
      <c r="C92" s="241" t="s">
        <v>1106</v>
      </c>
      <c r="D92" s="241">
        <v>15</v>
      </c>
      <c r="E92" s="242" t="s">
        <v>3348</v>
      </c>
      <c r="F92" s="244" t="s">
        <v>3594</v>
      </c>
      <c r="G92" s="44">
        <v>1</v>
      </c>
      <c r="H92" s="44">
        <v>27</v>
      </c>
      <c r="I92" s="44" t="s">
        <v>3595</v>
      </c>
      <c r="J92" s="44" t="s">
        <v>3250</v>
      </c>
      <c r="K92" s="70" t="s">
        <v>3596</v>
      </c>
      <c r="L92" s="70" t="s">
        <v>3597</v>
      </c>
      <c r="M92" s="71"/>
      <c r="N92" s="44" t="s">
        <v>3598</v>
      </c>
      <c r="O92" s="44" t="s">
        <v>3599</v>
      </c>
      <c r="P92" s="44"/>
      <c r="Q92" s="44"/>
      <c r="R92" s="16" t="s">
        <v>3600</v>
      </c>
    </row>
    <row r="93" spans="1:18" ht="100.5" customHeight="1">
      <c r="A93" s="237"/>
      <c r="B93" s="237"/>
      <c r="C93" s="237"/>
      <c r="D93" s="237"/>
      <c r="E93" s="237"/>
      <c r="F93" s="236"/>
      <c r="G93" s="44">
        <v>2</v>
      </c>
      <c r="H93" s="44">
        <v>28</v>
      </c>
      <c r="I93" s="44" t="s">
        <v>3601</v>
      </c>
      <c r="J93" s="44" t="s">
        <v>3602</v>
      </c>
      <c r="K93" s="70" t="s">
        <v>3603</v>
      </c>
      <c r="L93" s="70" t="s">
        <v>3604</v>
      </c>
      <c r="M93" s="44"/>
      <c r="N93" s="44" t="s">
        <v>3598</v>
      </c>
      <c r="O93" s="44" t="s">
        <v>3599</v>
      </c>
      <c r="P93" s="44"/>
      <c r="Q93" s="44"/>
      <c r="R93" s="16" t="s">
        <v>3600</v>
      </c>
    </row>
    <row r="94" spans="1:18" ht="100.5" customHeight="1">
      <c r="A94" s="241" t="s">
        <v>33</v>
      </c>
      <c r="B94" s="241" t="s">
        <v>1465</v>
      </c>
      <c r="C94" s="241" t="s">
        <v>1106</v>
      </c>
      <c r="D94" s="243">
        <v>16</v>
      </c>
      <c r="E94" s="242" t="s">
        <v>3360</v>
      </c>
      <c r="F94" s="236"/>
      <c r="G94" s="44">
        <v>3</v>
      </c>
      <c r="H94" s="44">
        <v>29</v>
      </c>
      <c r="I94" s="44" t="s">
        <v>3605</v>
      </c>
      <c r="J94" s="44" t="s">
        <v>3250</v>
      </c>
      <c r="K94" s="70" t="s">
        <v>3606</v>
      </c>
      <c r="L94" s="70" t="s">
        <v>3607</v>
      </c>
      <c r="M94" s="44"/>
      <c r="N94" s="44" t="s">
        <v>3608</v>
      </c>
      <c r="O94" s="44" t="s">
        <v>3609</v>
      </c>
      <c r="P94" s="44"/>
      <c r="Q94" s="44"/>
      <c r="R94" s="16" t="s">
        <v>3610</v>
      </c>
    </row>
    <row r="95" spans="1:18" ht="100.5" customHeight="1">
      <c r="A95" s="237"/>
      <c r="B95" s="237"/>
      <c r="C95" s="237"/>
      <c r="D95" s="237"/>
      <c r="E95" s="237"/>
      <c r="F95" s="245"/>
      <c r="G95" s="44">
        <v>4</v>
      </c>
      <c r="H95" s="44">
        <v>30</v>
      </c>
      <c r="I95" s="44" t="s">
        <v>3611</v>
      </c>
      <c r="J95" s="44" t="s">
        <v>3250</v>
      </c>
      <c r="K95" s="70" t="s">
        <v>3612</v>
      </c>
      <c r="L95" s="70" t="s">
        <v>3613</v>
      </c>
      <c r="M95" s="44"/>
      <c r="N95" s="44" t="s">
        <v>3608</v>
      </c>
      <c r="O95" s="44" t="s">
        <v>3609</v>
      </c>
      <c r="P95" s="44"/>
      <c r="Q95" s="44"/>
      <c r="R95" s="16" t="s">
        <v>2850</v>
      </c>
    </row>
    <row r="96" spans="1:18" ht="68.25" customHeight="1">
      <c r="A96" s="61" t="s">
        <v>33</v>
      </c>
      <c r="B96" s="61" t="s">
        <v>1465</v>
      </c>
      <c r="C96" s="61" t="s">
        <v>1106</v>
      </c>
      <c r="D96" s="61">
        <v>17</v>
      </c>
      <c r="E96" s="62" t="s">
        <v>3367</v>
      </c>
      <c r="F96" s="61"/>
      <c r="G96" s="61" t="s">
        <v>1750</v>
      </c>
      <c r="H96" s="61" t="s">
        <v>3368</v>
      </c>
      <c r="I96" s="61" t="s">
        <v>3316</v>
      </c>
      <c r="J96" s="61"/>
      <c r="K96" s="61"/>
      <c r="L96" s="61"/>
      <c r="M96" s="61"/>
      <c r="N96" s="62" t="s">
        <v>3296</v>
      </c>
      <c r="O96" s="61" t="s">
        <v>3296</v>
      </c>
      <c r="P96" s="61" t="s">
        <v>3296</v>
      </c>
      <c r="Q96" s="61" t="s">
        <v>3296</v>
      </c>
      <c r="R96" s="63"/>
    </row>
    <row r="97" spans="1:18" ht="100.5" customHeight="1">
      <c r="A97" s="241" t="s">
        <v>33</v>
      </c>
      <c r="B97" s="241" t="s">
        <v>1465</v>
      </c>
      <c r="C97" s="241" t="s">
        <v>1106</v>
      </c>
      <c r="D97" s="243">
        <v>18</v>
      </c>
      <c r="E97" s="242" t="s">
        <v>3369</v>
      </c>
      <c r="F97" s="244" t="s">
        <v>3614</v>
      </c>
      <c r="G97" s="44">
        <v>5</v>
      </c>
      <c r="H97" s="44">
        <v>33</v>
      </c>
      <c r="I97" s="44" t="s">
        <v>3615</v>
      </c>
      <c r="J97" s="44" t="s">
        <v>3250</v>
      </c>
      <c r="K97" s="70" t="s">
        <v>3616</v>
      </c>
      <c r="L97" s="70" t="s">
        <v>3617</v>
      </c>
      <c r="M97" s="71"/>
      <c r="N97" s="44" t="s">
        <v>3608</v>
      </c>
      <c r="O97" s="44" t="s">
        <v>3609</v>
      </c>
      <c r="P97" s="44"/>
      <c r="Q97" s="44"/>
      <c r="R97" s="16" t="s">
        <v>2850</v>
      </c>
    </row>
    <row r="98" spans="1:18" ht="100.5" customHeight="1">
      <c r="A98" s="237"/>
      <c r="B98" s="237"/>
      <c r="C98" s="237"/>
      <c r="D98" s="237"/>
      <c r="E98" s="237"/>
      <c r="F98" s="236"/>
      <c r="G98" s="44">
        <v>6</v>
      </c>
      <c r="H98" s="44">
        <v>34</v>
      </c>
      <c r="I98" s="44" t="s">
        <v>3618</v>
      </c>
      <c r="J98" s="44" t="s">
        <v>3250</v>
      </c>
      <c r="K98" s="70" t="s">
        <v>3619</v>
      </c>
      <c r="L98" s="70" t="s">
        <v>3620</v>
      </c>
      <c r="M98" s="44"/>
      <c r="N98" s="44" t="s">
        <v>3621</v>
      </c>
      <c r="O98" s="44" t="s">
        <v>3622</v>
      </c>
      <c r="P98" s="44"/>
      <c r="Q98" s="44"/>
      <c r="R98" s="16" t="s">
        <v>3600</v>
      </c>
    </row>
    <row r="99" spans="1:18" ht="100.5" customHeight="1">
      <c r="A99" s="241" t="s">
        <v>33</v>
      </c>
      <c r="B99" s="241" t="s">
        <v>1465</v>
      </c>
      <c r="C99" s="241" t="s">
        <v>1106</v>
      </c>
      <c r="D99" s="243">
        <v>19</v>
      </c>
      <c r="E99" s="242" t="s">
        <v>3381</v>
      </c>
      <c r="F99" s="236"/>
      <c r="G99" s="44">
        <v>7</v>
      </c>
      <c r="H99" s="44">
        <v>35</v>
      </c>
      <c r="I99" s="44" t="s">
        <v>3623</v>
      </c>
      <c r="J99" s="44" t="s">
        <v>3250</v>
      </c>
      <c r="K99" s="70" t="s">
        <v>3624</v>
      </c>
      <c r="L99" s="70" t="s">
        <v>3625</v>
      </c>
      <c r="M99" s="44"/>
      <c r="N99" s="44" t="s">
        <v>3626</v>
      </c>
      <c r="O99" s="44" t="s">
        <v>3627</v>
      </c>
      <c r="P99" s="44"/>
      <c r="Q99" s="44"/>
      <c r="R99" s="16" t="s">
        <v>3600</v>
      </c>
    </row>
    <row r="100" spans="1:18" ht="100.5" customHeight="1">
      <c r="A100" s="237"/>
      <c r="B100" s="237"/>
      <c r="C100" s="237"/>
      <c r="D100" s="237"/>
      <c r="E100" s="237"/>
      <c r="F100" s="245"/>
      <c r="G100" s="44">
        <v>8</v>
      </c>
      <c r="H100" s="44">
        <v>36</v>
      </c>
      <c r="I100" s="44" t="s">
        <v>3628</v>
      </c>
      <c r="J100" s="44" t="s">
        <v>3250</v>
      </c>
      <c r="K100" s="70" t="s">
        <v>3629</v>
      </c>
      <c r="L100" s="70" t="s">
        <v>3630</v>
      </c>
      <c r="M100" s="44"/>
      <c r="N100" s="44" t="s">
        <v>3621</v>
      </c>
      <c r="O100" s="44" t="s">
        <v>3622</v>
      </c>
      <c r="P100" s="44"/>
      <c r="Q100" s="44"/>
      <c r="R100" s="16" t="s">
        <v>2850</v>
      </c>
    </row>
    <row r="101" spans="1:18" ht="100.5" customHeight="1">
      <c r="A101" s="53" t="s">
        <v>33</v>
      </c>
      <c r="B101" s="53" t="s">
        <v>1465</v>
      </c>
      <c r="C101" s="53" t="s">
        <v>1106</v>
      </c>
      <c r="D101" s="53">
        <v>20</v>
      </c>
      <c r="E101" s="55" t="s">
        <v>3390</v>
      </c>
      <c r="F101" s="53"/>
      <c r="G101" s="53" t="s">
        <v>1750</v>
      </c>
      <c r="H101" s="53" t="s">
        <v>3391</v>
      </c>
      <c r="I101" s="64" t="s">
        <v>3631</v>
      </c>
      <c r="J101" s="53"/>
      <c r="K101" s="53"/>
      <c r="L101" s="53"/>
      <c r="M101" s="53" t="s">
        <v>3296</v>
      </c>
      <c r="N101" s="55" t="s">
        <v>3296</v>
      </c>
      <c r="O101" s="53" t="s">
        <v>2850</v>
      </c>
      <c r="P101" s="53" t="s">
        <v>3296</v>
      </c>
      <c r="Q101" s="53"/>
      <c r="R101" s="57"/>
    </row>
    <row r="102" spans="1:18" ht="92.25" customHeight="1">
      <c r="A102" s="65" t="s">
        <v>33</v>
      </c>
      <c r="B102" s="65" t="s">
        <v>1465</v>
      </c>
      <c r="C102" s="65" t="s">
        <v>1106</v>
      </c>
      <c r="D102" s="65">
        <v>21</v>
      </c>
      <c r="E102" s="72" t="s">
        <v>3393</v>
      </c>
      <c r="F102" s="67"/>
      <c r="G102" s="65" t="s">
        <v>1750</v>
      </c>
      <c r="H102" s="65" t="s">
        <v>3394</v>
      </c>
      <c r="I102" s="65" t="s">
        <v>3632</v>
      </c>
      <c r="J102" s="65"/>
      <c r="K102" s="65"/>
      <c r="L102" s="65"/>
      <c r="M102" s="65"/>
      <c r="N102" s="68"/>
      <c r="O102" s="65"/>
      <c r="P102" s="65"/>
      <c r="Q102" s="65"/>
      <c r="R102" s="69"/>
    </row>
    <row r="103" spans="1:18" ht="92.25" customHeight="1">
      <c r="A103" s="73" t="s">
        <v>3395</v>
      </c>
      <c r="B103" s="241" t="s">
        <v>1465</v>
      </c>
      <c r="C103" s="241" t="s">
        <v>542</v>
      </c>
      <c r="D103" s="246">
        <v>26</v>
      </c>
      <c r="E103" s="247" t="s">
        <v>3396</v>
      </c>
      <c r="F103" s="246" t="s">
        <v>3633</v>
      </c>
      <c r="G103" s="73">
        <v>1</v>
      </c>
      <c r="H103" s="73">
        <v>1</v>
      </c>
      <c r="I103" s="74" t="s">
        <v>3634</v>
      </c>
      <c r="J103" s="74" t="s">
        <v>3250</v>
      </c>
      <c r="K103" s="74" t="s">
        <v>3635</v>
      </c>
      <c r="L103" s="74" t="s">
        <v>3636</v>
      </c>
      <c r="M103" s="74" t="s">
        <v>3245</v>
      </c>
      <c r="N103" s="76" t="s">
        <v>3637</v>
      </c>
      <c r="O103" s="74" t="s">
        <v>3638</v>
      </c>
      <c r="P103" s="74" t="s">
        <v>3245</v>
      </c>
      <c r="Q103" s="74" t="s">
        <v>3245</v>
      </c>
      <c r="R103" s="73" t="s">
        <v>2211</v>
      </c>
    </row>
    <row r="104" spans="1:18" ht="92.25" customHeight="1">
      <c r="A104" s="73" t="s">
        <v>3395</v>
      </c>
      <c r="B104" s="237"/>
      <c r="C104" s="237"/>
      <c r="D104" s="237"/>
      <c r="E104" s="237"/>
      <c r="F104" s="236"/>
      <c r="G104" s="73">
        <v>2</v>
      </c>
      <c r="H104" s="73">
        <v>2</v>
      </c>
      <c r="I104" s="74" t="s">
        <v>3639</v>
      </c>
      <c r="J104" s="74" t="s">
        <v>3250</v>
      </c>
      <c r="K104" s="74" t="s">
        <v>3640</v>
      </c>
      <c r="L104" s="74" t="s">
        <v>3641</v>
      </c>
      <c r="M104" s="74" t="s">
        <v>3245</v>
      </c>
      <c r="N104" s="76" t="s">
        <v>3637</v>
      </c>
      <c r="O104" s="74" t="s">
        <v>3638</v>
      </c>
      <c r="P104" s="74" t="s">
        <v>3245</v>
      </c>
      <c r="Q104" s="74" t="s">
        <v>3245</v>
      </c>
      <c r="R104" s="73" t="s">
        <v>2280</v>
      </c>
    </row>
    <row r="105" spans="1:18" ht="92.25" customHeight="1">
      <c r="A105" s="73" t="s">
        <v>3395</v>
      </c>
      <c r="B105" s="241" t="s">
        <v>1465</v>
      </c>
      <c r="C105" s="241" t="s">
        <v>542</v>
      </c>
      <c r="D105" s="246">
        <v>27</v>
      </c>
      <c r="E105" s="247" t="s">
        <v>3408</v>
      </c>
      <c r="F105" s="236"/>
      <c r="G105" s="73">
        <v>3</v>
      </c>
      <c r="H105" s="73">
        <v>3</v>
      </c>
      <c r="I105" s="74" t="s">
        <v>3642</v>
      </c>
      <c r="J105" s="74" t="s">
        <v>3250</v>
      </c>
      <c r="K105" s="74" t="s">
        <v>3643</v>
      </c>
      <c r="L105" s="74" t="s">
        <v>3644</v>
      </c>
      <c r="M105" s="74" t="s">
        <v>3245</v>
      </c>
      <c r="N105" s="76" t="s">
        <v>3637</v>
      </c>
      <c r="O105" s="74" t="s">
        <v>3638</v>
      </c>
      <c r="P105" s="74" t="s">
        <v>3245</v>
      </c>
      <c r="Q105" s="74" t="s">
        <v>3245</v>
      </c>
      <c r="R105" s="73" t="s">
        <v>3439</v>
      </c>
    </row>
    <row r="106" spans="1:18" ht="92.25" customHeight="1">
      <c r="A106" s="73" t="s">
        <v>3395</v>
      </c>
      <c r="B106" s="237"/>
      <c r="C106" s="237"/>
      <c r="D106" s="237"/>
      <c r="E106" s="237"/>
      <c r="F106" s="236"/>
      <c r="G106" s="73">
        <v>4</v>
      </c>
      <c r="H106" s="73">
        <v>4</v>
      </c>
      <c r="I106" s="74" t="s">
        <v>3645</v>
      </c>
      <c r="J106" s="74" t="s">
        <v>3250</v>
      </c>
      <c r="K106" s="85" t="s">
        <v>3646</v>
      </c>
      <c r="L106" s="74" t="s">
        <v>3647</v>
      </c>
      <c r="M106" s="74" t="s">
        <v>3266</v>
      </c>
      <c r="N106" s="76" t="s">
        <v>3648</v>
      </c>
      <c r="O106" s="74" t="s">
        <v>3353</v>
      </c>
      <c r="P106" s="74" t="s">
        <v>3245</v>
      </c>
      <c r="Q106" s="74" t="s">
        <v>3245</v>
      </c>
      <c r="R106" s="73" t="s">
        <v>3649</v>
      </c>
    </row>
    <row r="107" spans="1:18" ht="92.25" customHeight="1">
      <c r="A107" s="248" t="s">
        <v>3395</v>
      </c>
      <c r="B107" s="241" t="s">
        <v>1465</v>
      </c>
      <c r="C107" s="241" t="s">
        <v>542</v>
      </c>
      <c r="D107" s="248">
        <v>28</v>
      </c>
      <c r="E107" s="250" t="s">
        <v>3415</v>
      </c>
      <c r="F107" s="236"/>
      <c r="G107" s="74">
        <v>5</v>
      </c>
      <c r="H107" s="74">
        <v>5</v>
      </c>
      <c r="I107" s="74" t="s">
        <v>3650</v>
      </c>
      <c r="J107" s="74" t="s">
        <v>3250</v>
      </c>
      <c r="K107" s="74" t="s">
        <v>3651</v>
      </c>
      <c r="L107" s="74" t="s">
        <v>3652</v>
      </c>
      <c r="M107" s="74" t="s">
        <v>3245</v>
      </c>
      <c r="N107" s="76" t="s">
        <v>3648</v>
      </c>
      <c r="O107" s="74" t="s">
        <v>3353</v>
      </c>
      <c r="P107" s="74" t="s">
        <v>3245</v>
      </c>
      <c r="Q107" s="74" t="s">
        <v>3245</v>
      </c>
      <c r="R107" s="73" t="s">
        <v>3653</v>
      </c>
    </row>
    <row r="108" spans="1:18" ht="92.25" customHeight="1">
      <c r="A108" s="237"/>
      <c r="B108" s="237"/>
      <c r="C108" s="237"/>
      <c r="D108" s="236"/>
      <c r="E108" s="236"/>
      <c r="F108" s="236"/>
      <c r="G108" s="73">
        <v>6</v>
      </c>
      <c r="H108" s="74">
        <v>6</v>
      </c>
      <c r="I108" s="74" t="s">
        <v>3654</v>
      </c>
      <c r="J108" s="74" t="s">
        <v>3250</v>
      </c>
      <c r="K108" s="74" t="s">
        <v>3655</v>
      </c>
      <c r="L108" s="74" t="s">
        <v>3656</v>
      </c>
      <c r="M108" s="74" t="s">
        <v>3245</v>
      </c>
      <c r="N108" s="76" t="s">
        <v>3657</v>
      </c>
      <c r="O108" s="74" t="s">
        <v>3658</v>
      </c>
      <c r="P108" s="74" t="s">
        <v>3245</v>
      </c>
      <c r="Q108" s="74" t="s">
        <v>3245</v>
      </c>
      <c r="R108" s="73" t="s">
        <v>3649</v>
      </c>
    </row>
    <row r="109" spans="1:18" ht="92.25" customHeight="1">
      <c r="A109" s="248" t="s">
        <v>3395</v>
      </c>
      <c r="B109" s="241" t="s">
        <v>1465</v>
      </c>
      <c r="C109" s="241" t="s">
        <v>542</v>
      </c>
      <c r="D109" s="248">
        <v>29</v>
      </c>
      <c r="E109" s="249" t="s">
        <v>3425</v>
      </c>
      <c r="F109" s="236"/>
      <c r="G109" s="73">
        <v>7</v>
      </c>
      <c r="H109" s="74">
        <v>7</v>
      </c>
      <c r="I109" s="74" t="s">
        <v>3659</v>
      </c>
      <c r="J109" s="74" t="s">
        <v>3250</v>
      </c>
      <c r="K109" s="74" t="s">
        <v>3660</v>
      </c>
      <c r="L109" s="74" t="s">
        <v>3661</v>
      </c>
      <c r="M109" s="74" t="s">
        <v>3245</v>
      </c>
      <c r="N109" s="76" t="s">
        <v>3657</v>
      </c>
      <c r="O109" s="74" t="s">
        <v>3658</v>
      </c>
      <c r="P109" s="74" t="s">
        <v>3245</v>
      </c>
      <c r="Q109" s="74" t="s">
        <v>3245</v>
      </c>
      <c r="R109" s="73" t="s">
        <v>3649</v>
      </c>
    </row>
    <row r="110" spans="1:18" ht="92.25" customHeight="1">
      <c r="A110" s="237"/>
      <c r="B110" s="237"/>
      <c r="C110" s="237"/>
      <c r="D110" s="237"/>
      <c r="E110" s="237"/>
      <c r="F110" s="237"/>
      <c r="G110" s="73">
        <v>8</v>
      </c>
      <c r="H110" s="74">
        <v>8</v>
      </c>
      <c r="I110" s="74" t="s">
        <v>3662</v>
      </c>
      <c r="J110" s="74" t="s">
        <v>3250</v>
      </c>
      <c r="K110" s="74" t="s">
        <v>3663</v>
      </c>
      <c r="L110" s="74" t="s">
        <v>3664</v>
      </c>
      <c r="M110" s="74" t="s">
        <v>3266</v>
      </c>
      <c r="N110" s="76" t="s">
        <v>3657</v>
      </c>
      <c r="O110" s="74" t="s">
        <v>3658</v>
      </c>
      <c r="P110" s="74" t="s">
        <v>3245</v>
      </c>
      <c r="Q110" s="74" t="s">
        <v>3245</v>
      </c>
      <c r="R110" s="106" t="s">
        <v>1162</v>
      </c>
    </row>
    <row r="111" spans="1:18" ht="92.25" customHeight="1">
      <c r="A111" s="78" t="s">
        <v>3395</v>
      </c>
      <c r="B111" s="78" t="s">
        <v>1465</v>
      </c>
      <c r="C111" s="79" t="s">
        <v>542</v>
      </c>
      <c r="D111" s="78">
        <v>30</v>
      </c>
      <c r="E111" s="80" t="s">
        <v>3433</v>
      </c>
      <c r="F111" s="78" t="s">
        <v>3665</v>
      </c>
      <c r="G111" s="83"/>
      <c r="H111" s="82" t="s">
        <v>3294</v>
      </c>
      <c r="I111" s="78" t="s">
        <v>3665</v>
      </c>
      <c r="J111" s="83"/>
      <c r="K111" s="83"/>
      <c r="L111" s="83"/>
      <c r="M111" s="83"/>
      <c r="N111" s="84"/>
      <c r="O111" s="83"/>
      <c r="P111" s="83"/>
      <c r="Q111" s="83"/>
      <c r="R111" s="83"/>
    </row>
    <row r="112" spans="1:18" ht="92.25" customHeight="1">
      <c r="A112" s="248" t="s">
        <v>3395</v>
      </c>
      <c r="B112" s="241" t="s">
        <v>1465</v>
      </c>
      <c r="C112" s="241" t="s">
        <v>542</v>
      </c>
      <c r="D112" s="251">
        <v>31</v>
      </c>
      <c r="E112" s="249" t="s">
        <v>3435</v>
      </c>
      <c r="F112" s="248" t="s">
        <v>3666</v>
      </c>
      <c r="G112" s="107">
        <v>1</v>
      </c>
      <c r="H112" s="74">
        <v>11</v>
      </c>
      <c r="I112" s="107" t="s">
        <v>3667</v>
      </c>
      <c r="J112" s="107" t="s">
        <v>3242</v>
      </c>
      <c r="K112" s="73" t="s">
        <v>3668</v>
      </c>
      <c r="L112" s="107" t="s">
        <v>3669</v>
      </c>
      <c r="M112" s="107" t="s">
        <v>3245</v>
      </c>
      <c r="N112" s="108" t="s">
        <v>3670</v>
      </c>
      <c r="O112" s="73" t="s">
        <v>3671</v>
      </c>
      <c r="P112" s="107" t="s">
        <v>3245</v>
      </c>
      <c r="Q112" s="107" t="s">
        <v>3245</v>
      </c>
      <c r="R112" s="106" t="s">
        <v>3255</v>
      </c>
    </row>
    <row r="113" spans="1:18" ht="92.25" customHeight="1">
      <c r="A113" s="237"/>
      <c r="B113" s="237"/>
      <c r="C113" s="237"/>
      <c r="D113" s="252"/>
      <c r="E113" s="237"/>
      <c r="F113" s="236"/>
      <c r="G113" s="109">
        <v>2</v>
      </c>
      <c r="H113" s="86">
        <v>12</v>
      </c>
      <c r="I113" s="74" t="s">
        <v>3672</v>
      </c>
      <c r="J113" s="74" t="s">
        <v>3242</v>
      </c>
      <c r="K113" s="74" t="s">
        <v>3673</v>
      </c>
      <c r="L113" s="74" t="s">
        <v>3674</v>
      </c>
      <c r="M113" s="74" t="s">
        <v>3245</v>
      </c>
      <c r="N113" s="108" t="s">
        <v>3675</v>
      </c>
      <c r="O113" s="73" t="s">
        <v>3676</v>
      </c>
      <c r="P113" s="74" t="s">
        <v>3245</v>
      </c>
      <c r="Q113" s="74" t="s">
        <v>3245</v>
      </c>
      <c r="R113" s="74" t="s">
        <v>3245</v>
      </c>
    </row>
    <row r="114" spans="1:18" ht="92.25" customHeight="1">
      <c r="A114" s="73" t="s">
        <v>3395</v>
      </c>
      <c r="B114" s="241" t="s">
        <v>1465</v>
      </c>
      <c r="C114" s="241" t="s">
        <v>542</v>
      </c>
      <c r="D114" s="251">
        <v>32</v>
      </c>
      <c r="E114" s="249" t="s">
        <v>3443</v>
      </c>
      <c r="F114" s="236"/>
      <c r="G114" s="109">
        <v>3</v>
      </c>
      <c r="H114" s="87">
        <v>13</v>
      </c>
      <c r="I114" s="74" t="s">
        <v>3677</v>
      </c>
      <c r="J114" s="74" t="s">
        <v>3250</v>
      </c>
      <c r="K114" s="74" t="s">
        <v>3678</v>
      </c>
      <c r="L114" s="74" t="s">
        <v>3679</v>
      </c>
      <c r="M114" s="74" t="s">
        <v>3245</v>
      </c>
      <c r="N114" s="108" t="s">
        <v>3680</v>
      </c>
      <c r="O114" s="73" t="s">
        <v>3681</v>
      </c>
      <c r="P114" s="74" t="s">
        <v>3245</v>
      </c>
      <c r="Q114" s="74" t="s">
        <v>3245</v>
      </c>
      <c r="R114" s="106" t="s">
        <v>1162</v>
      </c>
    </row>
    <row r="115" spans="1:18" ht="92.25" customHeight="1">
      <c r="A115" s="73" t="s">
        <v>3395</v>
      </c>
      <c r="B115" s="237"/>
      <c r="C115" s="237"/>
      <c r="D115" s="252"/>
      <c r="E115" s="237"/>
      <c r="F115" s="237"/>
      <c r="G115" s="109">
        <v>4</v>
      </c>
      <c r="H115" s="73">
        <v>14</v>
      </c>
      <c r="I115" s="74" t="s">
        <v>3682</v>
      </c>
      <c r="J115" s="74" t="s">
        <v>3250</v>
      </c>
      <c r="K115" s="74" t="s">
        <v>3683</v>
      </c>
      <c r="L115" s="74" t="s">
        <v>3684</v>
      </c>
      <c r="M115" s="74" t="s">
        <v>3266</v>
      </c>
      <c r="N115" s="108" t="s">
        <v>3680</v>
      </c>
      <c r="O115" s="73" t="s">
        <v>3681</v>
      </c>
      <c r="P115" s="74" t="s">
        <v>3245</v>
      </c>
      <c r="Q115" s="74" t="s">
        <v>3245</v>
      </c>
      <c r="R115" s="74" t="s">
        <v>3245</v>
      </c>
    </row>
    <row r="116" spans="1:18" ht="92.25" customHeight="1">
      <c r="A116" s="88" t="s">
        <v>3395</v>
      </c>
      <c r="B116" s="88" t="s">
        <v>1465</v>
      </c>
      <c r="C116" s="89" t="s">
        <v>542</v>
      </c>
      <c r="D116" s="88">
        <v>33</v>
      </c>
      <c r="E116" s="90" t="s">
        <v>3450</v>
      </c>
      <c r="F116" s="88" t="s">
        <v>3316</v>
      </c>
      <c r="G116" s="91"/>
      <c r="H116" s="88" t="s">
        <v>3315</v>
      </c>
      <c r="I116" s="88" t="s">
        <v>3316</v>
      </c>
      <c r="J116" s="91"/>
      <c r="K116" s="91"/>
      <c r="L116" s="91"/>
      <c r="M116" s="91"/>
      <c r="N116" s="92"/>
      <c r="O116" s="91"/>
      <c r="P116" s="91"/>
      <c r="Q116" s="91"/>
      <c r="R116" s="91"/>
    </row>
    <row r="117" spans="1:18" ht="92.25" customHeight="1">
      <c r="A117" s="83" t="s">
        <v>3395</v>
      </c>
      <c r="B117" s="78" t="s">
        <v>1465</v>
      </c>
      <c r="C117" s="79" t="s">
        <v>542</v>
      </c>
      <c r="D117" s="83">
        <v>34</v>
      </c>
      <c r="E117" s="84" t="s">
        <v>3451</v>
      </c>
      <c r="F117" s="78" t="s">
        <v>3685</v>
      </c>
      <c r="G117" s="83"/>
      <c r="H117" s="83" t="s">
        <v>3318</v>
      </c>
      <c r="I117" s="78" t="s">
        <v>3685</v>
      </c>
      <c r="J117" s="83"/>
      <c r="K117" s="83"/>
      <c r="L117" s="83"/>
      <c r="M117" s="83"/>
      <c r="N117" s="84"/>
      <c r="O117" s="83"/>
      <c r="P117" s="83"/>
      <c r="Q117" s="83"/>
      <c r="R117" s="83"/>
    </row>
    <row r="118" spans="1:18" ht="92.25" customHeight="1">
      <c r="A118" s="248" t="s">
        <v>3395</v>
      </c>
      <c r="B118" s="241" t="s">
        <v>1465</v>
      </c>
      <c r="C118" s="241" t="s">
        <v>1171</v>
      </c>
      <c r="D118" s="248">
        <v>35</v>
      </c>
      <c r="E118" s="249" t="s">
        <v>3453</v>
      </c>
      <c r="F118" s="248" t="s">
        <v>3686</v>
      </c>
      <c r="G118" s="100">
        <v>1</v>
      </c>
      <c r="H118" s="74">
        <v>19</v>
      </c>
      <c r="I118" s="100" t="s">
        <v>3687</v>
      </c>
      <c r="J118" s="100" t="s">
        <v>3250</v>
      </c>
      <c r="K118" s="74" t="s">
        <v>3688</v>
      </c>
      <c r="L118" s="74" t="s">
        <v>3689</v>
      </c>
      <c r="M118" s="100" t="s">
        <v>3245</v>
      </c>
      <c r="N118" s="108" t="s">
        <v>3680</v>
      </c>
      <c r="O118" s="73" t="s">
        <v>3681</v>
      </c>
      <c r="P118" s="100" t="s">
        <v>3245</v>
      </c>
      <c r="Q118" s="100" t="s">
        <v>3245</v>
      </c>
      <c r="R118" s="100" t="s">
        <v>3245</v>
      </c>
    </row>
    <row r="119" spans="1:18" ht="92.25" customHeight="1">
      <c r="A119" s="237"/>
      <c r="B119" s="237"/>
      <c r="C119" s="237"/>
      <c r="D119" s="237"/>
      <c r="E119" s="237"/>
      <c r="F119" s="236"/>
      <c r="G119" s="74">
        <v>2</v>
      </c>
      <c r="H119" s="74">
        <v>20</v>
      </c>
      <c r="I119" s="74" t="s">
        <v>3690</v>
      </c>
      <c r="J119" s="74" t="s">
        <v>3250</v>
      </c>
      <c r="K119" s="74" t="s">
        <v>3691</v>
      </c>
      <c r="L119" s="74" t="s">
        <v>3692</v>
      </c>
      <c r="M119" s="74" t="s">
        <v>3245</v>
      </c>
      <c r="N119" s="108" t="s">
        <v>3680</v>
      </c>
      <c r="O119" s="73" t="s">
        <v>3681</v>
      </c>
      <c r="P119" s="74" t="s">
        <v>3245</v>
      </c>
      <c r="Q119" s="74" t="s">
        <v>3245</v>
      </c>
      <c r="R119" s="106" t="s">
        <v>1162</v>
      </c>
    </row>
    <row r="120" spans="1:18" ht="92.25" customHeight="1">
      <c r="A120" s="248" t="s">
        <v>3395</v>
      </c>
      <c r="B120" s="241" t="s">
        <v>1465</v>
      </c>
      <c r="C120" s="241" t="s">
        <v>1171</v>
      </c>
      <c r="D120" s="248">
        <v>36</v>
      </c>
      <c r="E120" s="256" t="s">
        <v>3463</v>
      </c>
      <c r="F120" s="236"/>
      <c r="G120" s="93" t="s">
        <v>1750</v>
      </c>
      <c r="H120" s="94" t="s">
        <v>3464</v>
      </c>
      <c r="I120" s="94" t="s">
        <v>3465</v>
      </c>
      <c r="J120" s="95"/>
      <c r="K120" s="95"/>
      <c r="L120" s="95"/>
      <c r="M120" s="95"/>
      <c r="N120" s="96"/>
      <c r="O120" s="95"/>
      <c r="P120" s="95"/>
      <c r="Q120" s="95"/>
      <c r="R120" s="95"/>
    </row>
    <row r="121" spans="1:18" ht="92.25" customHeight="1">
      <c r="A121" s="236"/>
      <c r="B121" s="236"/>
      <c r="C121" s="236"/>
      <c r="D121" s="236"/>
      <c r="E121" s="257"/>
      <c r="F121" s="236"/>
      <c r="G121" s="73">
        <v>3</v>
      </c>
      <c r="H121" s="74">
        <v>21</v>
      </c>
      <c r="I121" s="74" t="s">
        <v>3693</v>
      </c>
      <c r="J121" s="74" t="s">
        <v>3250</v>
      </c>
      <c r="K121" s="74" t="s">
        <v>3694</v>
      </c>
      <c r="L121" s="74" t="s">
        <v>3695</v>
      </c>
      <c r="M121" s="74" t="s">
        <v>3245</v>
      </c>
      <c r="N121" s="108" t="s">
        <v>3680</v>
      </c>
      <c r="O121" s="73" t="s">
        <v>3681</v>
      </c>
      <c r="P121" s="74" t="s">
        <v>3245</v>
      </c>
      <c r="Q121" s="74" t="s">
        <v>3245</v>
      </c>
      <c r="R121" s="74" t="s">
        <v>3245</v>
      </c>
    </row>
    <row r="122" spans="1:18" ht="92.25" customHeight="1">
      <c r="A122" s="237"/>
      <c r="B122" s="237"/>
      <c r="C122" s="237"/>
      <c r="D122" s="237"/>
      <c r="E122" s="257"/>
      <c r="F122" s="236"/>
      <c r="G122" s="73">
        <v>4</v>
      </c>
      <c r="H122" s="74">
        <v>22</v>
      </c>
      <c r="I122" s="74" t="s">
        <v>3696</v>
      </c>
      <c r="J122" s="74" t="s">
        <v>3250</v>
      </c>
      <c r="K122" s="74" t="s">
        <v>3697</v>
      </c>
      <c r="L122" s="74" t="s">
        <v>3698</v>
      </c>
      <c r="M122" s="74" t="s">
        <v>3266</v>
      </c>
      <c r="N122" s="108" t="s">
        <v>3680</v>
      </c>
      <c r="O122" s="73" t="s">
        <v>3681</v>
      </c>
      <c r="P122" s="74" t="s">
        <v>3245</v>
      </c>
      <c r="Q122" s="74" t="s">
        <v>3245</v>
      </c>
      <c r="R122" s="106" t="s">
        <v>3269</v>
      </c>
    </row>
    <row r="123" spans="1:18" ht="92.25" customHeight="1">
      <c r="A123" s="88" t="s">
        <v>3395</v>
      </c>
      <c r="B123" s="88" t="s">
        <v>1465</v>
      </c>
      <c r="C123" s="89" t="s">
        <v>1171</v>
      </c>
      <c r="D123" s="88">
        <v>37</v>
      </c>
      <c r="E123" s="98" t="s">
        <v>3474</v>
      </c>
      <c r="F123" s="88" t="s">
        <v>3316</v>
      </c>
      <c r="G123" s="91"/>
      <c r="H123" s="88" t="s">
        <v>3475</v>
      </c>
      <c r="I123" s="91"/>
      <c r="J123" s="91"/>
      <c r="K123" s="91"/>
      <c r="L123" s="91"/>
      <c r="M123" s="91"/>
      <c r="N123" s="92"/>
      <c r="O123" s="92"/>
      <c r="P123" s="91"/>
      <c r="Q123" s="91"/>
      <c r="R123" s="91"/>
    </row>
    <row r="124" spans="1:18" ht="92.25" customHeight="1">
      <c r="A124" s="78" t="s">
        <v>3395</v>
      </c>
      <c r="B124" s="78" t="s">
        <v>1465</v>
      </c>
      <c r="C124" s="79" t="s">
        <v>1171</v>
      </c>
      <c r="D124" s="78">
        <v>38</v>
      </c>
      <c r="E124" s="99" t="s">
        <v>3476</v>
      </c>
      <c r="F124" s="78" t="s">
        <v>3699</v>
      </c>
      <c r="G124" s="83"/>
      <c r="H124" s="78" t="s">
        <v>3346</v>
      </c>
      <c r="I124" s="78" t="s">
        <v>3699</v>
      </c>
      <c r="J124" s="83"/>
      <c r="K124" s="83"/>
      <c r="L124" s="83"/>
      <c r="M124" s="83"/>
      <c r="N124" s="84"/>
      <c r="O124" s="83"/>
      <c r="P124" s="83"/>
      <c r="Q124" s="83"/>
      <c r="R124" s="83"/>
    </row>
    <row r="125" spans="1:18" ht="92.25" customHeight="1">
      <c r="A125" s="248" t="s">
        <v>3395</v>
      </c>
      <c r="B125" s="241" t="s">
        <v>1465</v>
      </c>
      <c r="C125" s="241" t="s">
        <v>1171</v>
      </c>
      <c r="D125" s="248">
        <v>39</v>
      </c>
      <c r="E125" s="249" t="s">
        <v>3478</v>
      </c>
      <c r="F125" s="248" t="s">
        <v>3700</v>
      </c>
      <c r="G125" s="74">
        <v>1</v>
      </c>
      <c r="H125" s="74">
        <v>27</v>
      </c>
      <c r="I125" s="74" t="s">
        <v>3701</v>
      </c>
      <c r="J125" s="74" t="s">
        <v>3250</v>
      </c>
      <c r="K125" s="74" t="s">
        <v>3702</v>
      </c>
      <c r="L125" s="74" t="s">
        <v>3703</v>
      </c>
      <c r="M125" s="74" t="s">
        <v>3245</v>
      </c>
      <c r="N125" s="76" t="s">
        <v>3704</v>
      </c>
      <c r="O125" s="74" t="s">
        <v>3705</v>
      </c>
      <c r="P125" s="74" t="s">
        <v>3245</v>
      </c>
      <c r="Q125" s="74" t="s">
        <v>3245</v>
      </c>
      <c r="R125" s="73" t="s">
        <v>3706</v>
      </c>
    </row>
    <row r="126" spans="1:18" ht="92.25" customHeight="1">
      <c r="A126" s="237"/>
      <c r="B126" s="237"/>
      <c r="C126" s="237"/>
      <c r="D126" s="237"/>
      <c r="E126" s="237"/>
      <c r="F126" s="236"/>
      <c r="G126" s="74">
        <v>2</v>
      </c>
      <c r="H126" s="73">
        <v>28</v>
      </c>
      <c r="I126" s="74" t="s">
        <v>3707</v>
      </c>
      <c r="J126" s="74" t="s">
        <v>3250</v>
      </c>
      <c r="K126" s="74" t="s">
        <v>3708</v>
      </c>
      <c r="L126" s="74" t="s">
        <v>3709</v>
      </c>
      <c r="M126" s="74" t="s">
        <v>3245</v>
      </c>
      <c r="N126" s="76" t="s">
        <v>3710</v>
      </c>
      <c r="O126" s="74" t="s">
        <v>3493</v>
      </c>
      <c r="P126" s="74" t="s">
        <v>3245</v>
      </c>
      <c r="Q126" s="74" t="s">
        <v>3245</v>
      </c>
      <c r="R126" s="106" t="s">
        <v>3269</v>
      </c>
    </row>
    <row r="127" spans="1:18" ht="92.25" customHeight="1">
      <c r="A127" s="246" t="s">
        <v>3395</v>
      </c>
      <c r="B127" s="241" t="s">
        <v>1465</v>
      </c>
      <c r="C127" s="241" t="s">
        <v>1171</v>
      </c>
      <c r="D127" s="246">
        <v>40</v>
      </c>
      <c r="E127" s="247" t="s">
        <v>3488</v>
      </c>
      <c r="F127" s="236"/>
      <c r="G127" s="74">
        <v>3</v>
      </c>
      <c r="H127" s="73">
        <v>29</v>
      </c>
      <c r="I127" s="74" t="s">
        <v>3711</v>
      </c>
      <c r="J127" s="74" t="s">
        <v>3250</v>
      </c>
      <c r="K127" s="74" t="s">
        <v>3712</v>
      </c>
      <c r="L127" s="74" t="s">
        <v>3713</v>
      </c>
      <c r="M127" s="74" t="s">
        <v>3245</v>
      </c>
      <c r="N127" s="76" t="s">
        <v>3710</v>
      </c>
      <c r="O127" s="74" t="s">
        <v>3493</v>
      </c>
      <c r="P127" s="74" t="s">
        <v>3245</v>
      </c>
      <c r="Q127" s="74" t="s">
        <v>3245</v>
      </c>
      <c r="R127" s="106" t="s">
        <v>3269</v>
      </c>
    </row>
    <row r="128" spans="1:18" ht="92.25" customHeight="1">
      <c r="A128" s="236"/>
      <c r="B128" s="237"/>
      <c r="C128" s="237"/>
      <c r="D128" s="236"/>
      <c r="E128" s="236"/>
      <c r="F128" s="236"/>
      <c r="G128" s="74">
        <v>4</v>
      </c>
      <c r="H128" s="73">
        <v>30</v>
      </c>
      <c r="I128" s="74" t="s">
        <v>3714</v>
      </c>
      <c r="J128" s="74" t="s">
        <v>3250</v>
      </c>
      <c r="K128" s="110" t="s">
        <v>3715</v>
      </c>
      <c r="L128" s="74" t="s">
        <v>3716</v>
      </c>
      <c r="M128" s="74" t="s">
        <v>3266</v>
      </c>
      <c r="N128" s="76" t="s">
        <v>3717</v>
      </c>
      <c r="O128" s="74" t="s">
        <v>3718</v>
      </c>
      <c r="P128" s="74" t="s">
        <v>3245</v>
      </c>
      <c r="Q128" s="74" t="s">
        <v>3245</v>
      </c>
      <c r="R128" s="106" t="s">
        <v>3255</v>
      </c>
    </row>
    <row r="129" spans="1:18" ht="92.25" customHeight="1">
      <c r="A129" s="246" t="s">
        <v>3395</v>
      </c>
      <c r="B129" s="241" t="s">
        <v>1465</v>
      </c>
      <c r="C129" s="241" t="s">
        <v>1171</v>
      </c>
      <c r="D129" s="246">
        <v>41</v>
      </c>
      <c r="E129" s="253" t="s">
        <v>3497</v>
      </c>
      <c r="F129" s="236"/>
      <c r="G129" s="100">
        <v>5</v>
      </c>
      <c r="H129" s="73">
        <v>31</v>
      </c>
      <c r="I129" s="100" t="s">
        <v>3719</v>
      </c>
      <c r="J129" s="100" t="s">
        <v>3250</v>
      </c>
      <c r="K129" s="74" t="s">
        <v>3720</v>
      </c>
      <c r="L129" s="100" t="s">
        <v>3721</v>
      </c>
      <c r="M129" s="74" t="s">
        <v>3245</v>
      </c>
      <c r="N129" s="76" t="s">
        <v>3710</v>
      </c>
      <c r="O129" s="74" t="s">
        <v>3493</v>
      </c>
      <c r="P129" s="74" t="s">
        <v>3245</v>
      </c>
      <c r="Q129" s="74" t="s">
        <v>3245</v>
      </c>
      <c r="R129" s="73" t="s">
        <v>3576</v>
      </c>
    </row>
    <row r="130" spans="1:18" ht="92.25" customHeight="1">
      <c r="A130" s="236"/>
      <c r="B130" s="237"/>
      <c r="C130" s="237"/>
      <c r="D130" s="236"/>
      <c r="E130" s="237"/>
      <c r="F130" s="236"/>
      <c r="G130" s="74">
        <v>6</v>
      </c>
      <c r="H130" s="100">
        <v>32</v>
      </c>
      <c r="I130" s="74" t="s">
        <v>3722</v>
      </c>
      <c r="J130" s="74" t="s">
        <v>3250</v>
      </c>
      <c r="K130" s="74" t="s">
        <v>3723</v>
      </c>
      <c r="L130" s="74" t="s">
        <v>3724</v>
      </c>
      <c r="M130" s="74" t="s">
        <v>3245</v>
      </c>
      <c r="N130" s="76" t="s">
        <v>3725</v>
      </c>
      <c r="O130" s="74" t="s">
        <v>3726</v>
      </c>
      <c r="P130" s="74" t="s">
        <v>3245</v>
      </c>
      <c r="Q130" s="74" t="s">
        <v>3245</v>
      </c>
      <c r="R130" s="106" t="s">
        <v>1162</v>
      </c>
    </row>
    <row r="131" spans="1:18" ht="92.25" customHeight="1">
      <c r="A131" s="254" t="s">
        <v>3395</v>
      </c>
      <c r="B131" s="241" t="s">
        <v>1465</v>
      </c>
      <c r="C131" s="241" t="s">
        <v>1171</v>
      </c>
      <c r="D131" s="254">
        <v>42</v>
      </c>
      <c r="E131" s="253" t="s">
        <v>3504</v>
      </c>
      <c r="F131" s="236"/>
      <c r="G131" s="78" t="s">
        <v>1750</v>
      </c>
      <c r="H131" s="78" t="s">
        <v>3505</v>
      </c>
      <c r="I131" s="78" t="s">
        <v>3727</v>
      </c>
      <c r="J131" s="83"/>
      <c r="K131" s="83"/>
      <c r="L131" s="83"/>
      <c r="M131" s="83"/>
      <c r="N131" s="84"/>
      <c r="O131" s="83"/>
      <c r="P131" s="83"/>
      <c r="Q131" s="83"/>
      <c r="R131" s="83"/>
    </row>
    <row r="132" spans="1:18" ht="92.25" customHeight="1">
      <c r="A132" s="236"/>
      <c r="B132" s="236"/>
      <c r="C132" s="236"/>
      <c r="D132" s="236"/>
      <c r="E132" s="236"/>
      <c r="F132" s="236"/>
      <c r="G132" s="74">
        <v>7</v>
      </c>
      <c r="H132" s="73">
        <v>33</v>
      </c>
      <c r="I132" s="74" t="s">
        <v>3728</v>
      </c>
      <c r="J132" s="74" t="s">
        <v>3250</v>
      </c>
      <c r="K132" s="74" t="s">
        <v>3729</v>
      </c>
      <c r="L132" s="74" t="s">
        <v>3730</v>
      </c>
      <c r="M132" s="74" t="s">
        <v>3245</v>
      </c>
      <c r="N132" s="76" t="s">
        <v>3710</v>
      </c>
      <c r="O132" s="74" t="s">
        <v>3493</v>
      </c>
      <c r="P132" s="74" t="s">
        <v>3245</v>
      </c>
      <c r="Q132" s="74" t="s">
        <v>3245</v>
      </c>
      <c r="R132" s="106" t="s">
        <v>1162</v>
      </c>
    </row>
    <row r="133" spans="1:18" ht="92.25" customHeight="1">
      <c r="A133" s="237"/>
      <c r="B133" s="237"/>
      <c r="C133" s="237"/>
      <c r="D133" s="237"/>
      <c r="E133" s="237"/>
      <c r="F133" s="237"/>
      <c r="G133" s="74">
        <v>8</v>
      </c>
      <c r="H133" s="73">
        <v>34</v>
      </c>
      <c r="I133" s="74" t="s">
        <v>3731</v>
      </c>
      <c r="J133" s="74" t="s">
        <v>3250</v>
      </c>
      <c r="K133" s="74" t="s">
        <v>3732</v>
      </c>
      <c r="L133" s="74" t="s">
        <v>3733</v>
      </c>
      <c r="M133" s="74" t="s">
        <v>3266</v>
      </c>
      <c r="N133" s="76" t="s">
        <v>3717</v>
      </c>
      <c r="O133" s="74" t="s">
        <v>3718</v>
      </c>
      <c r="P133" s="74" t="s">
        <v>3245</v>
      </c>
      <c r="Q133" s="74" t="s">
        <v>3245</v>
      </c>
      <c r="R133" s="106" t="s">
        <v>3269</v>
      </c>
    </row>
    <row r="134" spans="1:18" ht="92.25" customHeight="1">
      <c r="A134" s="78" t="s">
        <v>3395</v>
      </c>
      <c r="B134" s="78" t="s">
        <v>1465</v>
      </c>
      <c r="C134" s="79" t="s">
        <v>1171</v>
      </c>
      <c r="D134" s="78">
        <v>43</v>
      </c>
      <c r="E134" s="99" t="s">
        <v>3515</v>
      </c>
      <c r="F134" s="255" t="s">
        <v>3734</v>
      </c>
      <c r="G134" s="83"/>
      <c r="H134" s="78" t="s">
        <v>3517</v>
      </c>
      <c r="I134" s="255" t="s">
        <v>3734</v>
      </c>
      <c r="J134" s="83"/>
      <c r="K134" s="83"/>
      <c r="L134" s="83"/>
      <c r="M134" s="83"/>
      <c r="N134" s="84"/>
      <c r="O134" s="83"/>
      <c r="P134" s="83"/>
      <c r="Q134" s="83"/>
      <c r="R134" s="83"/>
    </row>
    <row r="135" spans="1:18" ht="92.25" customHeight="1">
      <c r="A135" s="78" t="s">
        <v>3395</v>
      </c>
      <c r="B135" s="78" t="s">
        <v>1465</v>
      </c>
      <c r="C135" s="79" t="s">
        <v>1171</v>
      </c>
      <c r="D135" s="78">
        <v>44</v>
      </c>
      <c r="E135" s="99" t="s">
        <v>3518</v>
      </c>
      <c r="F135" s="237"/>
      <c r="G135" s="83"/>
      <c r="H135" s="78" t="s">
        <v>3391</v>
      </c>
      <c r="I135" s="237"/>
      <c r="J135" s="83"/>
      <c r="K135" s="83"/>
      <c r="L135" s="83"/>
      <c r="M135" s="83"/>
      <c r="N135" s="84"/>
      <c r="O135" s="83"/>
      <c r="P135" s="83"/>
      <c r="Q135" s="83"/>
      <c r="R135" s="83"/>
    </row>
    <row r="136" spans="1:18" ht="92.25" customHeight="1">
      <c r="A136" s="94" t="s">
        <v>3395</v>
      </c>
      <c r="B136" s="94" t="s">
        <v>1465</v>
      </c>
      <c r="C136" s="101" t="s">
        <v>1171</v>
      </c>
      <c r="D136" s="94">
        <v>45</v>
      </c>
      <c r="E136" s="102" t="s">
        <v>3519</v>
      </c>
      <c r="F136" s="103" t="s">
        <v>3520</v>
      </c>
      <c r="G136" s="95"/>
      <c r="H136" s="94" t="s">
        <v>3394</v>
      </c>
      <c r="I136" s="103" t="s">
        <v>3520</v>
      </c>
      <c r="J136" s="95"/>
      <c r="K136" s="95"/>
      <c r="L136" s="95"/>
      <c r="M136" s="95"/>
      <c r="N136" s="96"/>
      <c r="O136" s="95"/>
      <c r="P136" s="95"/>
      <c r="Q136" s="95"/>
      <c r="R136" s="95"/>
    </row>
  </sheetData>
  <autoFilter ref="A2:Q2"/>
  <mergeCells count="261">
    <mergeCell ref="F80:F83"/>
    <mergeCell ref="D77:D78"/>
    <mergeCell ref="E77:E78"/>
    <mergeCell ref="A72:A73"/>
    <mergeCell ref="B72:B73"/>
    <mergeCell ref="B75:B76"/>
    <mergeCell ref="C75:C76"/>
    <mergeCell ref="D75:D76"/>
    <mergeCell ref="E75:E76"/>
    <mergeCell ref="F75:F78"/>
    <mergeCell ref="A75:A76"/>
    <mergeCell ref="A77:A78"/>
    <mergeCell ref="D72:D73"/>
    <mergeCell ref="E72:E73"/>
    <mergeCell ref="C60:C61"/>
    <mergeCell ref="D60:D61"/>
    <mergeCell ref="C70:C71"/>
    <mergeCell ref="D70:D71"/>
    <mergeCell ref="E70:E71"/>
    <mergeCell ref="F70:F73"/>
    <mergeCell ref="C72:C73"/>
    <mergeCell ref="N67:N68"/>
    <mergeCell ref="O67:O68"/>
    <mergeCell ref="P67:P68"/>
    <mergeCell ref="Q67:Q68"/>
    <mergeCell ref="R67:R68"/>
    <mergeCell ref="F58:F66"/>
    <mergeCell ref="F67:F68"/>
    <mergeCell ref="I67:I68"/>
    <mergeCell ref="J67:J68"/>
    <mergeCell ref="K67:K68"/>
    <mergeCell ref="L67:L68"/>
    <mergeCell ref="M67:M68"/>
    <mergeCell ref="E58:E59"/>
    <mergeCell ref="B60:B61"/>
    <mergeCell ref="D53:D55"/>
    <mergeCell ref="E53:E55"/>
    <mergeCell ref="E60:E61"/>
    <mergeCell ref="D62:D63"/>
    <mergeCell ref="E62:E63"/>
    <mergeCell ref="D64:D66"/>
    <mergeCell ref="E64:E66"/>
    <mergeCell ref="F3:F6"/>
    <mergeCell ref="B5:B6"/>
    <mergeCell ref="C5:C6"/>
    <mergeCell ref="D5:D6"/>
    <mergeCell ref="E5:E6"/>
    <mergeCell ref="A8:A9"/>
    <mergeCell ref="C8:C9"/>
    <mergeCell ref="D8:D9"/>
    <mergeCell ref="E8:E9"/>
    <mergeCell ref="F8:F11"/>
    <mergeCell ref="E10:E11"/>
    <mergeCell ref="C10:C11"/>
    <mergeCell ref="D10:D11"/>
    <mergeCell ref="B8:B9"/>
    <mergeCell ref="B10:B11"/>
    <mergeCell ref="A30:A31"/>
    <mergeCell ref="B30:B31"/>
    <mergeCell ref="C30:C31"/>
    <mergeCell ref="A32:A33"/>
    <mergeCell ref="B32:B33"/>
    <mergeCell ref="B3:B4"/>
    <mergeCell ref="C3:C4"/>
    <mergeCell ref="D3:D4"/>
    <mergeCell ref="E3:E4"/>
    <mergeCell ref="C13:C14"/>
    <mergeCell ref="D13:D14"/>
    <mergeCell ref="E13:E14"/>
    <mergeCell ref="C15:C16"/>
    <mergeCell ref="B13:B14"/>
    <mergeCell ref="B15:B16"/>
    <mergeCell ref="B20:B21"/>
    <mergeCell ref="C20:C21"/>
    <mergeCell ref="C22:C23"/>
    <mergeCell ref="C32:C33"/>
    <mergeCell ref="D32:D33"/>
    <mergeCell ref="E32:E33"/>
    <mergeCell ref="B22:B23"/>
    <mergeCell ref="A25:A26"/>
    <mergeCell ref="B25:B26"/>
    <mergeCell ref="C25:C26"/>
    <mergeCell ref="D25:D26"/>
    <mergeCell ref="E25:E26"/>
    <mergeCell ref="A27:A28"/>
    <mergeCell ref="E27:E28"/>
    <mergeCell ref="B27:B28"/>
    <mergeCell ref="C27:C28"/>
    <mergeCell ref="D22:D23"/>
    <mergeCell ref="D27:D28"/>
    <mergeCell ref="D30:D31"/>
    <mergeCell ref="D15:D16"/>
    <mergeCell ref="E15:E16"/>
    <mergeCell ref="D20:D21"/>
    <mergeCell ref="E20:E21"/>
    <mergeCell ref="F20:F23"/>
    <mergeCell ref="E22:E23"/>
    <mergeCell ref="E30:E31"/>
    <mergeCell ref="F13:F16"/>
    <mergeCell ref="F25:F28"/>
    <mergeCell ref="F30:F33"/>
    <mergeCell ref="A129:A130"/>
    <mergeCell ref="A131:A133"/>
    <mergeCell ref="A99:A100"/>
    <mergeCell ref="A109:A110"/>
    <mergeCell ref="A112:A113"/>
    <mergeCell ref="A118:A119"/>
    <mergeCell ref="A120:A122"/>
    <mergeCell ref="A125:A126"/>
    <mergeCell ref="A127:A128"/>
    <mergeCell ref="A107:A108"/>
    <mergeCell ref="B107:B108"/>
    <mergeCell ref="C107:C108"/>
    <mergeCell ref="D107:D108"/>
    <mergeCell ref="D109:D110"/>
    <mergeCell ref="E109:E110"/>
    <mergeCell ref="D114:D115"/>
    <mergeCell ref="E114:E115"/>
    <mergeCell ref="B120:B122"/>
    <mergeCell ref="C120:C122"/>
    <mergeCell ref="B131:B133"/>
    <mergeCell ref="C131:C133"/>
    <mergeCell ref="D131:D133"/>
    <mergeCell ref="E131:E133"/>
    <mergeCell ref="F134:F135"/>
    <mergeCell ref="I134:I135"/>
    <mergeCell ref="D120:D122"/>
    <mergeCell ref="E120:E122"/>
    <mergeCell ref="F125:F133"/>
    <mergeCell ref="B127:B128"/>
    <mergeCell ref="C127:C128"/>
    <mergeCell ref="D127:D128"/>
    <mergeCell ref="E127:E128"/>
    <mergeCell ref="B125:B126"/>
    <mergeCell ref="C125:C126"/>
    <mergeCell ref="D125:D126"/>
    <mergeCell ref="E125:E126"/>
    <mergeCell ref="B118:B119"/>
    <mergeCell ref="C118:C119"/>
    <mergeCell ref="D118:D119"/>
    <mergeCell ref="E118:E119"/>
    <mergeCell ref="F118:F122"/>
    <mergeCell ref="B129:B130"/>
    <mergeCell ref="C129:C130"/>
    <mergeCell ref="D129:D130"/>
    <mergeCell ref="E129:E130"/>
    <mergeCell ref="D103:D104"/>
    <mergeCell ref="E103:E104"/>
    <mergeCell ref="F103:F110"/>
    <mergeCell ref="E107:E108"/>
    <mergeCell ref="B109:B110"/>
    <mergeCell ref="C109:C110"/>
    <mergeCell ref="B112:B113"/>
    <mergeCell ref="C112:C113"/>
    <mergeCell ref="D112:D113"/>
    <mergeCell ref="E112:E113"/>
    <mergeCell ref="F112:F115"/>
    <mergeCell ref="B114:B115"/>
    <mergeCell ref="C114:C115"/>
    <mergeCell ref="D105:D106"/>
    <mergeCell ref="E105:E106"/>
    <mergeCell ref="A51:A52"/>
    <mergeCell ref="A53:A55"/>
    <mergeCell ref="A58:A59"/>
    <mergeCell ref="A60:A61"/>
    <mergeCell ref="A62:A63"/>
    <mergeCell ref="A70:A71"/>
    <mergeCell ref="B70:B71"/>
    <mergeCell ref="B105:B106"/>
    <mergeCell ref="C105:C106"/>
    <mergeCell ref="A97:A98"/>
    <mergeCell ref="B103:B104"/>
    <mergeCell ref="C103:C104"/>
    <mergeCell ref="B62:B63"/>
    <mergeCell ref="C62:C63"/>
    <mergeCell ref="A64:A66"/>
    <mergeCell ref="B64:B66"/>
    <mergeCell ref="C64:C66"/>
    <mergeCell ref="B53:B55"/>
    <mergeCell ref="C53:C55"/>
    <mergeCell ref="B58:B59"/>
    <mergeCell ref="C58:C59"/>
    <mergeCell ref="B77:B78"/>
    <mergeCell ref="C77:C78"/>
    <mergeCell ref="B82:B83"/>
    <mergeCell ref="A40:A41"/>
    <mergeCell ref="B40:B41"/>
    <mergeCell ref="C40:C41"/>
    <mergeCell ref="D40:D41"/>
    <mergeCell ref="E40:E41"/>
    <mergeCell ref="A42:A43"/>
    <mergeCell ref="A45:A46"/>
    <mergeCell ref="B45:B46"/>
    <mergeCell ref="C45:C46"/>
    <mergeCell ref="D45:D46"/>
    <mergeCell ref="E45:E46"/>
    <mergeCell ref="B42:B43"/>
    <mergeCell ref="C42:C43"/>
    <mergeCell ref="F97:F100"/>
    <mergeCell ref="B36:B37"/>
    <mergeCell ref="C36:C37"/>
    <mergeCell ref="D36:D37"/>
    <mergeCell ref="E36:E37"/>
    <mergeCell ref="C38:C39"/>
    <mergeCell ref="D38:D39"/>
    <mergeCell ref="E38:E39"/>
    <mergeCell ref="D42:D43"/>
    <mergeCell ref="E42:E43"/>
    <mergeCell ref="B38:B39"/>
    <mergeCell ref="F45:F48"/>
    <mergeCell ref="B47:B48"/>
    <mergeCell ref="E47:E48"/>
    <mergeCell ref="C47:C48"/>
    <mergeCell ref="D47:D48"/>
    <mergeCell ref="B51:B52"/>
    <mergeCell ref="C51:C52"/>
    <mergeCell ref="D51:D52"/>
    <mergeCell ref="E51:E52"/>
    <mergeCell ref="F51:F55"/>
    <mergeCell ref="F36:F39"/>
    <mergeCell ref="F40:F43"/>
    <mergeCell ref="D58:D59"/>
    <mergeCell ref="B99:B100"/>
    <mergeCell ref="C99:C100"/>
    <mergeCell ref="D99:D100"/>
    <mergeCell ref="E99:E100"/>
    <mergeCell ref="A92:A93"/>
    <mergeCell ref="A94:A95"/>
    <mergeCell ref="B97:B98"/>
    <mergeCell ref="C97:C98"/>
    <mergeCell ref="D97:D98"/>
    <mergeCell ref="E97:E98"/>
    <mergeCell ref="F87:F90"/>
    <mergeCell ref="B94:B95"/>
    <mergeCell ref="C94:C95"/>
    <mergeCell ref="D94:D95"/>
    <mergeCell ref="E94:E95"/>
    <mergeCell ref="A87:A88"/>
    <mergeCell ref="A89:A90"/>
    <mergeCell ref="B92:B93"/>
    <mergeCell ref="C92:C93"/>
    <mergeCell ref="D92:D93"/>
    <mergeCell ref="E92:E93"/>
    <mergeCell ref="F92:F95"/>
    <mergeCell ref="B89:B90"/>
    <mergeCell ref="C89:C90"/>
    <mergeCell ref="D89:D90"/>
    <mergeCell ref="E89:E90"/>
    <mergeCell ref="A80:A81"/>
    <mergeCell ref="A82:A83"/>
    <mergeCell ref="B87:B88"/>
    <mergeCell ref="C87:C88"/>
    <mergeCell ref="D87:D88"/>
    <mergeCell ref="E87:E88"/>
    <mergeCell ref="C82:C83"/>
    <mergeCell ref="D82:D83"/>
    <mergeCell ref="E82:E83"/>
    <mergeCell ref="B80:B81"/>
    <mergeCell ref="C80:C81"/>
    <mergeCell ref="D80:D81"/>
    <mergeCell ref="E80:E81"/>
  </mergeCells>
  <dataValidations count="1">
    <dataValidation type="list" allowBlank="1" showErrorMessage="1" sqref="J36:J67 J69 J120 J131">
      <formula1>"Material digital,Vídeo"</formula1>
    </dataValidation>
  </dataValidation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sheetPr>
    <tabColor rgb="FFFFBFFC"/>
  </sheetPr>
  <dimension ref="A1:K79"/>
  <sheetViews>
    <sheetView workbookViewId="0">
      <pane ySplit="1" topLeftCell="A2" activePane="bottomLeft" state="frozen"/>
      <selection pane="bottomLeft" activeCell="B3" sqref="B3"/>
    </sheetView>
  </sheetViews>
  <sheetFormatPr defaultColWidth="12.5703125" defaultRowHeight="15" customHeight="1"/>
  <cols>
    <col min="1" max="1" width="18.5703125" customWidth="1"/>
    <col min="2" max="2" width="9.140625" customWidth="1"/>
    <col min="3" max="3" width="8.42578125" customWidth="1"/>
    <col min="4" max="4" width="14.5703125" customWidth="1"/>
    <col min="5" max="5" width="9.140625" customWidth="1"/>
    <col min="6" max="6" width="22.7109375" customWidth="1"/>
    <col min="7" max="7" width="22.42578125" customWidth="1"/>
    <col min="8" max="8" width="23.28515625" customWidth="1"/>
    <col min="9" max="9" width="20" customWidth="1"/>
    <col min="10" max="10" width="24.7109375" customWidth="1"/>
    <col min="11" max="11" width="30.28515625" customWidth="1"/>
  </cols>
  <sheetData>
    <row r="1" spans="1:11" ht="27" customHeight="1">
      <c r="A1" s="13" t="s">
        <v>20</v>
      </c>
      <c r="B1" s="14" t="s">
        <v>21</v>
      </c>
      <c r="C1" s="13" t="s">
        <v>22</v>
      </c>
      <c r="D1" s="14" t="s">
        <v>23</v>
      </c>
      <c r="E1" s="14" t="s">
        <v>24</v>
      </c>
      <c r="F1" s="14" t="s">
        <v>26</v>
      </c>
      <c r="G1" s="14" t="s">
        <v>27</v>
      </c>
      <c r="H1" s="14" t="s">
        <v>28</v>
      </c>
      <c r="I1" s="14" t="s">
        <v>29</v>
      </c>
      <c r="J1" s="14" t="s">
        <v>30</v>
      </c>
      <c r="K1" s="14" t="s">
        <v>31</v>
      </c>
    </row>
    <row r="2" spans="1:11" ht="102">
      <c r="A2" s="9"/>
      <c r="B2" s="9" t="s">
        <v>33</v>
      </c>
      <c r="C2" s="9" t="s">
        <v>1658</v>
      </c>
      <c r="D2" s="17" t="s">
        <v>1070</v>
      </c>
      <c r="E2" s="9">
        <v>1</v>
      </c>
      <c r="F2" s="241" t="s">
        <v>3735</v>
      </c>
      <c r="G2" s="9" t="s">
        <v>3736</v>
      </c>
      <c r="H2" s="9" t="s">
        <v>3737</v>
      </c>
      <c r="I2" s="9" t="s">
        <v>3738</v>
      </c>
      <c r="J2" s="9" t="s">
        <v>3739</v>
      </c>
      <c r="K2" s="9" t="s">
        <v>3740</v>
      </c>
    </row>
    <row r="3" spans="1:11" ht="63.75">
      <c r="A3" s="9"/>
      <c r="B3" s="9" t="s">
        <v>33</v>
      </c>
      <c r="C3" s="9" t="s">
        <v>1658</v>
      </c>
      <c r="D3" s="17" t="s">
        <v>1070</v>
      </c>
      <c r="E3" s="9">
        <v>2</v>
      </c>
      <c r="F3" s="236"/>
      <c r="G3" s="9" t="s">
        <v>3741</v>
      </c>
      <c r="H3" s="9" t="s">
        <v>3742</v>
      </c>
      <c r="I3" s="9" t="s">
        <v>3743</v>
      </c>
      <c r="J3" s="9" t="s">
        <v>3744</v>
      </c>
      <c r="K3" s="9" t="s">
        <v>3745</v>
      </c>
    </row>
    <row r="4" spans="1:11" ht="51">
      <c r="A4" s="9"/>
      <c r="B4" s="9" t="s">
        <v>33</v>
      </c>
      <c r="C4" s="9" t="s">
        <v>1658</v>
      </c>
      <c r="D4" s="17" t="s">
        <v>1070</v>
      </c>
      <c r="E4" s="9">
        <v>3</v>
      </c>
      <c r="F4" s="236"/>
      <c r="G4" s="9" t="s">
        <v>3746</v>
      </c>
      <c r="H4" s="9" t="s">
        <v>3747</v>
      </c>
      <c r="I4" s="9" t="s">
        <v>3748</v>
      </c>
      <c r="J4" s="9" t="s">
        <v>3749</v>
      </c>
      <c r="K4" s="9" t="s">
        <v>3750</v>
      </c>
    </row>
    <row r="5" spans="1:11" ht="63.75">
      <c r="A5" s="9"/>
      <c r="B5" s="9" t="s">
        <v>33</v>
      </c>
      <c r="C5" s="9" t="s">
        <v>1658</v>
      </c>
      <c r="D5" s="17" t="s">
        <v>1070</v>
      </c>
      <c r="E5" s="9">
        <v>4</v>
      </c>
      <c r="F5" s="236"/>
      <c r="G5" s="9" t="s">
        <v>3751</v>
      </c>
      <c r="H5" s="9" t="s">
        <v>3752</v>
      </c>
      <c r="I5" s="9" t="s">
        <v>3753</v>
      </c>
      <c r="J5" s="9" t="s">
        <v>3754</v>
      </c>
      <c r="K5" s="9" t="s">
        <v>3755</v>
      </c>
    </row>
    <row r="6" spans="1:11" ht="63.75">
      <c r="A6" s="9"/>
      <c r="B6" s="9" t="s">
        <v>33</v>
      </c>
      <c r="C6" s="9" t="s">
        <v>1658</v>
      </c>
      <c r="D6" s="17" t="s">
        <v>1070</v>
      </c>
      <c r="E6" s="9">
        <v>5</v>
      </c>
      <c r="F6" s="236"/>
      <c r="G6" s="9" t="s">
        <v>3756</v>
      </c>
      <c r="H6" s="9" t="s">
        <v>3752</v>
      </c>
      <c r="I6" s="9" t="s">
        <v>3757</v>
      </c>
      <c r="J6" s="9" t="s">
        <v>3754</v>
      </c>
      <c r="K6" s="9" t="s">
        <v>3758</v>
      </c>
    </row>
    <row r="7" spans="1:11" ht="114.75">
      <c r="A7" s="9"/>
      <c r="B7" s="9" t="s">
        <v>33</v>
      </c>
      <c r="C7" s="9" t="s">
        <v>1658</v>
      </c>
      <c r="D7" s="17" t="s">
        <v>1070</v>
      </c>
      <c r="E7" s="9">
        <v>6</v>
      </c>
      <c r="F7" s="236"/>
      <c r="G7" s="9" t="s">
        <v>3759</v>
      </c>
      <c r="H7" s="9" t="s">
        <v>3760</v>
      </c>
      <c r="I7" s="9" t="s">
        <v>3761</v>
      </c>
      <c r="J7" s="9" t="s">
        <v>3762</v>
      </c>
      <c r="K7" s="9" t="s">
        <v>3763</v>
      </c>
    </row>
    <row r="8" spans="1:11" ht="114.75">
      <c r="A8" s="9"/>
      <c r="B8" s="9" t="s">
        <v>33</v>
      </c>
      <c r="C8" s="9" t="s">
        <v>1658</v>
      </c>
      <c r="D8" s="17" t="s">
        <v>1070</v>
      </c>
      <c r="E8" s="9">
        <v>7</v>
      </c>
      <c r="F8" s="237"/>
      <c r="G8" s="9" t="s">
        <v>3764</v>
      </c>
      <c r="H8" s="9" t="s">
        <v>3765</v>
      </c>
      <c r="I8" s="9" t="s">
        <v>3766</v>
      </c>
      <c r="J8" s="9" t="s">
        <v>3767</v>
      </c>
      <c r="K8" s="9" t="s">
        <v>3768</v>
      </c>
    </row>
    <row r="9" spans="1:11" ht="102">
      <c r="A9" s="9"/>
      <c r="B9" s="9" t="s">
        <v>33</v>
      </c>
      <c r="C9" s="9" t="s">
        <v>1658</v>
      </c>
      <c r="D9" s="9" t="s">
        <v>1106</v>
      </c>
      <c r="E9" s="9">
        <v>1</v>
      </c>
      <c r="F9" s="241" t="s">
        <v>3769</v>
      </c>
      <c r="G9" s="9" t="s">
        <v>3751</v>
      </c>
      <c r="H9" s="9" t="s">
        <v>3770</v>
      </c>
      <c r="I9" s="9" t="s">
        <v>3771</v>
      </c>
      <c r="J9" s="9" t="s">
        <v>3772</v>
      </c>
      <c r="K9" s="9" t="s">
        <v>3773</v>
      </c>
    </row>
    <row r="10" spans="1:11" ht="76.5">
      <c r="A10" s="9"/>
      <c r="B10" s="9" t="s">
        <v>33</v>
      </c>
      <c r="C10" s="9" t="s">
        <v>1658</v>
      </c>
      <c r="D10" s="9" t="s">
        <v>1106</v>
      </c>
      <c r="E10" s="9">
        <v>2</v>
      </c>
      <c r="F10" s="236"/>
      <c r="G10" s="9" t="s">
        <v>3774</v>
      </c>
      <c r="H10" s="9" t="s">
        <v>3775</v>
      </c>
      <c r="I10" s="9" t="s">
        <v>3776</v>
      </c>
      <c r="J10" s="9" t="s">
        <v>3777</v>
      </c>
      <c r="K10" s="9" t="s">
        <v>3778</v>
      </c>
    </row>
    <row r="11" spans="1:11" ht="89.25">
      <c r="A11" s="9"/>
      <c r="B11" s="9" t="s">
        <v>33</v>
      </c>
      <c r="C11" s="9" t="s">
        <v>1658</v>
      </c>
      <c r="D11" s="9" t="s">
        <v>1106</v>
      </c>
      <c r="E11" s="9">
        <v>3</v>
      </c>
      <c r="F11" s="236"/>
      <c r="G11" s="9" t="s">
        <v>3779</v>
      </c>
      <c r="H11" s="9" t="s">
        <v>3780</v>
      </c>
      <c r="I11" s="9" t="s">
        <v>3781</v>
      </c>
      <c r="J11" s="9" t="s">
        <v>3782</v>
      </c>
      <c r="K11" s="9" t="s">
        <v>3783</v>
      </c>
    </row>
    <row r="12" spans="1:11" ht="89.25">
      <c r="A12" s="9"/>
      <c r="B12" s="9" t="s">
        <v>33</v>
      </c>
      <c r="C12" s="9" t="s">
        <v>1658</v>
      </c>
      <c r="D12" s="9" t="s">
        <v>1106</v>
      </c>
      <c r="E12" s="9">
        <v>4</v>
      </c>
      <c r="F12" s="236"/>
      <c r="G12" s="9" t="s">
        <v>3779</v>
      </c>
      <c r="H12" s="9" t="s">
        <v>3784</v>
      </c>
      <c r="I12" s="9" t="s">
        <v>3785</v>
      </c>
      <c r="J12" s="9" t="s">
        <v>3786</v>
      </c>
      <c r="K12" s="9" t="s">
        <v>3787</v>
      </c>
    </row>
    <row r="13" spans="1:11" ht="76.5">
      <c r="A13" s="9"/>
      <c r="B13" s="9" t="s">
        <v>33</v>
      </c>
      <c r="C13" s="9" t="s">
        <v>1658</v>
      </c>
      <c r="D13" s="9" t="s">
        <v>1106</v>
      </c>
      <c r="E13" s="9">
        <v>5</v>
      </c>
      <c r="F13" s="236"/>
      <c r="G13" s="9" t="s">
        <v>3779</v>
      </c>
      <c r="H13" s="9" t="s">
        <v>3788</v>
      </c>
      <c r="I13" s="9" t="s">
        <v>3789</v>
      </c>
      <c r="J13" s="9" t="s">
        <v>3790</v>
      </c>
      <c r="K13" s="9" t="s">
        <v>3791</v>
      </c>
    </row>
    <row r="14" spans="1:11" ht="102">
      <c r="A14" s="9" t="s">
        <v>1136</v>
      </c>
      <c r="B14" s="9" t="s">
        <v>33</v>
      </c>
      <c r="C14" s="9" t="s">
        <v>1658</v>
      </c>
      <c r="D14" s="9" t="s">
        <v>1106</v>
      </c>
      <c r="E14" s="9">
        <v>6</v>
      </c>
      <c r="F14" s="236"/>
      <c r="G14" s="9" t="s">
        <v>3792</v>
      </c>
      <c r="H14" s="9" t="s">
        <v>3793</v>
      </c>
      <c r="I14" s="9" t="s">
        <v>3794</v>
      </c>
      <c r="J14" s="9" t="s">
        <v>3795</v>
      </c>
      <c r="K14" s="9" t="s">
        <v>3796</v>
      </c>
    </row>
    <row r="15" spans="1:11" ht="114.75">
      <c r="A15" s="9"/>
      <c r="B15" s="9" t="s">
        <v>33</v>
      </c>
      <c r="C15" s="9" t="s">
        <v>1658</v>
      </c>
      <c r="D15" s="9" t="s">
        <v>1106</v>
      </c>
      <c r="E15" s="9">
        <v>7</v>
      </c>
      <c r="F15" s="237"/>
      <c r="G15" s="9" t="s">
        <v>3797</v>
      </c>
      <c r="H15" s="9" t="s">
        <v>3798</v>
      </c>
      <c r="I15" s="9" t="s">
        <v>3799</v>
      </c>
      <c r="J15" s="9" t="s">
        <v>3800</v>
      </c>
      <c r="K15" s="9" t="s">
        <v>3801</v>
      </c>
    </row>
    <row r="16" spans="1:11" ht="114.75">
      <c r="A16" s="9"/>
      <c r="B16" s="9" t="s">
        <v>33</v>
      </c>
      <c r="C16" s="9" t="s">
        <v>1069</v>
      </c>
      <c r="D16" s="9" t="s">
        <v>1070</v>
      </c>
      <c r="E16" s="9">
        <v>1</v>
      </c>
      <c r="F16" s="241" t="s">
        <v>3802</v>
      </c>
      <c r="G16" s="9" t="s">
        <v>3741</v>
      </c>
      <c r="H16" s="9" t="s">
        <v>3803</v>
      </c>
      <c r="I16" s="9" t="s">
        <v>3804</v>
      </c>
      <c r="J16" s="9" t="s">
        <v>3805</v>
      </c>
      <c r="K16" s="9" t="s">
        <v>3806</v>
      </c>
    </row>
    <row r="17" spans="1:11" ht="153">
      <c r="A17" s="9"/>
      <c r="B17" s="9" t="s">
        <v>33</v>
      </c>
      <c r="C17" s="9" t="s">
        <v>1069</v>
      </c>
      <c r="D17" s="9" t="s">
        <v>1070</v>
      </c>
      <c r="E17" s="9">
        <v>2</v>
      </c>
      <c r="F17" s="236"/>
      <c r="G17" s="9" t="s">
        <v>3807</v>
      </c>
      <c r="H17" s="9" t="s">
        <v>3808</v>
      </c>
      <c r="I17" s="9" t="s">
        <v>3809</v>
      </c>
      <c r="J17" s="9" t="s">
        <v>3810</v>
      </c>
      <c r="K17" s="9" t="s">
        <v>3811</v>
      </c>
    </row>
    <row r="18" spans="1:11" ht="153">
      <c r="A18" s="9"/>
      <c r="B18" s="9" t="s">
        <v>33</v>
      </c>
      <c r="C18" s="9" t="s">
        <v>1069</v>
      </c>
      <c r="D18" s="9" t="s">
        <v>1070</v>
      </c>
      <c r="E18" s="9">
        <v>3</v>
      </c>
      <c r="F18" s="236"/>
      <c r="G18" s="9" t="s">
        <v>3812</v>
      </c>
      <c r="H18" s="9" t="s">
        <v>3813</v>
      </c>
      <c r="I18" s="9" t="s">
        <v>3814</v>
      </c>
      <c r="J18" s="9" t="s">
        <v>3815</v>
      </c>
      <c r="K18" s="9" t="s">
        <v>3816</v>
      </c>
    </row>
    <row r="19" spans="1:11" ht="89.25">
      <c r="A19" s="9"/>
      <c r="B19" s="9" t="s">
        <v>33</v>
      </c>
      <c r="C19" s="9" t="s">
        <v>1069</v>
      </c>
      <c r="D19" s="9" t="s">
        <v>1070</v>
      </c>
      <c r="E19" s="9">
        <v>4</v>
      </c>
      <c r="F19" s="236"/>
      <c r="G19" s="9" t="s">
        <v>3817</v>
      </c>
      <c r="H19" s="9" t="s">
        <v>3818</v>
      </c>
      <c r="I19" s="9" t="s">
        <v>3819</v>
      </c>
      <c r="J19" s="9" t="s">
        <v>3820</v>
      </c>
      <c r="K19" s="9" t="s">
        <v>3821</v>
      </c>
    </row>
    <row r="20" spans="1:11" ht="127.5">
      <c r="A20" s="9"/>
      <c r="B20" s="9" t="s">
        <v>33</v>
      </c>
      <c r="C20" s="9" t="s">
        <v>1069</v>
      </c>
      <c r="D20" s="9" t="s">
        <v>1070</v>
      </c>
      <c r="E20" s="9">
        <v>5</v>
      </c>
      <c r="F20" s="236"/>
      <c r="G20" s="9" t="s">
        <v>3822</v>
      </c>
      <c r="H20" s="9" t="s">
        <v>3823</v>
      </c>
      <c r="I20" s="9" t="s">
        <v>3824</v>
      </c>
      <c r="J20" s="241" t="s">
        <v>3825</v>
      </c>
      <c r="K20" s="9" t="s">
        <v>3826</v>
      </c>
    </row>
    <row r="21" spans="1:11" ht="153">
      <c r="A21" s="9"/>
      <c r="B21" s="9" t="s">
        <v>33</v>
      </c>
      <c r="C21" s="9" t="s">
        <v>1069</v>
      </c>
      <c r="D21" s="9" t="s">
        <v>1070</v>
      </c>
      <c r="E21" s="9">
        <v>6</v>
      </c>
      <c r="F21" s="236"/>
      <c r="G21" s="9" t="s">
        <v>3822</v>
      </c>
      <c r="H21" s="9"/>
      <c r="I21" s="9" t="s">
        <v>3827</v>
      </c>
      <c r="J21" s="237"/>
      <c r="K21" s="9" t="s">
        <v>3828</v>
      </c>
    </row>
    <row r="22" spans="1:11" ht="114.75">
      <c r="A22" s="9"/>
      <c r="B22" s="9" t="s">
        <v>33</v>
      </c>
      <c r="C22" s="9" t="s">
        <v>1069</v>
      </c>
      <c r="D22" s="9" t="s">
        <v>1070</v>
      </c>
      <c r="E22" s="9">
        <v>7</v>
      </c>
      <c r="F22" s="237"/>
      <c r="G22" s="9" t="s">
        <v>3829</v>
      </c>
      <c r="H22" s="9" t="s">
        <v>3830</v>
      </c>
      <c r="I22" s="9" t="s">
        <v>3831</v>
      </c>
      <c r="J22" s="9" t="s">
        <v>3832</v>
      </c>
      <c r="K22" s="9" t="s">
        <v>3833</v>
      </c>
    </row>
    <row r="23" spans="1:11" ht="165.75">
      <c r="A23" s="9"/>
      <c r="B23" s="9" t="s">
        <v>33</v>
      </c>
      <c r="C23" s="9" t="s">
        <v>1069</v>
      </c>
      <c r="D23" s="9" t="s">
        <v>1106</v>
      </c>
      <c r="E23" s="9">
        <v>1</v>
      </c>
      <c r="F23" s="241" t="s">
        <v>3834</v>
      </c>
      <c r="G23" s="9" t="s">
        <v>3835</v>
      </c>
      <c r="H23" s="9" t="s">
        <v>3836</v>
      </c>
      <c r="I23" s="9" t="s">
        <v>3837</v>
      </c>
      <c r="J23" s="9" t="s">
        <v>3838</v>
      </c>
      <c r="K23" s="9" t="s">
        <v>3839</v>
      </c>
    </row>
    <row r="24" spans="1:11" ht="89.25">
      <c r="A24" s="9"/>
      <c r="B24" s="9" t="s">
        <v>33</v>
      </c>
      <c r="C24" s="9" t="s">
        <v>1069</v>
      </c>
      <c r="D24" s="9" t="s">
        <v>1106</v>
      </c>
      <c r="E24" s="9">
        <v>2</v>
      </c>
      <c r="F24" s="236"/>
      <c r="G24" s="9" t="s">
        <v>3840</v>
      </c>
      <c r="H24" s="9" t="s">
        <v>3841</v>
      </c>
      <c r="I24" s="9" t="s">
        <v>3842</v>
      </c>
      <c r="J24" s="9" t="s">
        <v>3843</v>
      </c>
      <c r="K24" s="9" t="s">
        <v>3844</v>
      </c>
    </row>
    <row r="25" spans="1:11" ht="127.5">
      <c r="A25" s="9"/>
      <c r="B25" s="9" t="s">
        <v>33</v>
      </c>
      <c r="C25" s="9" t="s">
        <v>1069</v>
      </c>
      <c r="D25" s="9" t="s">
        <v>1106</v>
      </c>
      <c r="E25" s="9">
        <v>3</v>
      </c>
      <c r="F25" s="236"/>
      <c r="G25" s="9" t="s">
        <v>3756</v>
      </c>
      <c r="H25" s="9" t="s">
        <v>3845</v>
      </c>
      <c r="I25" s="9" t="s">
        <v>3846</v>
      </c>
      <c r="J25" s="9" t="s">
        <v>3847</v>
      </c>
      <c r="K25" s="9" t="s">
        <v>3848</v>
      </c>
    </row>
    <row r="26" spans="1:11" ht="114.75">
      <c r="A26" s="9"/>
      <c r="B26" s="9" t="s">
        <v>33</v>
      </c>
      <c r="C26" s="9" t="s">
        <v>1069</v>
      </c>
      <c r="D26" s="9" t="s">
        <v>1106</v>
      </c>
      <c r="E26" s="9">
        <v>4</v>
      </c>
      <c r="F26" s="236"/>
      <c r="G26" s="9" t="s">
        <v>3849</v>
      </c>
      <c r="H26" s="9" t="s">
        <v>3850</v>
      </c>
      <c r="I26" s="9" t="s">
        <v>3851</v>
      </c>
      <c r="J26" s="9" t="s">
        <v>3852</v>
      </c>
      <c r="K26" s="9" t="s">
        <v>3853</v>
      </c>
    </row>
    <row r="27" spans="1:11" ht="178.5">
      <c r="A27" s="9"/>
      <c r="B27" s="9" t="s">
        <v>33</v>
      </c>
      <c r="C27" s="9" t="s">
        <v>1069</v>
      </c>
      <c r="D27" s="9" t="s">
        <v>1106</v>
      </c>
      <c r="E27" s="9">
        <v>5</v>
      </c>
      <c r="F27" s="236"/>
      <c r="G27" s="241" t="s">
        <v>3849</v>
      </c>
      <c r="H27" s="241" t="s">
        <v>3854</v>
      </c>
      <c r="I27" s="9" t="s">
        <v>3855</v>
      </c>
      <c r="J27" s="241" t="s">
        <v>3856</v>
      </c>
      <c r="K27" s="9" t="s">
        <v>3857</v>
      </c>
    </row>
    <row r="28" spans="1:11" ht="191.25">
      <c r="A28" s="9"/>
      <c r="B28" s="9" t="s">
        <v>33</v>
      </c>
      <c r="C28" s="9" t="s">
        <v>1069</v>
      </c>
      <c r="D28" s="9" t="s">
        <v>1106</v>
      </c>
      <c r="E28" s="9">
        <v>6</v>
      </c>
      <c r="F28" s="236"/>
      <c r="G28" s="237"/>
      <c r="H28" s="237"/>
      <c r="I28" s="9" t="s">
        <v>3858</v>
      </c>
      <c r="J28" s="237"/>
      <c r="K28" s="9" t="s">
        <v>3859</v>
      </c>
    </row>
    <row r="29" spans="1:11" ht="114.75">
      <c r="A29" s="9"/>
      <c r="B29" s="9" t="s">
        <v>33</v>
      </c>
      <c r="C29" s="9" t="s">
        <v>1069</v>
      </c>
      <c r="D29" s="9" t="s">
        <v>1106</v>
      </c>
      <c r="E29" s="9">
        <v>7</v>
      </c>
      <c r="F29" s="237"/>
      <c r="G29" s="9" t="s">
        <v>3860</v>
      </c>
      <c r="H29" s="9" t="s">
        <v>3861</v>
      </c>
      <c r="I29" s="9" t="s">
        <v>3862</v>
      </c>
      <c r="J29" s="9" t="s">
        <v>3863</v>
      </c>
      <c r="K29" s="9" t="s">
        <v>3864</v>
      </c>
    </row>
    <row r="30" spans="1:11" ht="127.5">
      <c r="A30" s="9"/>
      <c r="B30" s="9" t="s">
        <v>33</v>
      </c>
      <c r="C30" s="9" t="s">
        <v>34</v>
      </c>
      <c r="D30" s="9" t="s">
        <v>1070</v>
      </c>
      <c r="E30" s="9">
        <v>1</v>
      </c>
      <c r="F30" s="241" t="s">
        <v>3865</v>
      </c>
      <c r="G30" s="9" t="s">
        <v>3866</v>
      </c>
      <c r="H30" s="9" t="s">
        <v>3867</v>
      </c>
      <c r="I30" s="9" t="s">
        <v>3868</v>
      </c>
      <c r="J30" s="9" t="s">
        <v>3869</v>
      </c>
      <c r="K30" s="9" t="s">
        <v>3870</v>
      </c>
    </row>
    <row r="31" spans="1:11" ht="89.25">
      <c r="A31" s="9"/>
      <c r="B31" s="9" t="s">
        <v>33</v>
      </c>
      <c r="C31" s="9" t="s">
        <v>34</v>
      </c>
      <c r="D31" s="9" t="s">
        <v>1070</v>
      </c>
      <c r="E31" s="9">
        <v>2</v>
      </c>
      <c r="F31" s="236"/>
      <c r="G31" s="9" t="s">
        <v>3871</v>
      </c>
      <c r="H31" s="9" t="s">
        <v>3872</v>
      </c>
      <c r="I31" s="9" t="s">
        <v>3873</v>
      </c>
      <c r="J31" s="9" t="s">
        <v>3874</v>
      </c>
      <c r="K31" s="9" t="s">
        <v>3875</v>
      </c>
    </row>
    <row r="32" spans="1:11" ht="114.75">
      <c r="A32" s="9"/>
      <c r="B32" s="9" t="s">
        <v>33</v>
      </c>
      <c r="C32" s="9" t="s">
        <v>34</v>
      </c>
      <c r="D32" s="9" t="s">
        <v>1070</v>
      </c>
      <c r="E32" s="9">
        <v>3</v>
      </c>
      <c r="F32" s="236"/>
      <c r="G32" s="9" t="s">
        <v>3876</v>
      </c>
      <c r="H32" s="9" t="s">
        <v>3877</v>
      </c>
      <c r="I32" s="9" t="s">
        <v>3878</v>
      </c>
      <c r="J32" s="9" t="s">
        <v>3879</v>
      </c>
      <c r="K32" s="9" t="s">
        <v>3880</v>
      </c>
    </row>
    <row r="33" spans="1:11" ht="153">
      <c r="A33" s="9"/>
      <c r="B33" s="9" t="s">
        <v>33</v>
      </c>
      <c r="C33" s="9" t="s">
        <v>34</v>
      </c>
      <c r="D33" s="9" t="s">
        <v>1070</v>
      </c>
      <c r="E33" s="9">
        <v>4</v>
      </c>
      <c r="F33" s="236"/>
      <c r="G33" s="9" t="s">
        <v>3881</v>
      </c>
      <c r="H33" s="9" t="s">
        <v>3882</v>
      </c>
      <c r="I33" s="9" t="s">
        <v>3883</v>
      </c>
      <c r="J33" s="9" t="s">
        <v>3884</v>
      </c>
      <c r="K33" s="9" t="s">
        <v>3885</v>
      </c>
    </row>
    <row r="34" spans="1:11" ht="140.25">
      <c r="A34" s="9"/>
      <c r="B34" s="9" t="s">
        <v>33</v>
      </c>
      <c r="C34" s="9" t="s">
        <v>34</v>
      </c>
      <c r="D34" s="9" t="s">
        <v>1070</v>
      </c>
      <c r="E34" s="9">
        <v>5</v>
      </c>
      <c r="F34" s="236"/>
      <c r="G34" s="9" t="s">
        <v>3881</v>
      </c>
      <c r="H34" s="9" t="s">
        <v>3886</v>
      </c>
      <c r="I34" s="9" t="s">
        <v>3887</v>
      </c>
      <c r="J34" s="9" t="s">
        <v>3888</v>
      </c>
      <c r="K34" s="9" t="s">
        <v>3889</v>
      </c>
    </row>
    <row r="35" spans="1:11" ht="102">
      <c r="A35" s="9"/>
      <c r="B35" s="9" t="s">
        <v>33</v>
      </c>
      <c r="C35" s="9" t="s">
        <v>34</v>
      </c>
      <c r="D35" s="9" t="s">
        <v>1070</v>
      </c>
      <c r="E35" s="9">
        <v>6</v>
      </c>
      <c r="F35" s="236"/>
      <c r="G35" s="9" t="s">
        <v>3890</v>
      </c>
      <c r="H35" s="9" t="s">
        <v>3891</v>
      </c>
      <c r="I35" s="9" t="s">
        <v>3892</v>
      </c>
      <c r="J35" s="9" t="s">
        <v>3893</v>
      </c>
      <c r="K35" s="9" t="s">
        <v>3894</v>
      </c>
    </row>
    <row r="36" spans="1:11" ht="89.25">
      <c r="A36" s="9"/>
      <c r="B36" s="9" t="s">
        <v>33</v>
      </c>
      <c r="C36" s="9" t="s">
        <v>34</v>
      </c>
      <c r="D36" s="9" t="s">
        <v>1070</v>
      </c>
      <c r="E36" s="9">
        <v>7</v>
      </c>
      <c r="F36" s="237"/>
      <c r="G36" s="9" t="s">
        <v>3890</v>
      </c>
      <c r="H36" s="9" t="s">
        <v>3891</v>
      </c>
      <c r="I36" s="9" t="s">
        <v>3895</v>
      </c>
      <c r="J36" s="9" t="s">
        <v>3896</v>
      </c>
      <c r="K36" s="9" t="s">
        <v>3897</v>
      </c>
    </row>
    <row r="37" spans="1:11" ht="89.25">
      <c r="A37" s="9"/>
      <c r="B37" s="9" t="s">
        <v>33</v>
      </c>
      <c r="C37" s="9" t="s">
        <v>34</v>
      </c>
      <c r="D37" s="9" t="s">
        <v>1106</v>
      </c>
      <c r="E37" s="9">
        <v>1</v>
      </c>
      <c r="F37" s="241" t="s">
        <v>3898</v>
      </c>
      <c r="G37" s="9" t="s">
        <v>3899</v>
      </c>
      <c r="H37" s="9" t="s">
        <v>3900</v>
      </c>
      <c r="I37" s="9" t="s">
        <v>3901</v>
      </c>
      <c r="J37" s="9" t="s">
        <v>3902</v>
      </c>
      <c r="K37" s="9" t="s">
        <v>3903</v>
      </c>
    </row>
    <row r="38" spans="1:11" ht="165.75">
      <c r="A38" s="9"/>
      <c r="B38" s="9" t="s">
        <v>33</v>
      </c>
      <c r="C38" s="9" t="s">
        <v>34</v>
      </c>
      <c r="D38" s="9" t="s">
        <v>1106</v>
      </c>
      <c r="E38" s="9">
        <v>2</v>
      </c>
      <c r="F38" s="236"/>
      <c r="G38" s="9" t="s">
        <v>3779</v>
      </c>
      <c r="H38" s="9" t="s">
        <v>3904</v>
      </c>
      <c r="I38" s="9" t="s">
        <v>3905</v>
      </c>
      <c r="J38" s="9" t="s">
        <v>3906</v>
      </c>
      <c r="K38" s="9" t="s">
        <v>3907</v>
      </c>
    </row>
    <row r="39" spans="1:11" ht="127.5">
      <c r="A39" s="9"/>
      <c r="B39" s="9" t="s">
        <v>33</v>
      </c>
      <c r="C39" s="9" t="s">
        <v>34</v>
      </c>
      <c r="D39" s="9" t="s">
        <v>1106</v>
      </c>
      <c r="E39" s="9">
        <v>3</v>
      </c>
      <c r="F39" s="236"/>
      <c r="G39" s="9" t="s">
        <v>3908</v>
      </c>
      <c r="H39" s="9" t="s">
        <v>3909</v>
      </c>
      <c r="I39" s="9" t="s">
        <v>3910</v>
      </c>
      <c r="J39" s="9" t="s">
        <v>3911</v>
      </c>
      <c r="K39" s="9" t="s">
        <v>3912</v>
      </c>
    </row>
    <row r="40" spans="1:11" ht="140.25">
      <c r="A40" s="9"/>
      <c r="B40" s="9" t="s">
        <v>33</v>
      </c>
      <c r="C40" s="9" t="s">
        <v>34</v>
      </c>
      <c r="D40" s="9" t="s">
        <v>1106</v>
      </c>
      <c r="E40" s="9">
        <v>4</v>
      </c>
      <c r="F40" s="236"/>
      <c r="G40" s="9" t="s">
        <v>3913</v>
      </c>
      <c r="H40" s="9" t="s">
        <v>3914</v>
      </c>
      <c r="I40" s="9" t="s">
        <v>3915</v>
      </c>
      <c r="J40" s="9" t="s">
        <v>3916</v>
      </c>
      <c r="K40" s="9" t="s">
        <v>3917</v>
      </c>
    </row>
    <row r="41" spans="1:11" ht="38.25">
      <c r="A41" s="9"/>
      <c r="B41" s="9" t="s">
        <v>33</v>
      </c>
      <c r="C41" s="9" t="s">
        <v>34</v>
      </c>
      <c r="D41" s="9" t="s">
        <v>1106</v>
      </c>
      <c r="E41" s="9">
        <v>5</v>
      </c>
      <c r="F41" s="236"/>
      <c r="G41" s="9" t="s">
        <v>3918</v>
      </c>
      <c r="H41" s="9" t="s">
        <v>3919</v>
      </c>
      <c r="I41" s="9" t="s">
        <v>3920</v>
      </c>
      <c r="J41" s="241" t="s">
        <v>3921</v>
      </c>
      <c r="K41" s="241" t="s">
        <v>3922</v>
      </c>
    </row>
    <row r="42" spans="1:11" ht="38.25">
      <c r="A42" s="9"/>
      <c r="B42" s="9" t="s">
        <v>33</v>
      </c>
      <c r="C42" s="9" t="s">
        <v>34</v>
      </c>
      <c r="D42" s="9" t="s">
        <v>1106</v>
      </c>
      <c r="E42" s="9">
        <v>6</v>
      </c>
      <c r="F42" s="236"/>
      <c r="G42" s="9" t="s">
        <v>3918</v>
      </c>
      <c r="H42" s="9" t="s">
        <v>3919</v>
      </c>
      <c r="I42" s="9" t="s">
        <v>3923</v>
      </c>
      <c r="J42" s="237"/>
      <c r="K42" s="237"/>
    </row>
    <row r="43" spans="1:11" ht="114.75">
      <c r="A43" s="9"/>
      <c r="B43" s="9" t="s">
        <v>33</v>
      </c>
      <c r="C43" s="9" t="s">
        <v>34</v>
      </c>
      <c r="D43" s="9" t="s">
        <v>1106</v>
      </c>
      <c r="E43" s="9">
        <v>7</v>
      </c>
      <c r="F43" s="237"/>
      <c r="G43" s="9" t="s">
        <v>3924</v>
      </c>
      <c r="H43" s="9" t="s">
        <v>3925</v>
      </c>
      <c r="I43" s="9" t="s">
        <v>3926</v>
      </c>
      <c r="J43" s="9" t="s">
        <v>3927</v>
      </c>
      <c r="K43" s="9" t="s">
        <v>3928</v>
      </c>
    </row>
    <row r="44" spans="1:11" ht="127.5">
      <c r="A44" s="9"/>
      <c r="B44" s="17" t="s">
        <v>33</v>
      </c>
      <c r="C44" s="17" t="s">
        <v>1658</v>
      </c>
      <c r="D44" s="17" t="s">
        <v>542</v>
      </c>
      <c r="E44" s="17">
        <v>1</v>
      </c>
      <c r="F44" s="17" t="s">
        <v>3929</v>
      </c>
      <c r="G44" s="17" t="s">
        <v>3930</v>
      </c>
      <c r="H44" s="17" t="s">
        <v>3931</v>
      </c>
      <c r="I44" s="17" t="s">
        <v>3932</v>
      </c>
      <c r="J44" s="17" t="s">
        <v>3933</v>
      </c>
      <c r="K44" s="17" t="s">
        <v>3934</v>
      </c>
    </row>
    <row r="45" spans="1:11" ht="89.25">
      <c r="A45" s="9"/>
      <c r="B45" s="17" t="s">
        <v>33</v>
      </c>
      <c r="C45" s="17" t="s">
        <v>1658</v>
      </c>
      <c r="D45" s="17" t="s">
        <v>542</v>
      </c>
      <c r="E45" s="17">
        <v>2</v>
      </c>
      <c r="F45" s="9"/>
      <c r="G45" s="17" t="s">
        <v>3935</v>
      </c>
      <c r="H45" s="17" t="s">
        <v>3936</v>
      </c>
      <c r="I45" s="17" t="s">
        <v>3937</v>
      </c>
      <c r="J45" s="17" t="s">
        <v>3938</v>
      </c>
      <c r="K45" s="17" t="s">
        <v>3939</v>
      </c>
    </row>
    <row r="46" spans="1:11" ht="102">
      <c r="A46" s="9"/>
      <c r="B46" s="17" t="s">
        <v>33</v>
      </c>
      <c r="C46" s="17" t="s">
        <v>1658</v>
      </c>
      <c r="D46" s="17" t="s">
        <v>542</v>
      </c>
      <c r="E46" s="17">
        <v>3</v>
      </c>
      <c r="F46" s="9"/>
      <c r="G46" s="17" t="s">
        <v>3756</v>
      </c>
      <c r="H46" s="17" t="s">
        <v>3940</v>
      </c>
      <c r="I46" s="17" t="s">
        <v>3941</v>
      </c>
      <c r="J46" s="17" t="s">
        <v>3942</v>
      </c>
      <c r="K46" s="17" t="s">
        <v>3943</v>
      </c>
    </row>
    <row r="47" spans="1:11" ht="63.75">
      <c r="A47" s="9"/>
      <c r="B47" s="17" t="s">
        <v>33</v>
      </c>
      <c r="C47" s="17" t="s">
        <v>1658</v>
      </c>
      <c r="D47" s="17" t="s">
        <v>542</v>
      </c>
      <c r="E47" s="17">
        <v>4</v>
      </c>
      <c r="F47" s="9"/>
      <c r="G47" s="17" t="s">
        <v>3756</v>
      </c>
      <c r="H47" s="17" t="s">
        <v>3940</v>
      </c>
      <c r="I47" s="17" t="s">
        <v>3944</v>
      </c>
      <c r="J47" s="17" t="s">
        <v>3945</v>
      </c>
      <c r="K47" s="17" t="s">
        <v>3946</v>
      </c>
    </row>
    <row r="48" spans="1:11" ht="63.75">
      <c r="A48" s="9"/>
      <c r="B48" s="17" t="s">
        <v>33</v>
      </c>
      <c r="C48" s="17" t="s">
        <v>1658</v>
      </c>
      <c r="D48" s="17" t="s">
        <v>542</v>
      </c>
      <c r="E48" s="17">
        <v>5</v>
      </c>
      <c r="F48" s="9"/>
      <c r="G48" s="17" t="s">
        <v>3756</v>
      </c>
      <c r="H48" s="17" t="s">
        <v>3940</v>
      </c>
      <c r="I48" s="17" t="s">
        <v>3947</v>
      </c>
      <c r="J48" s="17" t="s">
        <v>3948</v>
      </c>
      <c r="K48" s="17" t="s">
        <v>3949</v>
      </c>
    </row>
    <row r="49" spans="1:11" ht="76.5">
      <c r="A49" s="9"/>
      <c r="B49" s="17" t="s">
        <v>33</v>
      </c>
      <c r="C49" s="17" t="s">
        <v>1658</v>
      </c>
      <c r="D49" s="17" t="s">
        <v>542</v>
      </c>
      <c r="E49" s="17">
        <v>6</v>
      </c>
      <c r="F49" s="9"/>
      <c r="G49" s="17" t="s">
        <v>3756</v>
      </c>
      <c r="H49" s="17" t="s">
        <v>3940</v>
      </c>
      <c r="I49" s="17" t="s">
        <v>3950</v>
      </c>
      <c r="J49" s="17" t="s">
        <v>3951</v>
      </c>
      <c r="K49" s="17" t="s">
        <v>3952</v>
      </c>
    </row>
    <row r="50" spans="1:11" ht="102">
      <c r="A50" s="9"/>
      <c r="B50" s="17" t="s">
        <v>33</v>
      </c>
      <c r="C50" s="17" t="s">
        <v>1658</v>
      </c>
      <c r="D50" s="17" t="s">
        <v>1171</v>
      </c>
      <c r="E50" s="17">
        <v>1</v>
      </c>
      <c r="F50" s="17" t="s">
        <v>3953</v>
      </c>
      <c r="G50" s="17" t="s">
        <v>3954</v>
      </c>
      <c r="H50" s="17" t="s">
        <v>3955</v>
      </c>
      <c r="I50" s="17" t="s">
        <v>3956</v>
      </c>
      <c r="J50" s="17" t="s">
        <v>3957</v>
      </c>
      <c r="K50" s="17" t="s">
        <v>3958</v>
      </c>
    </row>
    <row r="51" spans="1:11" ht="89.25">
      <c r="A51" s="9"/>
      <c r="B51" s="17" t="s">
        <v>33</v>
      </c>
      <c r="C51" s="17" t="s">
        <v>1658</v>
      </c>
      <c r="D51" s="17" t="s">
        <v>1171</v>
      </c>
      <c r="E51" s="17">
        <v>2</v>
      </c>
      <c r="F51" s="9"/>
      <c r="G51" s="17" t="s">
        <v>3959</v>
      </c>
      <c r="H51" s="17" t="s">
        <v>3960</v>
      </c>
      <c r="I51" s="17" t="s">
        <v>3961</v>
      </c>
      <c r="J51" s="17" t="s">
        <v>3962</v>
      </c>
      <c r="K51" s="17" t="s">
        <v>3963</v>
      </c>
    </row>
    <row r="52" spans="1:11" ht="76.5">
      <c r="A52" s="9"/>
      <c r="B52" s="17" t="s">
        <v>33</v>
      </c>
      <c r="C52" s="17" t="s">
        <v>1658</v>
      </c>
      <c r="D52" s="17" t="s">
        <v>1171</v>
      </c>
      <c r="E52" s="17">
        <v>3</v>
      </c>
      <c r="F52" s="9"/>
      <c r="G52" s="17" t="s">
        <v>3964</v>
      </c>
      <c r="H52" s="17" t="s">
        <v>3965</v>
      </c>
      <c r="I52" s="17" t="s">
        <v>3966</v>
      </c>
      <c r="J52" s="17" t="s">
        <v>3967</v>
      </c>
      <c r="K52" s="17" t="s">
        <v>3968</v>
      </c>
    </row>
    <row r="53" spans="1:11" ht="76.5">
      <c r="A53" s="9"/>
      <c r="B53" s="17" t="s">
        <v>33</v>
      </c>
      <c r="C53" s="17" t="s">
        <v>1658</v>
      </c>
      <c r="D53" s="17" t="s">
        <v>1171</v>
      </c>
      <c r="E53" s="17">
        <v>4</v>
      </c>
      <c r="F53" s="9"/>
      <c r="G53" s="17" t="s">
        <v>3779</v>
      </c>
      <c r="H53" s="17" t="s">
        <v>3969</v>
      </c>
      <c r="I53" s="17" t="s">
        <v>3970</v>
      </c>
      <c r="J53" s="17" t="s">
        <v>3971</v>
      </c>
      <c r="K53" s="17" t="s">
        <v>3972</v>
      </c>
    </row>
    <row r="54" spans="1:11" ht="63.75">
      <c r="A54" s="9"/>
      <c r="B54" s="17" t="s">
        <v>33</v>
      </c>
      <c r="C54" s="17" t="s">
        <v>1658</v>
      </c>
      <c r="D54" s="17" t="s">
        <v>1171</v>
      </c>
      <c r="E54" s="17">
        <v>5</v>
      </c>
      <c r="F54" s="9"/>
      <c r="G54" s="17" t="s">
        <v>3779</v>
      </c>
      <c r="H54" s="17" t="s">
        <v>3973</v>
      </c>
      <c r="I54" s="17" t="s">
        <v>3974</v>
      </c>
      <c r="J54" s="17" t="s">
        <v>3975</v>
      </c>
      <c r="K54" s="17" t="s">
        <v>3976</v>
      </c>
    </row>
    <row r="55" spans="1:11" ht="51">
      <c r="A55" s="9"/>
      <c r="B55" s="17" t="s">
        <v>33</v>
      </c>
      <c r="C55" s="17" t="s">
        <v>1658</v>
      </c>
      <c r="D55" s="17" t="s">
        <v>1171</v>
      </c>
      <c r="E55" s="17">
        <v>6</v>
      </c>
      <c r="F55" s="9"/>
      <c r="G55" s="17" t="s">
        <v>3918</v>
      </c>
      <c r="H55" s="17" t="s">
        <v>3977</v>
      </c>
      <c r="I55" s="17" t="s">
        <v>3978</v>
      </c>
      <c r="J55" s="17" t="s">
        <v>3979</v>
      </c>
      <c r="K55" s="17" t="s">
        <v>3980</v>
      </c>
    </row>
    <row r="56" spans="1:11" ht="140.25">
      <c r="A56" s="9"/>
      <c r="B56" s="17" t="s">
        <v>33</v>
      </c>
      <c r="C56" s="17" t="s">
        <v>1069</v>
      </c>
      <c r="D56" s="17" t="s">
        <v>542</v>
      </c>
      <c r="E56" s="17">
        <v>1</v>
      </c>
      <c r="F56" s="17" t="s">
        <v>3981</v>
      </c>
      <c r="G56" s="17" t="s">
        <v>3982</v>
      </c>
      <c r="H56" s="17" t="s">
        <v>3983</v>
      </c>
      <c r="I56" s="17" t="s">
        <v>3984</v>
      </c>
      <c r="J56" s="17" t="s">
        <v>3985</v>
      </c>
      <c r="K56" s="17" t="s">
        <v>3986</v>
      </c>
    </row>
    <row r="57" spans="1:11" ht="114.75">
      <c r="A57" s="9"/>
      <c r="B57" s="17" t="s">
        <v>33</v>
      </c>
      <c r="C57" s="17" t="s">
        <v>1069</v>
      </c>
      <c r="D57" s="17" t="s">
        <v>542</v>
      </c>
      <c r="E57" s="17">
        <v>2</v>
      </c>
      <c r="F57" s="9"/>
      <c r="G57" s="17" t="s">
        <v>3987</v>
      </c>
      <c r="H57" s="17" t="s">
        <v>3988</v>
      </c>
      <c r="I57" s="17" t="s">
        <v>3989</v>
      </c>
      <c r="J57" s="17" t="s">
        <v>3990</v>
      </c>
      <c r="K57" s="17" t="s">
        <v>3991</v>
      </c>
    </row>
    <row r="58" spans="1:11" ht="153">
      <c r="A58" s="9"/>
      <c r="B58" s="17" t="s">
        <v>33</v>
      </c>
      <c r="C58" s="17" t="s">
        <v>1069</v>
      </c>
      <c r="D58" s="17" t="s">
        <v>542</v>
      </c>
      <c r="E58" s="17">
        <v>3</v>
      </c>
      <c r="F58" s="9"/>
      <c r="G58" s="17" t="s">
        <v>3987</v>
      </c>
      <c r="H58" s="17" t="s">
        <v>3992</v>
      </c>
      <c r="I58" s="17" t="s">
        <v>3993</v>
      </c>
      <c r="J58" s="17" t="s">
        <v>3994</v>
      </c>
      <c r="K58" s="17" t="s">
        <v>3995</v>
      </c>
    </row>
    <row r="59" spans="1:11" ht="102">
      <c r="A59" s="9"/>
      <c r="B59" s="17" t="s">
        <v>33</v>
      </c>
      <c r="C59" s="17" t="s">
        <v>1069</v>
      </c>
      <c r="D59" s="17" t="s">
        <v>542</v>
      </c>
      <c r="E59" s="17">
        <v>4</v>
      </c>
      <c r="F59" s="9"/>
      <c r="G59" s="17" t="s">
        <v>3987</v>
      </c>
      <c r="H59" s="17" t="s">
        <v>3996</v>
      </c>
      <c r="I59" s="17" t="s">
        <v>3997</v>
      </c>
      <c r="J59" s="17" t="s">
        <v>3998</v>
      </c>
      <c r="K59" s="17" t="s">
        <v>3999</v>
      </c>
    </row>
    <row r="60" spans="1:11" ht="140.25">
      <c r="A60" s="9"/>
      <c r="B60" s="17" t="s">
        <v>33</v>
      </c>
      <c r="C60" s="17" t="s">
        <v>1069</v>
      </c>
      <c r="D60" s="17" t="s">
        <v>542</v>
      </c>
      <c r="E60" s="17">
        <v>5</v>
      </c>
      <c r="F60" s="9"/>
      <c r="G60" s="17" t="s">
        <v>3756</v>
      </c>
      <c r="H60" s="17" t="s">
        <v>4000</v>
      </c>
      <c r="I60" s="17" t="s">
        <v>4001</v>
      </c>
      <c r="J60" s="17" t="s">
        <v>4002</v>
      </c>
      <c r="K60" s="17" t="s">
        <v>4003</v>
      </c>
    </row>
    <row r="61" spans="1:11" ht="153">
      <c r="A61" s="9"/>
      <c r="B61" s="17" t="s">
        <v>33</v>
      </c>
      <c r="C61" s="17" t="s">
        <v>1069</v>
      </c>
      <c r="D61" s="17" t="s">
        <v>542</v>
      </c>
      <c r="E61" s="17">
        <v>6</v>
      </c>
      <c r="F61" s="9"/>
      <c r="G61" s="17" t="s">
        <v>3756</v>
      </c>
      <c r="H61" s="17" t="s">
        <v>4004</v>
      </c>
      <c r="I61" s="17" t="s">
        <v>4005</v>
      </c>
      <c r="J61" s="17" t="s">
        <v>4006</v>
      </c>
      <c r="K61" s="17" t="s">
        <v>4007</v>
      </c>
    </row>
    <row r="62" spans="1:11" ht="102">
      <c r="A62" s="9"/>
      <c r="B62" s="17" t="s">
        <v>33</v>
      </c>
      <c r="C62" s="17" t="s">
        <v>1069</v>
      </c>
      <c r="D62" s="17" t="s">
        <v>1171</v>
      </c>
      <c r="E62" s="17">
        <v>1</v>
      </c>
      <c r="F62" s="17" t="s">
        <v>4008</v>
      </c>
      <c r="G62" s="17" t="s">
        <v>3792</v>
      </c>
      <c r="H62" s="17" t="s">
        <v>4009</v>
      </c>
      <c r="I62" s="17" t="s">
        <v>4010</v>
      </c>
      <c r="J62" s="17" t="s">
        <v>4011</v>
      </c>
      <c r="K62" s="17" t="s">
        <v>4012</v>
      </c>
    </row>
    <row r="63" spans="1:11" ht="102">
      <c r="A63" s="9"/>
      <c r="B63" s="17" t="s">
        <v>33</v>
      </c>
      <c r="C63" s="17" t="s">
        <v>1069</v>
      </c>
      <c r="D63" s="17" t="s">
        <v>1171</v>
      </c>
      <c r="E63" s="17">
        <v>2</v>
      </c>
      <c r="F63" s="9"/>
      <c r="G63" s="17" t="s">
        <v>4013</v>
      </c>
      <c r="H63" s="17" t="s">
        <v>4014</v>
      </c>
      <c r="I63" s="17" t="s">
        <v>4015</v>
      </c>
      <c r="J63" s="17" t="s">
        <v>4016</v>
      </c>
      <c r="K63" s="17" t="s">
        <v>4017</v>
      </c>
    </row>
    <row r="64" spans="1:11" ht="76.5">
      <c r="A64" s="9"/>
      <c r="B64" s="17" t="s">
        <v>33</v>
      </c>
      <c r="C64" s="17" t="s">
        <v>1069</v>
      </c>
      <c r="D64" s="17" t="s">
        <v>1171</v>
      </c>
      <c r="E64" s="17">
        <v>3</v>
      </c>
      <c r="F64" s="9"/>
      <c r="G64" s="17" t="s">
        <v>4013</v>
      </c>
      <c r="H64" s="17" t="s">
        <v>4018</v>
      </c>
      <c r="I64" s="17" t="s">
        <v>4019</v>
      </c>
      <c r="J64" s="17" t="s">
        <v>4020</v>
      </c>
      <c r="K64" s="17" t="s">
        <v>4021</v>
      </c>
    </row>
    <row r="65" spans="1:11" ht="102">
      <c r="A65" s="9"/>
      <c r="B65" s="17" t="s">
        <v>33</v>
      </c>
      <c r="C65" s="17" t="s">
        <v>1069</v>
      </c>
      <c r="D65" s="17" t="s">
        <v>1171</v>
      </c>
      <c r="E65" s="17">
        <v>4</v>
      </c>
      <c r="F65" s="9"/>
      <c r="G65" s="17" t="s">
        <v>4022</v>
      </c>
      <c r="H65" s="17" t="s">
        <v>4023</v>
      </c>
      <c r="I65" s="17" t="s">
        <v>4024</v>
      </c>
      <c r="J65" s="17" t="s">
        <v>4025</v>
      </c>
      <c r="K65" s="17" t="s">
        <v>4026</v>
      </c>
    </row>
    <row r="66" spans="1:11" ht="102">
      <c r="A66" s="9"/>
      <c r="B66" s="17" t="s">
        <v>33</v>
      </c>
      <c r="C66" s="17" t="s">
        <v>1069</v>
      </c>
      <c r="D66" s="17" t="s">
        <v>1171</v>
      </c>
      <c r="E66" s="17">
        <v>5</v>
      </c>
      <c r="F66" s="9"/>
      <c r="G66" s="17" t="s">
        <v>4027</v>
      </c>
      <c r="H66" s="17" t="s">
        <v>4028</v>
      </c>
      <c r="I66" s="17" t="s">
        <v>4029</v>
      </c>
      <c r="J66" s="17" t="s">
        <v>4030</v>
      </c>
      <c r="K66" s="17" t="s">
        <v>4031</v>
      </c>
    </row>
    <row r="67" spans="1:11" ht="76.5">
      <c r="A67" s="9"/>
      <c r="B67" s="17" t="s">
        <v>33</v>
      </c>
      <c r="C67" s="17" t="s">
        <v>1069</v>
      </c>
      <c r="D67" s="17" t="s">
        <v>1171</v>
      </c>
      <c r="E67" s="17">
        <v>6</v>
      </c>
      <c r="F67" s="9"/>
      <c r="G67" s="17" t="s">
        <v>4032</v>
      </c>
      <c r="H67" s="17" t="s">
        <v>4033</v>
      </c>
      <c r="I67" s="17" t="s">
        <v>4034</v>
      </c>
      <c r="J67" s="17" t="s">
        <v>4035</v>
      </c>
      <c r="K67" s="17" t="s">
        <v>4036</v>
      </c>
    </row>
    <row r="68" spans="1:11" ht="102">
      <c r="A68" s="9"/>
      <c r="B68" s="17" t="s">
        <v>33</v>
      </c>
      <c r="C68" s="17" t="s">
        <v>34</v>
      </c>
      <c r="D68" s="17" t="s">
        <v>542</v>
      </c>
      <c r="E68" s="17">
        <v>1</v>
      </c>
      <c r="F68" s="17" t="s">
        <v>4037</v>
      </c>
      <c r="G68" s="17" t="s">
        <v>3899</v>
      </c>
      <c r="H68" s="17" t="s">
        <v>4038</v>
      </c>
      <c r="I68" s="17" t="s">
        <v>4039</v>
      </c>
      <c r="J68" s="17" t="s">
        <v>4040</v>
      </c>
      <c r="K68" s="17" t="s">
        <v>4041</v>
      </c>
    </row>
    <row r="69" spans="1:11" ht="127.5">
      <c r="A69" s="9"/>
      <c r="B69" s="17" t="s">
        <v>33</v>
      </c>
      <c r="C69" s="17" t="s">
        <v>34</v>
      </c>
      <c r="D69" s="17" t="s">
        <v>542</v>
      </c>
      <c r="E69" s="17">
        <v>2</v>
      </c>
      <c r="F69" s="9"/>
      <c r="G69" s="17" t="s">
        <v>4042</v>
      </c>
      <c r="H69" s="17" t="s">
        <v>4043</v>
      </c>
      <c r="I69" s="17" t="s">
        <v>4044</v>
      </c>
      <c r="J69" s="17" t="s">
        <v>4045</v>
      </c>
      <c r="K69" s="17" t="s">
        <v>4046</v>
      </c>
    </row>
    <row r="70" spans="1:11" ht="89.25">
      <c r="A70" s="9"/>
      <c r="B70" s="17" t="s">
        <v>33</v>
      </c>
      <c r="C70" s="17" t="s">
        <v>34</v>
      </c>
      <c r="D70" s="17" t="s">
        <v>542</v>
      </c>
      <c r="E70" s="17">
        <v>3</v>
      </c>
      <c r="F70" s="9"/>
      <c r="G70" s="17" t="s">
        <v>4047</v>
      </c>
      <c r="H70" s="17" t="s">
        <v>4048</v>
      </c>
      <c r="I70" s="17" t="s">
        <v>4049</v>
      </c>
      <c r="J70" s="17" t="s">
        <v>4050</v>
      </c>
      <c r="K70" s="17" t="s">
        <v>4051</v>
      </c>
    </row>
    <row r="71" spans="1:11" ht="153">
      <c r="A71" s="9"/>
      <c r="B71" s="17" t="s">
        <v>33</v>
      </c>
      <c r="C71" s="17" t="s">
        <v>34</v>
      </c>
      <c r="D71" s="17" t="s">
        <v>542</v>
      </c>
      <c r="E71" s="17">
        <v>4</v>
      </c>
      <c r="F71" s="9"/>
      <c r="G71" s="17" t="s">
        <v>4052</v>
      </c>
      <c r="H71" s="17" t="s">
        <v>4048</v>
      </c>
      <c r="I71" s="17" t="s">
        <v>4053</v>
      </c>
      <c r="J71" s="17" t="s">
        <v>4054</v>
      </c>
      <c r="K71" s="17" t="s">
        <v>4055</v>
      </c>
    </row>
    <row r="72" spans="1:11" ht="114.75">
      <c r="A72" s="9"/>
      <c r="B72" s="17" t="s">
        <v>33</v>
      </c>
      <c r="C72" s="17" t="s">
        <v>34</v>
      </c>
      <c r="D72" s="17" t="s">
        <v>542</v>
      </c>
      <c r="E72" s="17">
        <v>5</v>
      </c>
      <c r="F72" s="9"/>
      <c r="G72" s="17" t="s">
        <v>4056</v>
      </c>
      <c r="H72" s="17" t="s">
        <v>4057</v>
      </c>
      <c r="I72" s="17" t="s">
        <v>4058</v>
      </c>
      <c r="J72" s="17" t="s">
        <v>4059</v>
      </c>
      <c r="K72" s="17" t="s">
        <v>4060</v>
      </c>
    </row>
    <row r="73" spans="1:11" ht="127.5">
      <c r="A73" s="9"/>
      <c r="B73" s="17" t="s">
        <v>33</v>
      </c>
      <c r="C73" s="17" t="s">
        <v>34</v>
      </c>
      <c r="D73" s="17" t="s">
        <v>542</v>
      </c>
      <c r="E73" s="17">
        <v>6</v>
      </c>
      <c r="F73" s="9"/>
      <c r="G73" s="17" t="s">
        <v>4061</v>
      </c>
      <c r="H73" s="17" t="s">
        <v>4062</v>
      </c>
      <c r="I73" s="17" t="s">
        <v>4063</v>
      </c>
      <c r="J73" s="17" t="s">
        <v>4064</v>
      </c>
      <c r="K73" s="17" t="s">
        <v>4065</v>
      </c>
    </row>
    <row r="74" spans="1:11" ht="89.25">
      <c r="A74" s="9"/>
      <c r="B74" s="17" t="s">
        <v>33</v>
      </c>
      <c r="C74" s="17" t="s">
        <v>34</v>
      </c>
      <c r="D74" s="17" t="s">
        <v>1171</v>
      </c>
      <c r="E74" s="17">
        <v>1</v>
      </c>
      <c r="F74" s="17" t="s">
        <v>4066</v>
      </c>
      <c r="G74" s="17" t="s">
        <v>4067</v>
      </c>
      <c r="H74" s="17" t="s">
        <v>4068</v>
      </c>
      <c r="I74" s="17" t="s">
        <v>4069</v>
      </c>
      <c r="J74" s="17" t="s">
        <v>4070</v>
      </c>
      <c r="K74" s="17" t="s">
        <v>4071</v>
      </c>
    </row>
    <row r="75" spans="1:11" ht="114.75">
      <c r="A75" s="9"/>
      <c r="B75" s="17" t="s">
        <v>33</v>
      </c>
      <c r="C75" s="17" t="s">
        <v>34</v>
      </c>
      <c r="D75" s="17" t="s">
        <v>1171</v>
      </c>
      <c r="E75" s="17">
        <v>2</v>
      </c>
      <c r="F75" s="9"/>
      <c r="G75" s="17" t="s">
        <v>4072</v>
      </c>
      <c r="H75" s="17" t="s">
        <v>4073</v>
      </c>
      <c r="I75" s="17" t="s">
        <v>4074</v>
      </c>
      <c r="J75" s="17" t="s">
        <v>4075</v>
      </c>
      <c r="K75" s="17" t="s">
        <v>4076</v>
      </c>
    </row>
    <row r="76" spans="1:11" ht="153">
      <c r="A76" s="9"/>
      <c r="B76" s="17" t="s">
        <v>33</v>
      </c>
      <c r="C76" s="17" t="s">
        <v>34</v>
      </c>
      <c r="D76" s="17" t="s">
        <v>1171</v>
      </c>
      <c r="E76" s="17">
        <v>3</v>
      </c>
      <c r="F76" s="9"/>
      <c r="G76" s="17" t="s">
        <v>4077</v>
      </c>
      <c r="H76" s="17" t="s">
        <v>4078</v>
      </c>
      <c r="I76" s="17" t="s">
        <v>4079</v>
      </c>
      <c r="J76" s="17" t="s">
        <v>4080</v>
      </c>
      <c r="K76" s="17" t="s">
        <v>4081</v>
      </c>
    </row>
    <row r="77" spans="1:11" ht="114.75">
      <c r="A77" s="9"/>
      <c r="B77" s="17" t="s">
        <v>33</v>
      </c>
      <c r="C77" s="17" t="s">
        <v>34</v>
      </c>
      <c r="D77" s="17" t="s">
        <v>1171</v>
      </c>
      <c r="E77" s="17">
        <v>4</v>
      </c>
      <c r="F77" s="9"/>
      <c r="G77" s="17" t="s">
        <v>4082</v>
      </c>
      <c r="H77" s="17" t="s">
        <v>4083</v>
      </c>
      <c r="I77" s="17" t="s">
        <v>4084</v>
      </c>
      <c r="J77" s="17" t="s">
        <v>4085</v>
      </c>
      <c r="K77" s="17" t="s">
        <v>4086</v>
      </c>
    </row>
    <row r="78" spans="1:11" ht="153">
      <c r="A78" s="9"/>
      <c r="B78" s="17" t="s">
        <v>33</v>
      </c>
      <c r="C78" s="17" t="s">
        <v>34</v>
      </c>
      <c r="D78" s="17" t="s">
        <v>1171</v>
      </c>
      <c r="E78" s="17">
        <v>5</v>
      </c>
      <c r="F78" s="9"/>
      <c r="G78" s="17" t="s">
        <v>4087</v>
      </c>
      <c r="H78" s="17" t="s">
        <v>4088</v>
      </c>
      <c r="I78" s="17" t="s">
        <v>4089</v>
      </c>
      <c r="J78" s="17" t="s">
        <v>4090</v>
      </c>
      <c r="K78" s="17" t="s">
        <v>4091</v>
      </c>
    </row>
    <row r="79" spans="1:11" ht="114.75">
      <c r="A79" s="9"/>
      <c r="B79" s="17" t="s">
        <v>33</v>
      </c>
      <c r="C79" s="17" t="s">
        <v>34</v>
      </c>
      <c r="D79" s="17" t="s">
        <v>1171</v>
      </c>
      <c r="E79" s="17">
        <v>6</v>
      </c>
      <c r="F79" s="9"/>
      <c r="G79" s="17" t="s">
        <v>4092</v>
      </c>
      <c r="H79" s="17" t="s">
        <v>4093</v>
      </c>
      <c r="I79" s="17" t="s">
        <v>4094</v>
      </c>
      <c r="J79" s="17" t="s">
        <v>4095</v>
      </c>
      <c r="K79" s="17" t="s">
        <v>4096</v>
      </c>
    </row>
  </sheetData>
  <autoFilter ref="A1:K79"/>
  <mergeCells count="12">
    <mergeCell ref="F2:F8"/>
    <mergeCell ref="F9:F15"/>
    <mergeCell ref="F16:F22"/>
    <mergeCell ref="J20:J21"/>
    <mergeCell ref="G27:G28"/>
    <mergeCell ref="H27:H28"/>
    <mergeCell ref="J27:J28"/>
    <mergeCell ref="F23:F29"/>
    <mergeCell ref="F30:F36"/>
    <mergeCell ref="F37:F43"/>
    <mergeCell ref="J41:J42"/>
    <mergeCell ref="K41:K42"/>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sheetPr>
    <tabColor rgb="FFFFBFFC"/>
  </sheetPr>
  <dimension ref="A1:J53"/>
  <sheetViews>
    <sheetView workbookViewId="0">
      <pane ySplit="1" topLeftCell="A2" activePane="bottomLeft" state="frozen"/>
      <selection pane="bottomLeft" activeCell="B3" sqref="B3"/>
    </sheetView>
  </sheetViews>
  <sheetFormatPr defaultColWidth="12.5703125" defaultRowHeight="15" customHeight="1"/>
  <cols>
    <col min="1" max="1" width="17.5703125" customWidth="1"/>
    <col min="2" max="2" width="11.140625" customWidth="1"/>
    <col min="3" max="3" width="8.42578125" customWidth="1"/>
    <col min="4" max="4" width="12.140625" customWidth="1"/>
    <col min="5" max="5" width="8.42578125" customWidth="1"/>
    <col min="6" max="6" width="31.85546875" customWidth="1"/>
    <col min="7" max="7" width="20.7109375" customWidth="1"/>
    <col min="8" max="8" width="21.7109375" customWidth="1"/>
    <col min="9" max="9" width="23.42578125" customWidth="1"/>
    <col min="10" max="10" width="20" customWidth="1"/>
  </cols>
  <sheetData>
    <row r="1" spans="1:10" ht="27" customHeight="1">
      <c r="A1" s="13" t="s">
        <v>20</v>
      </c>
      <c r="B1" s="111" t="s">
        <v>21</v>
      </c>
      <c r="C1" s="112" t="s">
        <v>22</v>
      </c>
      <c r="D1" s="111" t="s">
        <v>23</v>
      </c>
      <c r="E1" s="111" t="s">
        <v>24</v>
      </c>
      <c r="F1" s="111" t="s">
        <v>27</v>
      </c>
      <c r="G1" s="111" t="s">
        <v>28</v>
      </c>
      <c r="H1" s="111" t="s">
        <v>1464</v>
      </c>
      <c r="I1" s="111" t="s">
        <v>30</v>
      </c>
      <c r="J1" s="111" t="s">
        <v>31</v>
      </c>
    </row>
    <row r="2" spans="1:10" ht="191.25">
      <c r="A2" s="16"/>
      <c r="B2" s="9" t="s">
        <v>33</v>
      </c>
      <c r="C2" s="9" t="s">
        <v>1465</v>
      </c>
      <c r="D2" s="17" t="s">
        <v>1070</v>
      </c>
      <c r="E2" s="9">
        <v>1</v>
      </c>
      <c r="F2" s="9" t="s">
        <v>4097</v>
      </c>
      <c r="G2" s="9" t="s">
        <v>4098</v>
      </c>
      <c r="H2" s="16" t="s">
        <v>4099</v>
      </c>
      <c r="I2" s="9" t="s">
        <v>4100</v>
      </c>
      <c r="J2" s="9" t="s">
        <v>4101</v>
      </c>
    </row>
    <row r="3" spans="1:10" ht="191.25">
      <c r="A3" s="16"/>
      <c r="B3" s="9" t="s">
        <v>33</v>
      </c>
      <c r="C3" s="9" t="s">
        <v>1465</v>
      </c>
      <c r="D3" s="17" t="s">
        <v>1070</v>
      </c>
      <c r="E3" s="9">
        <v>2</v>
      </c>
      <c r="F3" s="9" t="s">
        <v>4097</v>
      </c>
      <c r="G3" s="9" t="s">
        <v>4098</v>
      </c>
      <c r="H3" s="16" t="s">
        <v>4102</v>
      </c>
      <c r="I3" s="9" t="s">
        <v>4103</v>
      </c>
      <c r="J3" s="9" t="s">
        <v>4104</v>
      </c>
    </row>
    <row r="4" spans="1:10" ht="191.25">
      <c r="A4" s="16"/>
      <c r="B4" s="9" t="s">
        <v>33</v>
      </c>
      <c r="C4" s="9" t="s">
        <v>1465</v>
      </c>
      <c r="D4" s="17" t="s">
        <v>1070</v>
      </c>
      <c r="E4" s="9">
        <v>3</v>
      </c>
      <c r="F4" s="9" t="s">
        <v>4105</v>
      </c>
      <c r="G4" s="9" t="s">
        <v>4106</v>
      </c>
      <c r="H4" s="9" t="s">
        <v>4107</v>
      </c>
      <c r="I4" s="9" t="s">
        <v>4108</v>
      </c>
      <c r="J4" s="9" t="s">
        <v>4109</v>
      </c>
    </row>
    <row r="5" spans="1:10" ht="191.25">
      <c r="A5" s="16"/>
      <c r="B5" s="9" t="s">
        <v>33</v>
      </c>
      <c r="C5" s="9" t="s">
        <v>1465</v>
      </c>
      <c r="D5" s="17" t="s">
        <v>1070</v>
      </c>
      <c r="E5" s="9">
        <v>4</v>
      </c>
      <c r="F5" s="9" t="s">
        <v>4105</v>
      </c>
      <c r="G5" s="9" t="s">
        <v>4106</v>
      </c>
      <c r="H5" s="9" t="s">
        <v>4110</v>
      </c>
      <c r="I5" s="9" t="s">
        <v>4111</v>
      </c>
      <c r="J5" s="9" t="s">
        <v>4112</v>
      </c>
    </row>
    <row r="6" spans="1:10" ht="204">
      <c r="A6" s="16"/>
      <c r="B6" s="9" t="s">
        <v>33</v>
      </c>
      <c r="C6" s="9" t="s">
        <v>1465</v>
      </c>
      <c r="D6" s="17" t="s">
        <v>1070</v>
      </c>
      <c r="E6" s="9">
        <v>5</v>
      </c>
      <c r="F6" s="9" t="s">
        <v>4097</v>
      </c>
      <c r="G6" s="9" t="s">
        <v>4113</v>
      </c>
      <c r="H6" s="9" t="s">
        <v>4114</v>
      </c>
      <c r="I6" s="9" t="s">
        <v>4115</v>
      </c>
      <c r="J6" s="9" t="s">
        <v>4116</v>
      </c>
    </row>
    <row r="7" spans="1:10" ht="191.25">
      <c r="A7" s="16"/>
      <c r="B7" s="9" t="s">
        <v>33</v>
      </c>
      <c r="C7" s="9" t="s">
        <v>1465</v>
      </c>
      <c r="D7" s="17" t="s">
        <v>1070</v>
      </c>
      <c r="E7" s="9">
        <v>6</v>
      </c>
      <c r="F7" s="9" t="s">
        <v>4117</v>
      </c>
      <c r="G7" s="9" t="s">
        <v>4118</v>
      </c>
      <c r="H7" s="9" t="s">
        <v>4119</v>
      </c>
      <c r="I7" s="9" t="s">
        <v>4120</v>
      </c>
      <c r="J7" s="9" t="s">
        <v>4121</v>
      </c>
    </row>
    <row r="8" spans="1:10" ht="127.5">
      <c r="A8" s="16"/>
      <c r="B8" s="9" t="s">
        <v>33</v>
      </c>
      <c r="C8" s="9" t="s">
        <v>1465</v>
      </c>
      <c r="D8" s="17" t="s">
        <v>1070</v>
      </c>
      <c r="E8" s="9">
        <v>7</v>
      </c>
      <c r="F8" s="9" t="s">
        <v>4117</v>
      </c>
      <c r="G8" s="9" t="s">
        <v>4118</v>
      </c>
      <c r="H8" s="9" t="s">
        <v>4122</v>
      </c>
      <c r="I8" s="9" t="s">
        <v>4122</v>
      </c>
      <c r="J8" s="9" t="s">
        <v>4123</v>
      </c>
    </row>
    <row r="9" spans="1:10" ht="127.5">
      <c r="A9" s="16"/>
      <c r="B9" s="9" t="s">
        <v>33</v>
      </c>
      <c r="C9" s="9" t="s">
        <v>1465</v>
      </c>
      <c r="D9" s="17" t="s">
        <v>1070</v>
      </c>
      <c r="E9" s="9">
        <v>8</v>
      </c>
      <c r="F9" s="9" t="s">
        <v>4117</v>
      </c>
      <c r="G9" s="9" t="s">
        <v>4118</v>
      </c>
      <c r="H9" s="9" t="s">
        <v>4124</v>
      </c>
      <c r="I9" s="9" t="s">
        <v>4125</v>
      </c>
      <c r="J9" s="9" t="s">
        <v>4126</v>
      </c>
    </row>
    <row r="10" spans="1:10" ht="204">
      <c r="A10" s="16"/>
      <c r="B10" s="9" t="s">
        <v>33</v>
      </c>
      <c r="C10" s="9" t="s">
        <v>1465</v>
      </c>
      <c r="D10" s="17" t="s">
        <v>1070</v>
      </c>
      <c r="E10" s="9">
        <v>9</v>
      </c>
      <c r="F10" s="9" t="s">
        <v>4117</v>
      </c>
      <c r="G10" s="9" t="s">
        <v>4118</v>
      </c>
      <c r="H10" s="9" t="s">
        <v>4127</v>
      </c>
      <c r="I10" s="16" t="s">
        <v>4128</v>
      </c>
      <c r="J10" s="9" t="s">
        <v>4116</v>
      </c>
    </row>
    <row r="11" spans="1:10" ht="191.25">
      <c r="A11" s="16"/>
      <c r="B11" s="9" t="s">
        <v>33</v>
      </c>
      <c r="C11" s="9" t="s">
        <v>1465</v>
      </c>
      <c r="D11" s="17" t="s">
        <v>1070</v>
      </c>
      <c r="E11" s="9">
        <v>10</v>
      </c>
      <c r="F11" s="9" t="s">
        <v>4097</v>
      </c>
      <c r="G11" s="9" t="s">
        <v>4129</v>
      </c>
      <c r="H11" s="9" t="s">
        <v>4130</v>
      </c>
      <c r="I11" s="9" t="s">
        <v>4131</v>
      </c>
      <c r="J11" s="9" t="s">
        <v>4132</v>
      </c>
    </row>
    <row r="12" spans="1:10" ht="191.25">
      <c r="A12" s="16"/>
      <c r="B12" s="9" t="s">
        <v>33</v>
      </c>
      <c r="C12" s="9" t="s">
        <v>1465</v>
      </c>
      <c r="D12" s="17" t="s">
        <v>1070</v>
      </c>
      <c r="E12" s="9">
        <v>11</v>
      </c>
      <c r="F12" s="9" t="s">
        <v>4097</v>
      </c>
      <c r="G12" s="9" t="s">
        <v>4133</v>
      </c>
      <c r="H12" s="9" t="s">
        <v>4134</v>
      </c>
      <c r="I12" s="9" t="s">
        <v>4135</v>
      </c>
      <c r="J12" s="9" t="s">
        <v>4136</v>
      </c>
    </row>
    <row r="13" spans="1:10" ht="204">
      <c r="A13" s="16"/>
      <c r="B13" s="9" t="s">
        <v>33</v>
      </c>
      <c r="C13" s="9" t="s">
        <v>1465</v>
      </c>
      <c r="D13" s="17" t="s">
        <v>1070</v>
      </c>
      <c r="E13" s="9">
        <v>12</v>
      </c>
      <c r="F13" s="9" t="s">
        <v>4097</v>
      </c>
      <c r="G13" s="9" t="s">
        <v>4133</v>
      </c>
      <c r="H13" s="9" t="s">
        <v>4137</v>
      </c>
      <c r="I13" s="9" t="s">
        <v>4138</v>
      </c>
      <c r="J13" s="9" t="s">
        <v>4116</v>
      </c>
    </row>
    <row r="14" spans="1:10" ht="102">
      <c r="A14" s="16"/>
      <c r="B14" s="9" t="s">
        <v>33</v>
      </c>
      <c r="C14" s="9" t="s">
        <v>1465</v>
      </c>
      <c r="D14" s="17" t="s">
        <v>1070</v>
      </c>
      <c r="E14" s="9">
        <v>13</v>
      </c>
      <c r="F14" s="9" t="s">
        <v>4139</v>
      </c>
      <c r="G14" s="9" t="s">
        <v>4140</v>
      </c>
      <c r="H14" s="16" t="s">
        <v>4141</v>
      </c>
      <c r="I14" s="9" t="s">
        <v>4142</v>
      </c>
      <c r="J14" s="16" t="s">
        <v>4143</v>
      </c>
    </row>
    <row r="15" spans="1:10" ht="204">
      <c r="A15" s="16"/>
      <c r="B15" s="9" t="s">
        <v>33</v>
      </c>
      <c r="C15" s="9" t="s">
        <v>1465</v>
      </c>
      <c r="D15" s="17" t="s">
        <v>1070</v>
      </c>
      <c r="E15" s="9">
        <v>14</v>
      </c>
      <c r="F15" s="9" t="s">
        <v>4139</v>
      </c>
      <c r="G15" s="9" t="s">
        <v>4140</v>
      </c>
      <c r="H15" s="9" t="s">
        <v>4144</v>
      </c>
      <c r="I15" s="9" t="s">
        <v>4142</v>
      </c>
      <c r="J15" s="9" t="s">
        <v>4116</v>
      </c>
    </row>
    <row r="16" spans="1:10" ht="102">
      <c r="A16" s="16"/>
      <c r="B16" s="9" t="s">
        <v>33</v>
      </c>
      <c r="C16" s="9" t="s">
        <v>1465</v>
      </c>
      <c r="D16" s="17" t="s">
        <v>1106</v>
      </c>
      <c r="E16" s="9">
        <v>1</v>
      </c>
      <c r="F16" s="9" t="s">
        <v>4139</v>
      </c>
      <c r="G16" s="9" t="s">
        <v>4140</v>
      </c>
      <c r="H16" s="9" t="s">
        <v>4145</v>
      </c>
      <c r="I16" s="9" t="s">
        <v>4145</v>
      </c>
      <c r="J16" s="9" t="s">
        <v>4146</v>
      </c>
    </row>
    <row r="17" spans="1:10" ht="102">
      <c r="A17" s="16"/>
      <c r="B17" s="9" t="s">
        <v>33</v>
      </c>
      <c r="C17" s="9" t="s">
        <v>1465</v>
      </c>
      <c r="D17" s="17" t="s">
        <v>1106</v>
      </c>
      <c r="E17" s="9">
        <v>2</v>
      </c>
      <c r="F17" s="9" t="s">
        <v>4139</v>
      </c>
      <c r="G17" s="9" t="s">
        <v>4140</v>
      </c>
      <c r="H17" s="9" t="s">
        <v>4147</v>
      </c>
      <c r="I17" s="9" t="s">
        <v>4148</v>
      </c>
      <c r="J17" s="9" t="s">
        <v>4149</v>
      </c>
    </row>
    <row r="18" spans="1:10" ht="102">
      <c r="A18" s="16"/>
      <c r="B18" s="9" t="s">
        <v>33</v>
      </c>
      <c r="C18" s="9" t="s">
        <v>1465</v>
      </c>
      <c r="D18" s="17" t="s">
        <v>1106</v>
      </c>
      <c r="E18" s="9">
        <v>3</v>
      </c>
      <c r="F18" s="9" t="s">
        <v>4139</v>
      </c>
      <c r="G18" s="9" t="s">
        <v>4140</v>
      </c>
      <c r="H18" s="9" t="s">
        <v>4150</v>
      </c>
      <c r="I18" s="9" t="s">
        <v>4151</v>
      </c>
      <c r="J18" s="9" t="s">
        <v>4152</v>
      </c>
    </row>
    <row r="19" spans="1:10" ht="204">
      <c r="A19" s="16"/>
      <c r="B19" s="9" t="s">
        <v>33</v>
      </c>
      <c r="C19" s="9" t="s">
        <v>1465</v>
      </c>
      <c r="D19" s="17" t="s">
        <v>1106</v>
      </c>
      <c r="E19" s="9">
        <v>4</v>
      </c>
      <c r="F19" s="9" t="s">
        <v>4139</v>
      </c>
      <c r="G19" s="9" t="s">
        <v>4153</v>
      </c>
      <c r="H19" s="9" t="s">
        <v>4154</v>
      </c>
      <c r="I19" s="9" t="s">
        <v>4155</v>
      </c>
      <c r="J19" s="9" t="s">
        <v>4116</v>
      </c>
    </row>
    <row r="20" spans="1:10" ht="318.75">
      <c r="A20" s="16"/>
      <c r="B20" s="9" t="s">
        <v>33</v>
      </c>
      <c r="C20" s="9" t="s">
        <v>1465</v>
      </c>
      <c r="D20" s="17" t="s">
        <v>1106</v>
      </c>
      <c r="E20" s="9">
        <v>5</v>
      </c>
      <c r="F20" s="9" t="s">
        <v>4156</v>
      </c>
      <c r="G20" s="9" t="s">
        <v>4157</v>
      </c>
      <c r="H20" s="9" t="s">
        <v>4158</v>
      </c>
      <c r="I20" s="16" t="s">
        <v>4159</v>
      </c>
      <c r="J20" s="9" t="s">
        <v>4160</v>
      </c>
    </row>
    <row r="21" spans="1:10" ht="318.75">
      <c r="A21" s="16"/>
      <c r="B21" s="9" t="s">
        <v>33</v>
      </c>
      <c r="C21" s="9" t="s">
        <v>1465</v>
      </c>
      <c r="D21" s="17" t="s">
        <v>1106</v>
      </c>
      <c r="E21" s="9">
        <v>6</v>
      </c>
      <c r="F21" s="9" t="s">
        <v>4156</v>
      </c>
      <c r="G21" s="9" t="s">
        <v>4157</v>
      </c>
      <c r="H21" s="9" t="s">
        <v>4161</v>
      </c>
      <c r="I21" s="9" t="s">
        <v>4162</v>
      </c>
      <c r="J21" s="9" t="s">
        <v>4163</v>
      </c>
    </row>
    <row r="22" spans="1:10" ht="318.75">
      <c r="A22" s="16"/>
      <c r="B22" s="9" t="s">
        <v>33</v>
      </c>
      <c r="C22" s="9" t="s">
        <v>1465</v>
      </c>
      <c r="D22" s="17" t="s">
        <v>1106</v>
      </c>
      <c r="E22" s="9">
        <v>7</v>
      </c>
      <c r="F22" s="9" t="s">
        <v>4156</v>
      </c>
      <c r="G22" s="9" t="s">
        <v>4157</v>
      </c>
      <c r="H22" s="9" t="s">
        <v>4164</v>
      </c>
      <c r="I22" s="9" t="s">
        <v>4164</v>
      </c>
      <c r="J22" s="9" t="s">
        <v>4165</v>
      </c>
    </row>
    <row r="23" spans="1:10" ht="318.75">
      <c r="A23" s="16"/>
      <c r="B23" s="9" t="s">
        <v>33</v>
      </c>
      <c r="C23" s="9" t="s">
        <v>1465</v>
      </c>
      <c r="D23" s="17" t="s">
        <v>1106</v>
      </c>
      <c r="E23" s="9">
        <v>8</v>
      </c>
      <c r="F23" s="9" t="s">
        <v>4156</v>
      </c>
      <c r="G23" s="9" t="s">
        <v>4157</v>
      </c>
      <c r="H23" s="9" t="s">
        <v>4166</v>
      </c>
      <c r="I23" s="9" t="s">
        <v>4167</v>
      </c>
      <c r="J23" s="9" t="s">
        <v>4116</v>
      </c>
    </row>
    <row r="24" spans="1:10" ht="280.5">
      <c r="A24" s="16"/>
      <c r="B24" s="9" t="s">
        <v>33</v>
      </c>
      <c r="C24" s="9" t="s">
        <v>1465</v>
      </c>
      <c r="D24" s="17" t="s">
        <v>1106</v>
      </c>
      <c r="E24" s="9">
        <v>9</v>
      </c>
      <c r="F24" s="9" t="s">
        <v>4168</v>
      </c>
      <c r="G24" s="9" t="s">
        <v>4169</v>
      </c>
      <c r="H24" s="9" t="s">
        <v>4170</v>
      </c>
      <c r="I24" s="9" t="s">
        <v>4171</v>
      </c>
      <c r="J24" s="9" t="s">
        <v>4172</v>
      </c>
    </row>
    <row r="25" spans="1:10" ht="280.5">
      <c r="A25" s="16"/>
      <c r="B25" s="9" t="s">
        <v>33</v>
      </c>
      <c r="C25" s="9" t="s">
        <v>1465</v>
      </c>
      <c r="D25" s="17" t="s">
        <v>1106</v>
      </c>
      <c r="E25" s="9">
        <v>10</v>
      </c>
      <c r="F25" s="9" t="s">
        <v>4168</v>
      </c>
      <c r="G25" s="9" t="s">
        <v>4173</v>
      </c>
      <c r="H25" s="9" t="s">
        <v>4174</v>
      </c>
      <c r="I25" s="9" t="s">
        <v>4171</v>
      </c>
      <c r="J25" s="9" t="s">
        <v>4116</v>
      </c>
    </row>
    <row r="26" spans="1:10" ht="280.5">
      <c r="A26" s="16"/>
      <c r="B26" s="9" t="s">
        <v>33</v>
      </c>
      <c r="C26" s="9" t="s">
        <v>1465</v>
      </c>
      <c r="D26" s="17" t="s">
        <v>1106</v>
      </c>
      <c r="E26" s="9">
        <v>11</v>
      </c>
      <c r="F26" s="9" t="s">
        <v>4168</v>
      </c>
      <c r="G26" s="9" t="s">
        <v>4173</v>
      </c>
      <c r="H26" s="9" t="s">
        <v>4175</v>
      </c>
      <c r="I26" s="9" t="s">
        <v>4176</v>
      </c>
      <c r="J26" s="9" t="s">
        <v>4177</v>
      </c>
    </row>
    <row r="27" spans="1:10" ht="280.5">
      <c r="A27" s="16" t="s">
        <v>132</v>
      </c>
      <c r="B27" s="9" t="s">
        <v>33</v>
      </c>
      <c r="C27" s="9" t="s">
        <v>1465</v>
      </c>
      <c r="D27" s="17" t="s">
        <v>1106</v>
      </c>
      <c r="E27" s="9">
        <v>12</v>
      </c>
      <c r="F27" s="9" t="s">
        <v>4168</v>
      </c>
      <c r="G27" s="9" t="s">
        <v>4173</v>
      </c>
      <c r="H27" s="16" t="s">
        <v>4178</v>
      </c>
      <c r="I27" s="9" t="s">
        <v>4179</v>
      </c>
      <c r="J27" s="9" t="s">
        <v>4180</v>
      </c>
    </row>
    <row r="28" spans="1:10" ht="280.5">
      <c r="A28" s="16"/>
      <c r="B28" s="9" t="s">
        <v>33</v>
      </c>
      <c r="C28" s="9" t="s">
        <v>1465</v>
      </c>
      <c r="D28" s="17" t="s">
        <v>1106</v>
      </c>
      <c r="E28" s="9">
        <v>13</v>
      </c>
      <c r="F28" s="9" t="s">
        <v>4168</v>
      </c>
      <c r="G28" s="9" t="s">
        <v>4173</v>
      </c>
      <c r="H28" s="9" t="s">
        <v>828</v>
      </c>
      <c r="I28" s="9" t="s">
        <v>4181</v>
      </c>
      <c r="J28" s="9" t="s">
        <v>4182</v>
      </c>
    </row>
    <row r="29" spans="1:10" ht="280.5">
      <c r="A29" s="16" t="s">
        <v>132</v>
      </c>
      <c r="B29" s="9" t="s">
        <v>33</v>
      </c>
      <c r="C29" s="9" t="s">
        <v>1465</v>
      </c>
      <c r="D29" s="17" t="s">
        <v>1106</v>
      </c>
      <c r="E29" s="9">
        <v>14</v>
      </c>
      <c r="F29" s="9" t="s">
        <v>4168</v>
      </c>
      <c r="G29" s="9" t="s">
        <v>4173</v>
      </c>
      <c r="H29" s="9" t="s">
        <v>4183</v>
      </c>
      <c r="I29" s="9" t="s">
        <v>4184</v>
      </c>
      <c r="J29" s="9" t="s">
        <v>4116</v>
      </c>
    </row>
    <row r="30" spans="1:10" ht="127.5">
      <c r="A30" s="16"/>
      <c r="B30" s="17" t="s">
        <v>33</v>
      </c>
      <c r="C30" s="17" t="s">
        <v>1465</v>
      </c>
      <c r="D30" s="17" t="s">
        <v>542</v>
      </c>
      <c r="E30" s="17">
        <v>1</v>
      </c>
      <c r="F30" s="17" t="s">
        <v>4185</v>
      </c>
      <c r="G30" s="17" t="s">
        <v>3175</v>
      </c>
      <c r="H30" s="17" t="s">
        <v>4186</v>
      </c>
      <c r="I30" s="17" t="s">
        <v>4187</v>
      </c>
      <c r="J30" s="17" t="s">
        <v>4188</v>
      </c>
    </row>
    <row r="31" spans="1:10" ht="114.75">
      <c r="A31" s="16"/>
      <c r="B31" s="17" t="s">
        <v>33</v>
      </c>
      <c r="C31" s="17" t="s">
        <v>1465</v>
      </c>
      <c r="D31" s="17" t="s">
        <v>542</v>
      </c>
      <c r="E31" s="17">
        <v>2</v>
      </c>
      <c r="F31" s="17" t="s">
        <v>4185</v>
      </c>
      <c r="G31" s="17" t="s">
        <v>3175</v>
      </c>
      <c r="H31" s="17" t="s">
        <v>4189</v>
      </c>
      <c r="I31" s="17" t="s">
        <v>4190</v>
      </c>
      <c r="J31" s="17" t="s">
        <v>4191</v>
      </c>
    </row>
    <row r="32" spans="1:10" ht="127.5">
      <c r="A32" s="16"/>
      <c r="B32" s="17" t="s">
        <v>33</v>
      </c>
      <c r="C32" s="17" t="s">
        <v>1465</v>
      </c>
      <c r="D32" s="17" t="s">
        <v>542</v>
      </c>
      <c r="E32" s="17">
        <v>3</v>
      </c>
      <c r="F32" s="17" t="s">
        <v>4117</v>
      </c>
      <c r="G32" s="17" t="s">
        <v>4192</v>
      </c>
      <c r="H32" s="17" t="s">
        <v>4193</v>
      </c>
      <c r="I32" s="17" t="s">
        <v>4194</v>
      </c>
      <c r="J32" s="17" t="s">
        <v>4195</v>
      </c>
    </row>
    <row r="33" spans="1:10" ht="127.5">
      <c r="A33" s="16"/>
      <c r="B33" s="17" t="s">
        <v>33</v>
      </c>
      <c r="C33" s="17" t="s">
        <v>1465</v>
      </c>
      <c r="D33" s="17" t="s">
        <v>542</v>
      </c>
      <c r="E33" s="17">
        <v>4</v>
      </c>
      <c r="F33" s="17" t="s">
        <v>4117</v>
      </c>
      <c r="G33" s="17" t="s">
        <v>4192</v>
      </c>
      <c r="H33" s="17" t="s">
        <v>4196</v>
      </c>
      <c r="I33" s="17" t="s">
        <v>4196</v>
      </c>
      <c r="J33" s="17" t="s">
        <v>4197</v>
      </c>
    </row>
    <row r="34" spans="1:10" ht="127.5">
      <c r="A34" s="16"/>
      <c r="B34" s="17" t="s">
        <v>33</v>
      </c>
      <c r="C34" s="17" t="s">
        <v>1465</v>
      </c>
      <c r="D34" s="17" t="s">
        <v>542</v>
      </c>
      <c r="E34" s="17">
        <v>5</v>
      </c>
      <c r="F34" s="17" t="s">
        <v>4117</v>
      </c>
      <c r="G34" s="17" t="s">
        <v>4192</v>
      </c>
      <c r="H34" s="17" t="s">
        <v>4198</v>
      </c>
      <c r="I34" s="17" t="s">
        <v>4199</v>
      </c>
      <c r="J34" s="17" t="s">
        <v>4200</v>
      </c>
    </row>
    <row r="35" spans="1:10" ht="204">
      <c r="A35" s="16"/>
      <c r="B35" s="17" t="s">
        <v>33</v>
      </c>
      <c r="C35" s="17" t="s">
        <v>1465</v>
      </c>
      <c r="D35" s="17" t="s">
        <v>542</v>
      </c>
      <c r="E35" s="17">
        <v>6</v>
      </c>
      <c r="F35" s="17" t="s">
        <v>4117</v>
      </c>
      <c r="G35" s="17" t="s">
        <v>4192</v>
      </c>
      <c r="H35" s="17" t="s">
        <v>4201</v>
      </c>
      <c r="I35" s="17" t="s">
        <v>4202</v>
      </c>
      <c r="J35" s="17" t="s">
        <v>4116</v>
      </c>
    </row>
    <row r="36" spans="1:10" ht="127.5">
      <c r="A36" s="16"/>
      <c r="B36" s="17" t="s">
        <v>33</v>
      </c>
      <c r="C36" s="17" t="s">
        <v>1465</v>
      </c>
      <c r="D36" s="17" t="s">
        <v>542</v>
      </c>
      <c r="E36" s="17">
        <v>7</v>
      </c>
      <c r="F36" s="17" t="s">
        <v>4117</v>
      </c>
      <c r="G36" s="17" t="s">
        <v>4192</v>
      </c>
      <c r="H36" s="17" t="s">
        <v>4203</v>
      </c>
      <c r="I36" s="17" t="s">
        <v>4204</v>
      </c>
      <c r="J36" s="17" t="s">
        <v>4205</v>
      </c>
    </row>
    <row r="37" spans="1:10" ht="127.5">
      <c r="A37" s="16"/>
      <c r="B37" s="17" t="s">
        <v>33</v>
      </c>
      <c r="C37" s="17" t="s">
        <v>1465</v>
      </c>
      <c r="D37" s="17" t="s">
        <v>542</v>
      </c>
      <c r="E37" s="17">
        <v>8</v>
      </c>
      <c r="F37" s="17" t="s">
        <v>4117</v>
      </c>
      <c r="G37" s="17" t="s">
        <v>4192</v>
      </c>
      <c r="H37" s="17" t="s">
        <v>4206</v>
      </c>
      <c r="I37" s="17" t="s">
        <v>4207</v>
      </c>
      <c r="J37" s="17" t="s">
        <v>4208</v>
      </c>
    </row>
    <row r="38" spans="1:10" ht="204">
      <c r="A38" s="16"/>
      <c r="B38" s="17" t="s">
        <v>33</v>
      </c>
      <c r="C38" s="17" t="s">
        <v>1465</v>
      </c>
      <c r="D38" s="17" t="s">
        <v>542</v>
      </c>
      <c r="E38" s="17">
        <v>9</v>
      </c>
      <c r="F38" s="17" t="s">
        <v>4117</v>
      </c>
      <c r="G38" s="17" t="s">
        <v>4192</v>
      </c>
      <c r="H38" s="17" t="s">
        <v>4209</v>
      </c>
      <c r="I38" s="17" t="s">
        <v>4210</v>
      </c>
      <c r="J38" s="17" t="s">
        <v>4116</v>
      </c>
    </row>
    <row r="39" spans="1:10" ht="127.5">
      <c r="A39" s="16"/>
      <c r="B39" s="17" t="s">
        <v>33</v>
      </c>
      <c r="C39" s="17" t="s">
        <v>1465</v>
      </c>
      <c r="D39" s="17" t="s">
        <v>542</v>
      </c>
      <c r="E39" s="17">
        <v>10</v>
      </c>
      <c r="F39" s="17" t="s">
        <v>4117</v>
      </c>
      <c r="G39" s="17" t="s">
        <v>4192</v>
      </c>
      <c r="H39" s="17" t="s">
        <v>4211</v>
      </c>
      <c r="I39" s="17" t="s">
        <v>4212</v>
      </c>
      <c r="J39" s="17" t="s">
        <v>4213</v>
      </c>
    </row>
    <row r="40" spans="1:10" ht="127.5">
      <c r="A40" s="16"/>
      <c r="B40" s="17" t="s">
        <v>33</v>
      </c>
      <c r="C40" s="17" t="s">
        <v>1465</v>
      </c>
      <c r="D40" s="17" t="s">
        <v>542</v>
      </c>
      <c r="E40" s="17">
        <v>11</v>
      </c>
      <c r="F40" s="17" t="s">
        <v>4117</v>
      </c>
      <c r="G40" s="17" t="s">
        <v>4192</v>
      </c>
      <c r="H40" s="17" t="s">
        <v>4214</v>
      </c>
      <c r="I40" s="17" t="s">
        <v>4215</v>
      </c>
      <c r="J40" s="17" t="s">
        <v>4216</v>
      </c>
    </row>
    <row r="41" spans="1:10" ht="204">
      <c r="A41" s="16"/>
      <c r="B41" s="17" t="s">
        <v>33</v>
      </c>
      <c r="C41" s="17" t="s">
        <v>1465</v>
      </c>
      <c r="D41" s="17" t="s">
        <v>542</v>
      </c>
      <c r="E41" s="17">
        <v>12</v>
      </c>
      <c r="F41" s="17" t="s">
        <v>4117</v>
      </c>
      <c r="G41" s="17" t="s">
        <v>4192</v>
      </c>
      <c r="H41" s="17" t="s">
        <v>4217</v>
      </c>
      <c r="I41" s="17" t="s">
        <v>4218</v>
      </c>
      <c r="J41" s="17" t="s">
        <v>4116</v>
      </c>
    </row>
    <row r="42" spans="1:10" ht="127.5">
      <c r="A42" s="16"/>
      <c r="B42" s="17" t="s">
        <v>33</v>
      </c>
      <c r="C42" s="17" t="s">
        <v>1465</v>
      </c>
      <c r="D42" s="17" t="s">
        <v>1171</v>
      </c>
      <c r="E42" s="17">
        <v>1</v>
      </c>
      <c r="F42" s="17" t="s">
        <v>4219</v>
      </c>
      <c r="G42" s="17" t="s">
        <v>4220</v>
      </c>
      <c r="H42" s="17" t="s">
        <v>4221</v>
      </c>
      <c r="I42" s="17" t="s">
        <v>4222</v>
      </c>
      <c r="J42" s="17" t="s">
        <v>4223</v>
      </c>
    </row>
    <row r="43" spans="1:10" ht="178.5">
      <c r="A43" s="16"/>
      <c r="B43" s="17" t="s">
        <v>33</v>
      </c>
      <c r="C43" s="17" t="s">
        <v>1465</v>
      </c>
      <c r="D43" s="17" t="s">
        <v>1171</v>
      </c>
      <c r="E43" s="17">
        <v>2</v>
      </c>
      <c r="F43" s="17" t="s">
        <v>4219</v>
      </c>
      <c r="G43" s="17" t="s">
        <v>4220</v>
      </c>
      <c r="H43" s="17" t="s">
        <v>4224</v>
      </c>
      <c r="I43" s="17" t="s">
        <v>4225</v>
      </c>
      <c r="J43" s="17" t="s">
        <v>4226</v>
      </c>
    </row>
    <row r="44" spans="1:10" ht="127.5">
      <c r="A44" s="16"/>
      <c r="B44" s="17" t="s">
        <v>33</v>
      </c>
      <c r="C44" s="17" t="s">
        <v>1465</v>
      </c>
      <c r="D44" s="17" t="s">
        <v>1171</v>
      </c>
      <c r="E44" s="17">
        <v>3</v>
      </c>
      <c r="F44" s="17" t="s">
        <v>4219</v>
      </c>
      <c r="G44" s="17" t="s">
        <v>4220</v>
      </c>
      <c r="H44" s="17" t="s">
        <v>4227</v>
      </c>
      <c r="I44" s="17" t="s">
        <v>4228</v>
      </c>
      <c r="J44" s="17" t="s">
        <v>4229</v>
      </c>
    </row>
    <row r="45" spans="1:10" ht="216.75">
      <c r="A45" s="16"/>
      <c r="B45" s="17" t="s">
        <v>33</v>
      </c>
      <c r="C45" s="17" t="s">
        <v>1465</v>
      </c>
      <c r="D45" s="17" t="s">
        <v>1171</v>
      </c>
      <c r="E45" s="17">
        <v>4</v>
      </c>
      <c r="F45" s="17" t="s">
        <v>4219</v>
      </c>
      <c r="G45" s="17" t="s">
        <v>4220</v>
      </c>
      <c r="H45" s="17" t="s">
        <v>4230</v>
      </c>
      <c r="I45" s="17" t="s">
        <v>4230</v>
      </c>
      <c r="J45" s="17" t="s">
        <v>4231</v>
      </c>
    </row>
    <row r="46" spans="1:10" ht="204">
      <c r="A46" s="16"/>
      <c r="B46" s="17" t="s">
        <v>33</v>
      </c>
      <c r="C46" s="17" t="s">
        <v>1465</v>
      </c>
      <c r="D46" s="17" t="s">
        <v>1171</v>
      </c>
      <c r="E46" s="17">
        <v>5</v>
      </c>
      <c r="F46" s="17" t="s">
        <v>4219</v>
      </c>
      <c r="G46" s="17" t="s">
        <v>4220</v>
      </c>
      <c r="H46" s="17" t="s">
        <v>4232</v>
      </c>
      <c r="I46" s="17" t="s">
        <v>4230</v>
      </c>
      <c r="J46" s="17" t="s">
        <v>4116</v>
      </c>
    </row>
    <row r="47" spans="1:10" ht="229.5">
      <c r="A47" s="16"/>
      <c r="B47" s="17" t="s">
        <v>33</v>
      </c>
      <c r="C47" s="17" t="s">
        <v>1465</v>
      </c>
      <c r="D47" s="17" t="s">
        <v>1171</v>
      </c>
      <c r="E47" s="17">
        <v>6</v>
      </c>
      <c r="F47" s="17" t="s">
        <v>4219</v>
      </c>
      <c r="G47" s="17" t="s">
        <v>4220</v>
      </c>
      <c r="H47" s="17" t="s">
        <v>4233</v>
      </c>
      <c r="I47" s="17" t="s">
        <v>4233</v>
      </c>
      <c r="J47" s="17" t="s">
        <v>4234</v>
      </c>
    </row>
    <row r="48" spans="1:10" ht="204">
      <c r="A48" s="16"/>
      <c r="B48" s="17" t="s">
        <v>33</v>
      </c>
      <c r="C48" s="17" t="s">
        <v>1465</v>
      </c>
      <c r="D48" s="17" t="s">
        <v>1171</v>
      </c>
      <c r="E48" s="17">
        <v>7</v>
      </c>
      <c r="F48" s="17" t="s">
        <v>4219</v>
      </c>
      <c r="G48" s="17" t="s">
        <v>4220</v>
      </c>
      <c r="H48" s="17" t="s">
        <v>4235</v>
      </c>
      <c r="I48" s="17" t="s">
        <v>4233</v>
      </c>
      <c r="J48" s="17" t="s">
        <v>4116</v>
      </c>
    </row>
    <row r="49" spans="1:10" ht="191.25">
      <c r="A49" s="16"/>
      <c r="B49" s="17" t="s">
        <v>33</v>
      </c>
      <c r="C49" s="17" t="s">
        <v>1465</v>
      </c>
      <c r="D49" s="17" t="s">
        <v>1171</v>
      </c>
      <c r="E49" s="17">
        <v>8</v>
      </c>
      <c r="F49" s="17" t="s">
        <v>4236</v>
      </c>
      <c r="G49" s="17" t="s">
        <v>4237</v>
      </c>
      <c r="H49" s="17" t="s">
        <v>4238</v>
      </c>
      <c r="I49" s="17" t="s">
        <v>4239</v>
      </c>
      <c r="J49" s="17" t="s">
        <v>4240</v>
      </c>
    </row>
    <row r="50" spans="1:10" ht="191.25">
      <c r="A50" s="16"/>
      <c r="B50" s="17" t="s">
        <v>33</v>
      </c>
      <c r="C50" s="17" t="s">
        <v>1465</v>
      </c>
      <c r="D50" s="17" t="s">
        <v>1171</v>
      </c>
      <c r="E50" s="17">
        <v>9</v>
      </c>
      <c r="F50" s="17" t="s">
        <v>4236</v>
      </c>
      <c r="G50" s="17" t="s">
        <v>4237</v>
      </c>
      <c r="H50" s="17" t="s">
        <v>4241</v>
      </c>
      <c r="I50" s="17" t="s">
        <v>4242</v>
      </c>
      <c r="J50" s="17" t="s">
        <v>4243</v>
      </c>
    </row>
    <row r="51" spans="1:10" ht="204">
      <c r="A51" s="16"/>
      <c r="B51" s="17" t="s">
        <v>33</v>
      </c>
      <c r="C51" s="17" t="s">
        <v>1465</v>
      </c>
      <c r="D51" s="17" t="s">
        <v>1171</v>
      </c>
      <c r="E51" s="17">
        <v>10</v>
      </c>
      <c r="F51" s="17" t="s">
        <v>4236</v>
      </c>
      <c r="G51" s="17" t="s">
        <v>4237</v>
      </c>
      <c r="H51" s="17" t="s">
        <v>4244</v>
      </c>
      <c r="I51" s="17" t="s">
        <v>4245</v>
      </c>
      <c r="J51" s="17" t="s">
        <v>4116</v>
      </c>
    </row>
    <row r="52" spans="1:10" ht="191.25">
      <c r="A52" s="16"/>
      <c r="B52" s="17" t="s">
        <v>33</v>
      </c>
      <c r="C52" s="17" t="s">
        <v>1465</v>
      </c>
      <c r="D52" s="17" t="s">
        <v>1171</v>
      </c>
      <c r="E52" s="17">
        <v>11</v>
      </c>
      <c r="F52" s="17" t="s">
        <v>4236</v>
      </c>
      <c r="G52" s="17" t="s">
        <v>4237</v>
      </c>
      <c r="H52" s="17" t="s">
        <v>724</v>
      </c>
      <c r="I52" s="17" t="s">
        <v>724</v>
      </c>
      <c r="J52" s="17" t="s">
        <v>4246</v>
      </c>
    </row>
    <row r="53" spans="1:10" ht="204">
      <c r="A53" s="16"/>
      <c r="B53" s="17" t="s">
        <v>33</v>
      </c>
      <c r="C53" s="17" t="s">
        <v>1465</v>
      </c>
      <c r="D53" s="17" t="s">
        <v>1171</v>
      </c>
      <c r="E53" s="17">
        <v>12</v>
      </c>
      <c r="F53" s="17" t="s">
        <v>4236</v>
      </c>
      <c r="G53" s="17" t="s">
        <v>4237</v>
      </c>
      <c r="H53" s="17" t="s">
        <v>4247</v>
      </c>
      <c r="I53" s="17" t="s">
        <v>724</v>
      </c>
      <c r="J53" s="17" t="s">
        <v>4116</v>
      </c>
    </row>
  </sheetData>
  <autoFilter ref="A1:J53"/>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sheetPr>
    <tabColor rgb="FFFFBFFC"/>
    <outlinePr summaryBelow="0" summaryRight="0"/>
  </sheetPr>
  <dimension ref="A1:Q193"/>
  <sheetViews>
    <sheetView workbookViewId="0"/>
  </sheetViews>
  <sheetFormatPr defaultColWidth="12.5703125" defaultRowHeight="15" customHeight="1"/>
  <cols>
    <col min="1" max="1" width="13" customWidth="1"/>
    <col min="2" max="2" width="11.5703125" customWidth="1"/>
    <col min="3" max="3" width="10.140625" customWidth="1"/>
    <col min="4" max="4" width="19.7109375" customWidth="1"/>
    <col min="5" max="5" width="9.42578125" customWidth="1"/>
    <col min="6" max="6" width="13.5703125" customWidth="1"/>
    <col min="7" max="7" width="10.85546875" customWidth="1"/>
    <col min="8" max="8" width="13.140625" customWidth="1"/>
    <col min="9" max="9" width="14.42578125" customWidth="1"/>
    <col min="10" max="12" width="16" customWidth="1"/>
    <col min="13" max="13" width="27.42578125" customWidth="1"/>
    <col min="15" max="15" width="40.28515625" customWidth="1"/>
    <col min="17" max="17" width="89.85546875" customWidth="1"/>
  </cols>
  <sheetData>
    <row r="1" spans="1:17" ht="30" customHeight="1">
      <c r="A1" s="113" t="s">
        <v>4248</v>
      </c>
      <c r="B1" s="113" t="s">
        <v>4249</v>
      </c>
      <c r="C1" s="113" t="s">
        <v>4250</v>
      </c>
      <c r="D1" s="113" t="s">
        <v>4251</v>
      </c>
      <c r="E1" s="113" t="s">
        <v>4252</v>
      </c>
      <c r="F1" s="113" t="s">
        <v>4253</v>
      </c>
      <c r="G1" s="113" t="s">
        <v>4254</v>
      </c>
      <c r="H1" s="113" t="s">
        <v>4255</v>
      </c>
      <c r="I1" s="113" t="s">
        <v>4256</v>
      </c>
      <c r="J1" s="113" t="s">
        <v>4257</v>
      </c>
      <c r="K1" s="113" t="s">
        <v>4258</v>
      </c>
      <c r="L1" s="113" t="s">
        <v>4259</v>
      </c>
      <c r="M1" s="113" t="s">
        <v>4260</v>
      </c>
      <c r="N1" s="113" t="s">
        <v>4261</v>
      </c>
      <c r="O1" s="113" t="s">
        <v>4262</v>
      </c>
      <c r="P1" s="113" t="s">
        <v>4263</v>
      </c>
      <c r="Q1" s="113" t="s">
        <v>4264</v>
      </c>
    </row>
    <row r="2" spans="1:17" ht="72" customHeight="1">
      <c r="A2" s="114" t="s">
        <v>1658</v>
      </c>
      <c r="B2" s="114" t="s">
        <v>1070</v>
      </c>
      <c r="C2" s="114">
        <v>1</v>
      </c>
      <c r="D2" s="114" t="s">
        <v>4265</v>
      </c>
      <c r="E2" s="114">
        <v>1</v>
      </c>
      <c r="F2" s="114" t="s">
        <v>2842</v>
      </c>
      <c r="G2" s="114" t="s">
        <v>4266</v>
      </c>
      <c r="H2" s="114" t="s">
        <v>4267</v>
      </c>
      <c r="I2" s="114" t="s">
        <v>4268</v>
      </c>
      <c r="J2" s="114" t="s">
        <v>4269</v>
      </c>
      <c r="K2" s="114" t="s">
        <v>4270</v>
      </c>
      <c r="L2" s="114" t="s">
        <v>4271</v>
      </c>
      <c r="M2" s="114" t="s">
        <v>4272</v>
      </c>
      <c r="N2" s="114" t="s">
        <v>4273</v>
      </c>
      <c r="O2" s="114" t="s">
        <v>4274</v>
      </c>
      <c r="P2" s="114" t="s">
        <v>4275</v>
      </c>
      <c r="Q2" s="114" t="s">
        <v>4276</v>
      </c>
    </row>
    <row r="3" spans="1:17" ht="72" customHeight="1">
      <c r="A3" s="115" t="s">
        <v>1658</v>
      </c>
      <c r="B3" s="115" t="s">
        <v>1070</v>
      </c>
      <c r="C3" s="115">
        <v>1</v>
      </c>
      <c r="D3" s="115" t="s">
        <v>4265</v>
      </c>
      <c r="E3" s="115">
        <v>2</v>
      </c>
      <c r="F3" s="115" t="s">
        <v>4277</v>
      </c>
      <c r="G3" s="115" t="s">
        <v>4266</v>
      </c>
      <c r="H3" s="115" t="s">
        <v>4267</v>
      </c>
      <c r="I3" s="115" t="s">
        <v>4268</v>
      </c>
      <c r="J3" s="115" t="s">
        <v>4269</v>
      </c>
      <c r="K3" s="115" t="s">
        <v>4270</v>
      </c>
      <c r="L3" s="115" t="s">
        <v>4271</v>
      </c>
      <c r="M3" s="115" t="s">
        <v>4278</v>
      </c>
      <c r="N3" s="115" t="s">
        <v>4279</v>
      </c>
      <c r="O3" s="115" t="s">
        <v>4280</v>
      </c>
      <c r="P3" s="115" t="s">
        <v>4281</v>
      </c>
      <c r="Q3" s="115" t="s">
        <v>4282</v>
      </c>
    </row>
    <row r="4" spans="1:17" ht="72" customHeight="1">
      <c r="A4" s="115" t="s">
        <v>1658</v>
      </c>
      <c r="B4" s="115" t="s">
        <v>1070</v>
      </c>
      <c r="C4" s="115">
        <v>2</v>
      </c>
      <c r="D4" s="115" t="s">
        <v>4283</v>
      </c>
      <c r="E4" s="115">
        <v>3</v>
      </c>
      <c r="F4" s="115" t="s">
        <v>2842</v>
      </c>
      <c r="G4" s="115" t="s">
        <v>4266</v>
      </c>
      <c r="H4" s="115" t="s">
        <v>4267</v>
      </c>
      <c r="I4" s="115" t="s">
        <v>4268</v>
      </c>
      <c r="J4" s="115" t="s">
        <v>4269</v>
      </c>
      <c r="K4" s="115" t="s">
        <v>4270</v>
      </c>
      <c r="L4" s="115" t="s">
        <v>4271</v>
      </c>
      <c r="M4" s="115" t="s">
        <v>4284</v>
      </c>
      <c r="N4" s="115" t="s">
        <v>4273</v>
      </c>
      <c r="O4" s="115" t="s">
        <v>4285</v>
      </c>
      <c r="P4" s="115" t="s">
        <v>4275</v>
      </c>
      <c r="Q4" s="115" t="s">
        <v>4276</v>
      </c>
    </row>
    <row r="5" spans="1:17" ht="72" customHeight="1">
      <c r="A5" s="115" t="s">
        <v>1658</v>
      </c>
      <c r="B5" s="115" t="s">
        <v>1070</v>
      </c>
      <c r="C5" s="115">
        <v>2</v>
      </c>
      <c r="D5" s="115" t="s">
        <v>4283</v>
      </c>
      <c r="E5" s="115">
        <v>4</v>
      </c>
      <c r="F5" s="115" t="s">
        <v>4277</v>
      </c>
      <c r="G5" s="115" t="s">
        <v>4266</v>
      </c>
      <c r="H5" s="115" t="s">
        <v>4267</v>
      </c>
      <c r="I5" s="115" t="s">
        <v>4268</v>
      </c>
      <c r="J5" s="115" t="s">
        <v>4269</v>
      </c>
      <c r="K5" s="115" t="s">
        <v>4270</v>
      </c>
      <c r="L5" s="115" t="s">
        <v>4271</v>
      </c>
      <c r="M5" s="115" t="s">
        <v>4286</v>
      </c>
      <c r="N5" s="115" t="s">
        <v>4279</v>
      </c>
      <c r="O5" s="115" t="s">
        <v>4287</v>
      </c>
      <c r="P5" s="115" t="s">
        <v>4288</v>
      </c>
      <c r="Q5" s="115" t="s">
        <v>4289</v>
      </c>
    </row>
    <row r="6" spans="1:17" ht="72" customHeight="1">
      <c r="A6" s="115" t="s">
        <v>1658</v>
      </c>
      <c r="B6" s="115" t="s">
        <v>1070</v>
      </c>
      <c r="C6" s="115">
        <v>3</v>
      </c>
      <c r="D6" s="115" t="s">
        <v>4290</v>
      </c>
      <c r="E6" s="115">
        <v>5</v>
      </c>
      <c r="F6" s="115" t="s">
        <v>2842</v>
      </c>
      <c r="G6" s="116" t="s">
        <v>4266</v>
      </c>
      <c r="H6" s="115" t="s">
        <v>4267</v>
      </c>
      <c r="I6" s="115" t="s">
        <v>4268</v>
      </c>
      <c r="J6" s="115" t="s">
        <v>4269</v>
      </c>
      <c r="K6" s="115" t="s">
        <v>4270</v>
      </c>
      <c r="L6" s="115" t="s">
        <v>4271</v>
      </c>
      <c r="M6" s="116" t="s">
        <v>4291</v>
      </c>
      <c r="N6" s="115" t="s">
        <v>4273</v>
      </c>
      <c r="O6" s="115" t="s">
        <v>4292</v>
      </c>
      <c r="P6" s="115" t="s">
        <v>4275</v>
      </c>
      <c r="Q6" s="115" t="s">
        <v>4276</v>
      </c>
    </row>
    <row r="7" spans="1:17" ht="72" customHeight="1">
      <c r="A7" s="115" t="s">
        <v>1658</v>
      </c>
      <c r="B7" s="115" t="s">
        <v>1070</v>
      </c>
      <c r="C7" s="115">
        <v>3</v>
      </c>
      <c r="D7" s="115" t="s">
        <v>4290</v>
      </c>
      <c r="E7" s="115">
        <v>6</v>
      </c>
      <c r="F7" s="115" t="s">
        <v>4277</v>
      </c>
      <c r="G7" s="116" t="s">
        <v>4266</v>
      </c>
      <c r="H7" s="115" t="s">
        <v>4267</v>
      </c>
      <c r="I7" s="115" t="s">
        <v>4268</v>
      </c>
      <c r="J7" s="115" t="s">
        <v>4269</v>
      </c>
      <c r="K7" s="115" t="s">
        <v>4270</v>
      </c>
      <c r="L7" s="115" t="s">
        <v>4271</v>
      </c>
      <c r="M7" s="116" t="s">
        <v>4293</v>
      </c>
      <c r="N7" s="115" t="s">
        <v>4294</v>
      </c>
      <c r="O7" s="115" t="s">
        <v>4295</v>
      </c>
      <c r="P7" s="115" t="s">
        <v>4288</v>
      </c>
      <c r="Q7" s="115" t="s">
        <v>4289</v>
      </c>
    </row>
    <row r="8" spans="1:17" ht="72" customHeight="1">
      <c r="A8" s="115" t="s">
        <v>1658</v>
      </c>
      <c r="B8" s="115" t="s">
        <v>1070</v>
      </c>
      <c r="C8" s="115">
        <v>4</v>
      </c>
      <c r="D8" s="115" t="s">
        <v>4296</v>
      </c>
      <c r="E8" s="115">
        <v>7</v>
      </c>
      <c r="F8" s="115" t="s">
        <v>2842</v>
      </c>
      <c r="G8" s="115" t="s">
        <v>4266</v>
      </c>
      <c r="H8" s="115" t="s">
        <v>4267</v>
      </c>
      <c r="I8" s="115" t="s">
        <v>4268</v>
      </c>
      <c r="J8" s="115" t="s">
        <v>4269</v>
      </c>
      <c r="K8" s="115" t="s">
        <v>4270</v>
      </c>
      <c r="L8" s="115" t="s">
        <v>4271</v>
      </c>
      <c r="M8" s="115" t="s">
        <v>4297</v>
      </c>
      <c r="N8" s="115" t="s">
        <v>4273</v>
      </c>
      <c r="O8" s="115" t="s">
        <v>4298</v>
      </c>
      <c r="P8" s="115" t="s">
        <v>4275</v>
      </c>
      <c r="Q8" s="115" t="s">
        <v>4276</v>
      </c>
    </row>
    <row r="9" spans="1:17" ht="72" customHeight="1">
      <c r="A9" s="115" t="s">
        <v>1658</v>
      </c>
      <c r="B9" s="115" t="s">
        <v>1070</v>
      </c>
      <c r="C9" s="115">
        <v>4</v>
      </c>
      <c r="D9" s="115" t="s">
        <v>4296</v>
      </c>
      <c r="E9" s="115">
        <v>8</v>
      </c>
      <c r="F9" s="115" t="s">
        <v>4277</v>
      </c>
      <c r="G9" s="115" t="s">
        <v>4266</v>
      </c>
      <c r="H9" s="115" t="s">
        <v>4267</v>
      </c>
      <c r="I9" s="115" t="s">
        <v>4268</v>
      </c>
      <c r="J9" s="115" t="s">
        <v>4269</v>
      </c>
      <c r="K9" s="115" t="s">
        <v>4270</v>
      </c>
      <c r="L9" s="115" t="s">
        <v>4271</v>
      </c>
      <c r="M9" s="115" t="s">
        <v>4299</v>
      </c>
      <c r="N9" s="115" t="s">
        <v>4294</v>
      </c>
      <c r="O9" s="115" t="s">
        <v>4300</v>
      </c>
      <c r="P9" s="115" t="s">
        <v>4301</v>
      </c>
      <c r="Q9" s="115" t="s">
        <v>4302</v>
      </c>
    </row>
    <row r="10" spans="1:17" ht="72" customHeight="1">
      <c r="A10" s="115" t="s">
        <v>1658</v>
      </c>
      <c r="B10" s="115" t="s">
        <v>1070</v>
      </c>
      <c r="C10" s="115">
        <v>5</v>
      </c>
      <c r="D10" s="115" t="s">
        <v>4303</v>
      </c>
      <c r="E10" s="115">
        <v>9</v>
      </c>
      <c r="F10" s="115" t="s">
        <v>2842</v>
      </c>
      <c r="G10" s="115" t="s">
        <v>4304</v>
      </c>
      <c r="H10" s="115" t="s">
        <v>4305</v>
      </c>
      <c r="I10" s="115" t="s">
        <v>4268</v>
      </c>
      <c r="J10" s="115" t="s">
        <v>4269</v>
      </c>
      <c r="K10" s="115" t="s">
        <v>4270</v>
      </c>
      <c r="L10" s="115" t="s">
        <v>4271</v>
      </c>
      <c r="M10" s="115" t="s">
        <v>4306</v>
      </c>
      <c r="N10" s="115" t="s">
        <v>4273</v>
      </c>
      <c r="O10" s="115" t="s">
        <v>4307</v>
      </c>
      <c r="P10" s="115" t="s">
        <v>4275</v>
      </c>
      <c r="Q10" s="115" t="s">
        <v>4276</v>
      </c>
    </row>
    <row r="11" spans="1:17" ht="72" customHeight="1">
      <c r="A11" s="115" t="s">
        <v>1658</v>
      </c>
      <c r="B11" s="115" t="s">
        <v>1070</v>
      </c>
      <c r="C11" s="115">
        <v>5</v>
      </c>
      <c r="D11" s="115" t="s">
        <v>4303</v>
      </c>
      <c r="E11" s="115">
        <v>10</v>
      </c>
      <c r="F11" s="115" t="s">
        <v>4277</v>
      </c>
      <c r="G11" s="115" t="s">
        <v>4304</v>
      </c>
      <c r="H11" s="115" t="s">
        <v>4305</v>
      </c>
      <c r="I11" s="115" t="s">
        <v>4268</v>
      </c>
      <c r="J11" s="115" t="s">
        <v>4269</v>
      </c>
      <c r="K11" s="115" t="s">
        <v>4270</v>
      </c>
      <c r="L11" s="115" t="s">
        <v>4271</v>
      </c>
      <c r="M11" s="115" t="s">
        <v>4308</v>
      </c>
      <c r="N11" s="115" t="s">
        <v>4279</v>
      </c>
      <c r="O11" s="115" t="s">
        <v>4309</v>
      </c>
      <c r="P11" s="115" t="s">
        <v>4281</v>
      </c>
      <c r="Q11" s="115" t="s">
        <v>4282</v>
      </c>
    </row>
    <row r="12" spans="1:17" ht="72" customHeight="1">
      <c r="A12" s="115" t="s">
        <v>1658</v>
      </c>
      <c r="B12" s="115" t="s">
        <v>1070</v>
      </c>
      <c r="C12" s="115">
        <v>6</v>
      </c>
      <c r="D12" s="115" t="s">
        <v>4283</v>
      </c>
      <c r="E12" s="115">
        <v>11</v>
      </c>
      <c r="F12" s="115" t="s">
        <v>2842</v>
      </c>
      <c r="G12" s="116" t="s">
        <v>4304</v>
      </c>
      <c r="H12" s="115" t="s">
        <v>4305</v>
      </c>
      <c r="I12" s="115" t="s">
        <v>4268</v>
      </c>
      <c r="J12" s="115" t="s">
        <v>4269</v>
      </c>
      <c r="K12" s="115" t="s">
        <v>4270</v>
      </c>
      <c r="L12" s="115" t="s">
        <v>4271</v>
      </c>
      <c r="M12" s="116" t="s">
        <v>4310</v>
      </c>
      <c r="N12" s="115" t="s">
        <v>4273</v>
      </c>
      <c r="O12" s="115" t="s">
        <v>4311</v>
      </c>
      <c r="P12" s="115" t="s">
        <v>4275</v>
      </c>
      <c r="Q12" s="115" t="s">
        <v>4276</v>
      </c>
    </row>
    <row r="13" spans="1:17" ht="72" customHeight="1">
      <c r="A13" s="115" t="s">
        <v>1658</v>
      </c>
      <c r="B13" s="115" t="s">
        <v>1070</v>
      </c>
      <c r="C13" s="115">
        <v>6</v>
      </c>
      <c r="D13" s="115" t="s">
        <v>4283</v>
      </c>
      <c r="E13" s="115">
        <v>12</v>
      </c>
      <c r="F13" s="115" t="s">
        <v>4277</v>
      </c>
      <c r="G13" s="116" t="s">
        <v>4304</v>
      </c>
      <c r="H13" s="115" t="s">
        <v>4305</v>
      </c>
      <c r="I13" s="115" t="s">
        <v>4268</v>
      </c>
      <c r="J13" s="115" t="s">
        <v>4269</v>
      </c>
      <c r="K13" s="115" t="s">
        <v>4270</v>
      </c>
      <c r="L13" s="115" t="s">
        <v>4271</v>
      </c>
      <c r="M13" s="116" t="s">
        <v>4312</v>
      </c>
      <c r="N13" s="115" t="s">
        <v>4279</v>
      </c>
      <c r="O13" s="115" t="s">
        <v>4313</v>
      </c>
      <c r="P13" s="115" t="s">
        <v>4288</v>
      </c>
      <c r="Q13" s="115" t="s">
        <v>4289</v>
      </c>
    </row>
    <row r="14" spans="1:17" ht="72" customHeight="1">
      <c r="A14" s="115" t="s">
        <v>1658</v>
      </c>
      <c r="B14" s="115" t="s">
        <v>1070</v>
      </c>
      <c r="C14" s="115">
        <v>7</v>
      </c>
      <c r="D14" s="115" t="s">
        <v>4314</v>
      </c>
      <c r="E14" s="115">
        <v>13</v>
      </c>
      <c r="F14" s="115" t="s">
        <v>2842</v>
      </c>
      <c r="G14" s="115" t="s">
        <v>4304</v>
      </c>
      <c r="H14" s="115" t="s">
        <v>4305</v>
      </c>
      <c r="I14" s="115" t="s">
        <v>4268</v>
      </c>
      <c r="J14" s="115" t="s">
        <v>4269</v>
      </c>
      <c r="K14" s="115" t="s">
        <v>4270</v>
      </c>
      <c r="L14" s="115" t="s">
        <v>4271</v>
      </c>
      <c r="M14" s="115" t="s">
        <v>4315</v>
      </c>
      <c r="N14" s="115" t="s">
        <v>4273</v>
      </c>
      <c r="O14" s="115" t="s">
        <v>4316</v>
      </c>
      <c r="P14" s="115" t="s">
        <v>4275</v>
      </c>
      <c r="Q14" s="115" t="s">
        <v>4276</v>
      </c>
    </row>
    <row r="15" spans="1:17" ht="72" customHeight="1">
      <c r="A15" s="115" t="s">
        <v>1658</v>
      </c>
      <c r="B15" s="115" t="s">
        <v>1070</v>
      </c>
      <c r="C15" s="115">
        <v>7</v>
      </c>
      <c r="D15" s="115" t="s">
        <v>4314</v>
      </c>
      <c r="E15" s="115">
        <v>14</v>
      </c>
      <c r="F15" s="115" t="s">
        <v>4277</v>
      </c>
      <c r="G15" s="115" t="s">
        <v>4304</v>
      </c>
      <c r="H15" s="115" t="s">
        <v>4305</v>
      </c>
      <c r="I15" s="115" t="s">
        <v>4268</v>
      </c>
      <c r="J15" s="115" t="s">
        <v>4269</v>
      </c>
      <c r="K15" s="115" t="s">
        <v>4270</v>
      </c>
      <c r="L15" s="115" t="s">
        <v>4271</v>
      </c>
      <c r="M15" s="116" t="s">
        <v>4317</v>
      </c>
      <c r="N15" s="115" t="s">
        <v>4294</v>
      </c>
      <c r="O15" s="115" t="s">
        <v>4318</v>
      </c>
      <c r="P15" s="115" t="s">
        <v>4288</v>
      </c>
      <c r="Q15" s="115" t="s">
        <v>4289</v>
      </c>
    </row>
    <row r="16" spans="1:17" ht="72" customHeight="1">
      <c r="A16" s="115" t="s">
        <v>1658</v>
      </c>
      <c r="B16" s="115" t="s">
        <v>1070</v>
      </c>
      <c r="C16" s="115">
        <v>8</v>
      </c>
      <c r="D16" s="115" t="s">
        <v>4319</v>
      </c>
      <c r="E16" s="115">
        <v>15</v>
      </c>
      <c r="F16" s="115" t="s">
        <v>2842</v>
      </c>
      <c r="G16" s="115" t="s">
        <v>4304</v>
      </c>
      <c r="H16" s="115" t="s">
        <v>4305</v>
      </c>
      <c r="I16" s="115" t="s">
        <v>4268</v>
      </c>
      <c r="J16" s="115" t="s">
        <v>4269</v>
      </c>
      <c r="K16" s="115" t="s">
        <v>4270</v>
      </c>
      <c r="L16" s="115" t="s">
        <v>4271</v>
      </c>
      <c r="M16" s="115" t="s">
        <v>4310</v>
      </c>
      <c r="N16" s="115" t="s">
        <v>4273</v>
      </c>
      <c r="O16" s="115" t="s">
        <v>4320</v>
      </c>
      <c r="P16" s="115" t="s">
        <v>4275</v>
      </c>
      <c r="Q16" s="115" t="s">
        <v>4276</v>
      </c>
    </row>
    <row r="17" spans="1:17" ht="72" customHeight="1">
      <c r="A17" s="115" t="s">
        <v>1658</v>
      </c>
      <c r="B17" s="115" t="s">
        <v>1070</v>
      </c>
      <c r="C17" s="115">
        <v>8</v>
      </c>
      <c r="D17" s="115" t="s">
        <v>4319</v>
      </c>
      <c r="E17" s="115">
        <v>16</v>
      </c>
      <c r="F17" s="115" t="s">
        <v>4277</v>
      </c>
      <c r="G17" s="115" t="s">
        <v>4304</v>
      </c>
      <c r="H17" s="115" t="s">
        <v>4305</v>
      </c>
      <c r="I17" s="115" t="s">
        <v>4268</v>
      </c>
      <c r="J17" s="115" t="s">
        <v>4269</v>
      </c>
      <c r="K17" s="115" t="s">
        <v>4270</v>
      </c>
      <c r="L17" s="115" t="s">
        <v>4271</v>
      </c>
      <c r="M17" s="115" t="s">
        <v>4321</v>
      </c>
      <c r="N17" s="115" t="s">
        <v>4294</v>
      </c>
      <c r="O17" s="115" t="s">
        <v>4322</v>
      </c>
      <c r="P17" s="115" t="s">
        <v>4301</v>
      </c>
      <c r="Q17" s="115" t="s">
        <v>4302</v>
      </c>
    </row>
    <row r="18" spans="1:17" ht="72" customHeight="1">
      <c r="A18" s="115" t="s">
        <v>1658</v>
      </c>
      <c r="B18" s="115" t="s">
        <v>1106</v>
      </c>
      <c r="C18" s="115">
        <v>1</v>
      </c>
      <c r="D18" s="115" t="s">
        <v>4323</v>
      </c>
      <c r="E18" s="115">
        <v>1</v>
      </c>
      <c r="F18" s="115" t="s">
        <v>2842</v>
      </c>
      <c r="G18" s="115" t="s">
        <v>4324</v>
      </c>
      <c r="H18" s="115" t="s">
        <v>4325</v>
      </c>
      <c r="I18" s="115" t="s">
        <v>4326</v>
      </c>
      <c r="J18" s="115" t="s">
        <v>4327</v>
      </c>
      <c r="K18" s="115" t="s">
        <v>4328</v>
      </c>
      <c r="L18" s="115" t="s">
        <v>4329</v>
      </c>
      <c r="M18" s="115" t="s">
        <v>4330</v>
      </c>
      <c r="N18" s="115" t="s">
        <v>4273</v>
      </c>
      <c r="O18" s="115" t="s">
        <v>4331</v>
      </c>
      <c r="P18" s="115" t="s">
        <v>4275</v>
      </c>
      <c r="Q18" s="115" t="s">
        <v>4276</v>
      </c>
    </row>
    <row r="19" spans="1:17" ht="72" customHeight="1">
      <c r="A19" s="115" t="s">
        <v>1658</v>
      </c>
      <c r="B19" s="115" t="s">
        <v>1106</v>
      </c>
      <c r="C19" s="115">
        <v>1</v>
      </c>
      <c r="D19" s="115" t="s">
        <v>4323</v>
      </c>
      <c r="E19" s="115">
        <v>2</v>
      </c>
      <c r="F19" s="115" t="s">
        <v>4277</v>
      </c>
      <c r="G19" s="115" t="s">
        <v>4324</v>
      </c>
      <c r="H19" s="115" t="s">
        <v>4325</v>
      </c>
      <c r="I19" s="115" t="s">
        <v>4326</v>
      </c>
      <c r="J19" s="115" t="s">
        <v>4327</v>
      </c>
      <c r="K19" s="115" t="s">
        <v>4328</v>
      </c>
      <c r="L19" s="115" t="s">
        <v>4329</v>
      </c>
      <c r="M19" s="115" t="s">
        <v>4332</v>
      </c>
      <c r="N19" s="115" t="s">
        <v>4279</v>
      </c>
      <c r="O19" s="115" t="s">
        <v>4333</v>
      </c>
      <c r="P19" s="115" t="s">
        <v>4281</v>
      </c>
      <c r="Q19" s="115" t="s">
        <v>4282</v>
      </c>
    </row>
    <row r="20" spans="1:17" ht="72" customHeight="1">
      <c r="A20" s="115" t="s">
        <v>1658</v>
      </c>
      <c r="B20" s="115" t="s">
        <v>1106</v>
      </c>
      <c r="C20" s="115">
        <v>2</v>
      </c>
      <c r="D20" s="115" t="s">
        <v>4283</v>
      </c>
      <c r="E20" s="115">
        <v>3</v>
      </c>
      <c r="F20" s="115" t="s">
        <v>2842</v>
      </c>
      <c r="G20" s="115" t="s">
        <v>4324</v>
      </c>
      <c r="H20" s="115" t="s">
        <v>4325</v>
      </c>
      <c r="I20" s="115" t="s">
        <v>4326</v>
      </c>
      <c r="J20" s="115" t="s">
        <v>4327</v>
      </c>
      <c r="K20" s="115" t="s">
        <v>4328</v>
      </c>
      <c r="L20" s="115" t="s">
        <v>4329</v>
      </c>
      <c r="M20" s="115" t="s">
        <v>4334</v>
      </c>
      <c r="N20" s="115" t="s">
        <v>4273</v>
      </c>
      <c r="O20" s="115" t="s">
        <v>4335</v>
      </c>
      <c r="P20" s="115" t="s">
        <v>4275</v>
      </c>
      <c r="Q20" s="115" t="s">
        <v>4276</v>
      </c>
    </row>
    <row r="21" spans="1:17" ht="72" customHeight="1">
      <c r="A21" s="115" t="s">
        <v>1658</v>
      </c>
      <c r="B21" s="115" t="s">
        <v>1106</v>
      </c>
      <c r="C21" s="115">
        <v>2</v>
      </c>
      <c r="D21" s="115" t="s">
        <v>4283</v>
      </c>
      <c r="E21" s="115">
        <v>4</v>
      </c>
      <c r="F21" s="115" t="s">
        <v>4277</v>
      </c>
      <c r="G21" s="115" t="s">
        <v>4324</v>
      </c>
      <c r="H21" s="115" t="s">
        <v>4325</v>
      </c>
      <c r="I21" s="115" t="s">
        <v>4326</v>
      </c>
      <c r="J21" s="115" t="s">
        <v>4327</v>
      </c>
      <c r="K21" s="115" t="s">
        <v>4328</v>
      </c>
      <c r="L21" s="115" t="s">
        <v>4329</v>
      </c>
      <c r="M21" s="115" t="s">
        <v>4336</v>
      </c>
      <c r="N21" s="115" t="s">
        <v>4279</v>
      </c>
      <c r="O21" s="115" t="s">
        <v>4337</v>
      </c>
      <c r="P21" s="115" t="s">
        <v>4288</v>
      </c>
      <c r="Q21" s="115" t="s">
        <v>4289</v>
      </c>
    </row>
    <row r="22" spans="1:17" ht="72" customHeight="1">
      <c r="A22" s="115" t="s">
        <v>1658</v>
      </c>
      <c r="B22" s="115" t="s">
        <v>1106</v>
      </c>
      <c r="C22" s="115">
        <v>3</v>
      </c>
      <c r="D22" s="115" t="s">
        <v>4338</v>
      </c>
      <c r="E22" s="115">
        <v>5</v>
      </c>
      <c r="F22" s="115" t="s">
        <v>2842</v>
      </c>
      <c r="G22" s="115" t="s">
        <v>4324</v>
      </c>
      <c r="H22" s="115" t="s">
        <v>4325</v>
      </c>
      <c r="I22" s="115" t="s">
        <v>4326</v>
      </c>
      <c r="J22" s="115" t="s">
        <v>4327</v>
      </c>
      <c r="K22" s="115" t="s">
        <v>4328</v>
      </c>
      <c r="L22" s="115" t="s">
        <v>4329</v>
      </c>
      <c r="M22" s="115" t="s">
        <v>4339</v>
      </c>
      <c r="N22" s="115" t="s">
        <v>4273</v>
      </c>
      <c r="O22" s="115" t="s">
        <v>4340</v>
      </c>
      <c r="P22" s="115" t="s">
        <v>4275</v>
      </c>
      <c r="Q22" s="115" t="s">
        <v>4276</v>
      </c>
    </row>
    <row r="23" spans="1:17" ht="72" customHeight="1">
      <c r="A23" s="115" t="s">
        <v>1658</v>
      </c>
      <c r="B23" s="115" t="s">
        <v>1106</v>
      </c>
      <c r="C23" s="115">
        <v>3</v>
      </c>
      <c r="D23" s="115" t="s">
        <v>4338</v>
      </c>
      <c r="E23" s="115">
        <v>6</v>
      </c>
      <c r="F23" s="115" t="s">
        <v>4277</v>
      </c>
      <c r="G23" s="115" t="s">
        <v>4324</v>
      </c>
      <c r="H23" s="115" t="s">
        <v>4325</v>
      </c>
      <c r="I23" s="115" t="s">
        <v>4326</v>
      </c>
      <c r="J23" s="115" t="s">
        <v>4327</v>
      </c>
      <c r="K23" s="115" t="s">
        <v>4328</v>
      </c>
      <c r="L23" s="115" t="s">
        <v>4329</v>
      </c>
      <c r="M23" s="116" t="s">
        <v>4341</v>
      </c>
      <c r="N23" s="115" t="s">
        <v>4294</v>
      </c>
      <c r="O23" s="115" t="s">
        <v>4342</v>
      </c>
      <c r="P23" s="115" t="s">
        <v>4288</v>
      </c>
      <c r="Q23" s="115" t="s">
        <v>4289</v>
      </c>
    </row>
    <row r="24" spans="1:17" ht="72" customHeight="1">
      <c r="A24" s="115" t="s">
        <v>1658</v>
      </c>
      <c r="B24" s="115" t="s">
        <v>1106</v>
      </c>
      <c r="C24" s="115">
        <v>4</v>
      </c>
      <c r="D24" s="115" t="s">
        <v>4343</v>
      </c>
      <c r="E24" s="115">
        <v>7</v>
      </c>
      <c r="F24" s="115" t="s">
        <v>2842</v>
      </c>
      <c r="G24" s="115" t="s">
        <v>4324</v>
      </c>
      <c r="H24" s="115" t="s">
        <v>4325</v>
      </c>
      <c r="I24" s="115" t="s">
        <v>4326</v>
      </c>
      <c r="J24" s="115" t="s">
        <v>4327</v>
      </c>
      <c r="K24" s="115" t="s">
        <v>4328</v>
      </c>
      <c r="L24" s="115" t="s">
        <v>4329</v>
      </c>
      <c r="M24" s="115" t="s">
        <v>4344</v>
      </c>
      <c r="N24" s="115" t="s">
        <v>4273</v>
      </c>
      <c r="O24" s="115" t="s">
        <v>4345</v>
      </c>
      <c r="P24" s="115" t="s">
        <v>4275</v>
      </c>
      <c r="Q24" s="115" t="s">
        <v>4276</v>
      </c>
    </row>
    <row r="25" spans="1:17" ht="72" customHeight="1">
      <c r="A25" s="115" t="s">
        <v>1658</v>
      </c>
      <c r="B25" s="115" t="s">
        <v>1106</v>
      </c>
      <c r="C25" s="115">
        <v>4</v>
      </c>
      <c r="D25" s="115" t="s">
        <v>4343</v>
      </c>
      <c r="E25" s="115">
        <v>8</v>
      </c>
      <c r="F25" s="115" t="s">
        <v>4277</v>
      </c>
      <c r="G25" s="115" t="s">
        <v>4324</v>
      </c>
      <c r="H25" s="115" t="s">
        <v>4325</v>
      </c>
      <c r="I25" s="115" t="s">
        <v>4326</v>
      </c>
      <c r="J25" s="115" t="s">
        <v>4327</v>
      </c>
      <c r="K25" s="115" t="s">
        <v>4328</v>
      </c>
      <c r="L25" s="115" t="s">
        <v>4329</v>
      </c>
      <c r="M25" s="115" t="s">
        <v>4321</v>
      </c>
      <c r="N25" s="115" t="s">
        <v>4294</v>
      </c>
      <c r="O25" s="115" t="s">
        <v>4322</v>
      </c>
      <c r="P25" s="115" t="s">
        <v>4301</v>
      </c>
      <c r="Q25" s="115" t="s">
        <v>4302</v>
      </c>
    </row>
    <row r="26" spans="1:17" ht="72" customHeight="1">
      <c r="A26" s="115" t="s">
        <v>1658</v>
      </c>
      <c r="B26" s="115" t="s">
        <v>1106</v>
      </c>
      <c r="C26" s="115">
        <v>5</v>
      </c>
      <c r="D26" s="115" t="s">
        <v>4346</v>
      </c>
      <c r="E26" s="115">
        <v>9</v>
      </c>
      <c r="F26" s="115" t="s">
        <v>2842</v>
      </c>
      <c r="G26" s="115" t="s">
        <v>4347</v>
      </c>
      <c r="H26" s="115" t="s">
        <v>4348</v>
      </c>
      <c r="I26" s="115" t="s">
        <v>4326</v>
      </c>
      <c r="J26" s="115" t="s">
        <v>4327</v>
      </c>
      <c r="K26" s="115" t="s">
        <v>4328</v>
      </c>
      <c r="L26" s="115" t="s">
        <v>4329</v>
      </c>
      <c r="M26" s="115" t="s">
        <v>4349</v>
      </c>
      <c r="N26" s="115" t="s">
        <v>4273</v>
      </c>
      <c r="O26" s="115" t="s">
        <v>4350</v>
      </c>
      <c r="P26" s="115" t="s">
        <v>4275</v>
      </c>
      <c r="Q26" s="115" t="s">
        <v>4276</v>
      </c>
    </row>
    <row r="27" spans="1:17" ht="72" customHeight="1">
      <c r="A27" s="115" t="s">
        <v>1658</v>
      </c>
      <c r="B27" s="115" t="s">
        <v>1106</v>
      </c>
      <c r="C27" s="115">
        <v>5</v>
      </c>
      <c r="D27" s="115" t="s">
        <v>4346</v>
      </c>
      <c r="E27" s="115">
        <v>10</v>
      </c>
      <c r="F27" s="115" t="s">
        <v>4277</v>
      </c>
      <c r="G27" s="115" t="s">
        <v>4347</v>
      </c>
      <c r="H27" s="115" t="s">
        <v>4348</v>
      </c>
      <c r="I27" s="115" t="s">
        <v>4326</v>
      </c>
      <c r="J27" s="115" t="s">
        <v>4327</v>
      </c>
      <c r="K27" s="115" t="s">
        <v>4328</v>
      </c>
      <c r="L27" s="115" t="s">
        <v>4329</v>
      </c>
      <c r="M27" s="115" t="s">
        <v>4351</v>
      </c>
      <c r="N27" s="115" t="s">
        <v>4279</v>
      </c>
      <c r="O27" s="115" t="s">
        <v>4352</v>
      </c>
      <c r="P27" s="115" t="s">
        <v>4281</v>
      </c>
      <c r="Q27" s="115" t="s">
        <v>4282</v>
      </c>
    </row>
    <row r="28" spans="1:17" ht="72" customHeight="1">
      <c r="A28" s="115" t="s">
        <v>1658</v>
      </c>
      <c r="B28" s="115" t="s">
        <v>1106</v>
      </c>
      <c r="C28" s="115">
        <v>6</v>
      </c>
      <c r="D28" s="115" t="s">
        <v>4283</v>
      </c>
      <c r="E28" s="115">
        <v>11</v>
      </c>
      <c r="F28" s="115" t="s">
        <v>2842</v>
      </c>
      <c r="G28" s="115" t="s">
        <v>4347</v>
      </c>
      <c r="H28" s="115" t="s">
        <v>4348</v>
      </c>
      <c r="I28" s="115" t="s">
        <v>4326</v>
      </c>
      <c r="J28" s="115" t="s">
        <v>4327</v>
      </c>
      <c r="K28" s="115" t="s">
        <v>4328</v>
      </c>
      <c r="L28" s="115" t="s">
        <v>4329</v>
      </c>
      <c r="M28" s="115" t="s">
        <v>4353</v>
      </c>
      <c r="N28" s="115" t="s">
        <v>4273</v>
      </c>
      <c r="O28" s="115" t="s">
        <v>4354</v>
      </c>
      <c r="P28" s="115" t="s">
        <v>4275</v>
      </c>
      <c r="Q28" s="115" t="s">
        <v>4276</v>
      </c>
    </row>
    <row r="29" spans="1:17" ht="72" customHeight="1">
      <c r="A29" s="115" t="s">
        <v>1658</v>
      </c>
      <c r="B29" s="115" t="s">
        <v>1106</v>
      </c>
      <c r="C29" s="115">
        <v>6</v>
      </c>
      <c r="D29" s="115" t="s">
        <v>4283</v>
      </c>
      <c r="E29" s="115">
        <v>12</v>
      </c>
      <c r="F29" s="115" t="s">
        <v>4277</v>
      </c>
      <c r="G29" s="115" t="s">
        <v>4347</v>
      </c>
      <c r="H29" s="115" t="s">
        <v>4348</v>
      </c>
      <c r="I29" s="115" t="s">
        <v>4326</v>
      </c>
      <c r="J29" s="115" t="s">
        <v>4327</v>
      </c>
      <c r="K29" s="115" t="s">
        <v>4328</v>
      </c>
      <c r="L29" s="115" t="s">
        <v>4329</v>
      </c>
      <c r="M29" s="115" t="s">
        <v>4355</v>
      </c>
      <c r="N29" s="115" t="s">
        <v>4279</v>
      </c>
      <c r="O29" s="115" t="s">
        <v>4356</v>
      </c>
      <c r="P29" s="115" t="s">
        <v>4288</v>
      </c>
      <c r="Q29" s="115" t="s">
        <v>4289</v>
      </c>
    </row>
    <row r="30" spans="1:17" ht="72" customHeight="1">
      <c r="A30" s="115" t="s">
        <v>1658</v>
      </c>
      <c r="B30" s="115" t="s">
        <v>1106</v>
      </c>
      <c r="C30" s="115">
        <v>7</v>
      </c>
      <c r="D30" s="115" t="s">
        <v>4357</v>
      </c>
      <c r="E30" s="115">
        <v>13</v>
      </c>
      <c r="F30" s="115" t="s">
        <v>2842</v>
      </c>
      <c r="G30" s="115" t="s">
        <v>4347</v>
      </c>
      <c r="H30" s="115" t="s">
        <v>4348</v>
      </c>
      <c r="I30" s="115" t="s">
        <v>4326</v>
      </c>
      <c r="J30" s="115" t="s">
        <v>4327</v>
      </c>
      <c r="K30" s="115" t="s">
        <v>4328</v>
      </c>
      <c r="L30" s="115" t="s">
        <v>4329</v>
      </c>
      <c r="M30" s="115" t="s">
        <v>4358</v>
      </c>
      <c r="N30" s="115" t="s">
        <v>4273</v>
      </c>
      <c r="O30" s="115" t="s">
        <v>4359</v>
      </c>
      <c r="P30" s="115" t="s">
        <v>4275</v>
      </c>
      <c r="Q30" s="115" t="s">
        <v>4276</v>
      </c>
    </row>
    <row r="31" spans="1:17" ht="72" customHeight="1">
      <c r="A31" s="115" t="s">
        <v>1658</v>
      </c>
      <c r="B31" s="115" t="s">
        <v>1106</v>
      </c>
      <c r="C31" s="115">
        <v>7</v>
      </c>
      <c r="D31" s="115" t="s">
        <v>4357</v>
      </c>
      <c r="E31" s="115">
        <v>14</v>
      </c>
      <c r="F31" s="115" t="s">
        <v>4277</v>
      </c>
      <c r="G31" s="115" t="s">
        <v>4347</v>
      </c>
      <c r="H31" s="115" t="s">
        <v>4348</v>
      </c>
      <c r="I31" s="115" t="s">
        <v>4326</v>
      </c>
      <c r="J31" s="115" t="s">
        <v>4327</v>
      </c>
      <c r="K31" s="115" t="s">
        <v>4328</v>
      </c>
      <c r="L31" s="115" t="s">
        <v>4329</v>
      </c>
      <c r="M31" s="116" t="s">
        <v>4317</v>
      </c>
      <c r="N31" s="115" t="s">
        <v>4294</v>
      </c>
      <c r="O31" s="115" t="s">
        <v>4360</v>
      </c>
      <c r="P31" s="115" t="s">
        <v>4288</v>
      </c>
      <c r="Q31" s="115" t="s">
        <v>4289</v>
      </c>
    </row>
    <row r="32" spans="1:17" ht="72" customHeight="1">
      <c r="A32" s="115" t="s">
        <v>1658</v>
      </c>
      <c r="B32" s="115" t="s">
        <v>1106</v>
      </c>
      <c r="C32" s="115">
        <v>8</v>
      </c>
      <c r="D32" s="115" t="s">
        <v>4361</v>
      </c>
      <c r="E32" s="115">
        <v>15</v>
      </c>
      <c r="F32" s="115" t="s">
        <v>2842</v>
      </c>
      <c r="G32" s="115" t="s">
        <v>4347</v>
      </c>
      <c r="H32" s="115" t="s">
        <v>4348</v>
      </c>
      <c r="I32" s="115" t="s">
        <v>4326</v>
      </c>
      <c r="J32" s="115" t="s">
        <v>4327</v>
      </c>
      <c r="K32" s="115" t="s">
        <v>4328</v>
      </c>
      <c r="L32" s="115" t="s">
        <v>4329</v>
      </c>
      <c r="M32" s="115" t="s">
        <v>4362</v>
      </c>
      <c r="N32" s="115" t="s">
        <v>4273</v>
      </c>
      <c r="O32" s="115" t="s">
        <v>4363</v>
      </c>
      <c r="P32" s="115" t="s">
        <v>4275</v>
      </c>
      <c r="Q32" s="115" t="s">
        <v>4276</v>
      </c>
    </row>
    <row r="33" spans="1:17" ht="72" customHeight="1">
      <c r="A33" s="115" t="s">
        <v>1658</v>
      </c>
      <c r="B33" s="115" t="s">
        <v>1106</v>
      </c>
      <c r="C33" s="115">
        <v>8</v>
      </c>
      <c r="D33" s="115" t="s">
        <v>4361</v>
      </c>
      <c r="E33" s="115">
        <v>16</v>
      </c>
      <c r="F33" s="115" t="s">
        <v>4277</v>
      </c>
      <c r="G33" s="115" t="s">
        <v>4347</v>
      </c>
      <c r="H33" s="115" t="s">
        <v>4348</v>
      </c>
      <c r="I33" s="115" t="s">
        <v>4326</v>
      </c>
      <c r="J33" s="115" t="s">
        <v>4327</v>
      </c>
      <c r="K33" s="115" t="s">
        <v>4328</v>
      </c>
      <c r="L33" s="115" t="s">
        <v>4329</v>
      </c>
      <c r="M33" s="115" t="s">
        <v>4321</v>
      </c>
      <c r="N33" s="115" t="s">
        <v>4294</v>
      </c>
      <c r="O33" s="115" t="s">
        <v>4322</v>
      </c>
      <c r="P33" s="115" t="s">
        <v>4301</v>
      </c>
      <c r="Q33" s="115" t="s">
        <v>4302</v>
      </c>
    </row>
    <row r="34" spans="1:17" ht="72" customHeight="1">
      <c r="A34" s="115" t="s">
        <v>1658</v>
      </c>
      <c r="B34" s="115" t="s">
        <v>542</v>
      </c>
      <c r="C34" s="115">
        <v>1</v>
      </c>
      <c r="D34" s="115" t="s">
        <v>4364</v>
      </c>
      <c r="E34" s="115">
        <v>1</v>
      </c>
      <c r="F34" s="115" t="s">
        <v>2842</v>
      </c>
      <c r="G34" s="115" t="s">
        <v>4365</v>
      </c>
      <c r="H34" s="115" t="s">
        <v>4366</v>
      </c>
      <c r="I34" s="115" t="s">
        <v>4367</v>
      </c>
      <c r="J34" s="115" t="s">
        <v>4368</v>
      </c>
      <c r="K34" s="115" t="s">
        <v>4369</v>
      </c>
      <c r="L34" s="115" t="s">
        <v>4370</v>
      </c>
      <c r="M34" s="115" t="s">
        <v>4371</v>
      </c>
      <c r="N34" s="115" t="s">
        <v>4273</v>
      </c>
      <c r="O34" s="115" t="s">
        <v>4372</v>
      </c>
      <c r="P34" s="115" t="s">
        <v>4275</v>
      </c>
      <c r="Q34" s="115" t="s">
        <v>4276</v>
      </c>
    </row>
    <row r="35" spans="1:17" ht="72" customHeight="1">
      <c r="A35" s="115" t="s">
        <v>1658</v>
      </c>
      <c r="B35" s="115" t="s">
        <v>542</v>
      </c>
      <c r="C35" s="115">
        <v>1</v>
      </c>
      <c r="D35" s="115" t="s">
        <v>4364</v>
      </c>
      <c r="E35" s="115">
        <v>2</v>
      </c>
      <c r="F35" s="115" t="s">
        <v>4277</v>
      </c>
      <c r="G35" s="115" t="s">
        <v>4365</v>
      </c>
      <c r="H35" s="115" t="s">
        <v>4366</v>
      </c>
      <c r="I35" s="115" t="s">
        <v>4367</v>
      </c>
      <c r="J35" s="115" t="s">
        <v>4368</v>
      </c>
      <c r="K35" s="115" t="s">
        <v>4369</v>
      </c>
      <c r="L35" s="115" t="s">
        <v>4370</v>
      </c>
      <c r="M35" s="115" t="s">
        <v>4373</v>
      </c>
      <c r="N35" s="115" t="s">
        <v>4279</v>
      </c>
      <c r="O35" s="115" t="s">
        <v>4374</v>
      </c>
      <c r="P35" s="115" t="s">
        <v>4375</v>
      </c>
      <c r="Q35" s="115" t="s">
        <v>4376</v>
      </c>
    </row>
    <row r="36" spans="1:17" ht="72" customHeight="1">
      <c r="A36" s="115" t="s">
        <v>1658</v>
      </c>
      <c r="B36" s="115" t="s">
        <v>542</v>
      </c>
      <c r="C36" s="115">
        <v>2</v>
      </c>
      <c r="D36" s="115" t="s">
        <v>4283</v>
      </c>
      <c r="E36" s="115">
        <v>3</v>
      </c>
      <c r="F36" s="115" t="s">
        <v>2842</v>
      </c>
      <c r="G36" s="115" t="s">
        <v>4365</v>
      </c>
      <c r="H36" s="115" t="s">
        <v>4366</v>
      </c>
      <c r="I36" s="115" t="s">
        <v>4367</v>
      </c>
      <c r="J36" s="115" t="s">
        <v>4368</v>
      </c>
      <c r="K36" s="115" t="s">
        <v>4369</v>
      </c>
      <c r="L36" s="115" t="s">
        <v>4370</v>
      </c>
      <c r="M36" s="115" t="s">
        <v>4377</v>
      </c>
      <c r="N36" s="115" t="s">
        <v>4273</v>
      </c>
      <c r="O36" s="115" t="s">
        <v>4378</v>
      </c>
      <c r="P36" s="115" t="s">
        <v>4275</v>
      </c>
      <c r="Q36" s="115" t="s">
        <v>4276</v>
      </c>
    </row>
    <row r="37" spans="1:17" ht="72" customHeight="1">
      <c r="A37" s="115" t="s">
        <v>1658</v>
      </c>
      <c r="B37" s="115" t="s">
        <v>542</v>
      </c>
      <c r="C37" s="115">
        <v>2</v>
      </c>
      <c r="D37" s="115" t="s">
        <v>4283</v>
      </c>
      <c r="E37" s="115">
        <v>4</v>
      </c>
      <c r="F37" s="115" t="s">
        <v>4277</v>
      </c>
      <c r="G37" s="115" t="s">
        <v>4365</v>
      </c>
      <c r="H37" s="115" t="s">
        <v>4366</v>
      </c>
      <c r="I37" s="115" t="s">
        <v>4367</v>
      </c>
      <c r="J37" s="115" t="s">
        <v>4368</v>
      </c>
      <c r="K37" s="115" t="s">
        <v>4369</v>
      </c>
      <c r="L37" s="115" t="s">
        <v>4370</v>
      </c>
      <c r="M37" s="115" t="s">
        <v>4379</v>
      </c>
      <c r="N37" s="115" t="s">
        <v>4279</v>
      </c>
      <c r="O37" s="115" t="s">
        <v>4380</v>
      </c>
      <c r="P37" s="115" t="s">
        <v>4301</v>
      </c>
      <c r="Q37" s="115" t="s">
        <v>4302</v>
      </c>
    </row>
    <row r="38" spans="1:17" ht="72" customHeight="1">
      <c r="A38" s="115" t="s">
        <v>1658</v>
      </c>
      <c r="B38" s="115" t="s">
        <v>542</v>
      </c>
      <c r="C38" s="115">
        <v>3</v>
      </c>
      <c r="D38" s="115" t="s">
        <v>4381</v>
      </c>
      <c r="E38" s="115">
        <v>5</v>
      </c>
      <c r="F38" s="115" t="s">
        <v>2842</v>
      </c>
      <c r="G38" s="115" t="s">
        <v>4365</v>
      </c>
      <c r="H38" s="115" t="s">
        <v>4366</v>
      </c>
      <c r="I38" s="115" t="s">
        <v>4367</v>
      </c>
      <c r="J38" s="115" t="s">
        <v>4368</v>
      </c>
      <c r="K38" s="115" t="s">
        <v>4369</v>
      </c>
      <c r="L38" s="115" t="s">
        <v>4370</v>
      </c>
      <c r="M38" s="115" t="s">
        <v>4382</v>
      </c>
      <c r="N38" s="115" t="s">
        <v>4273</v>
      </c>
      <c r="O38" s="115" t="s">
        <v>4383</v>
      </c>
      <c r="P38" s="115" t="s">
        <v>4275</v>
      </c>
      <c r="Q38" s="115" t="s">
        <v>4276</v>
      </c>
    </row>
    <row r="39" spans="1:17" ht="72" customHeight="1">
      <c r="A39" s="115" t="s">
        <v>1658</v>
      </c>
      <c r="B39" s="115" t="s">
        <v>542</v>
      </c>
      <c r="C39" s="115">
        <v>3</v>
      </c>
      <c r="D39" s="115" t="s">
        <v>4381</v>
      </c>
      <c r="E39" s="115">
        <v>6</v>
      </c>
      <c r="F39" s="115" t="s">
        <v>4277</v>
      </c>
      <c r="G39" s="115" t="s">
        <v>4365</v>
      </c>
      <c r="H39" s="115" t="s">
        <v>4366</v>
      </c>
      <c r="I39" s="115" t="s">
        <v>4367</v>
      </c>
      <c r="J39" s="115" t="s">
        <v>4368</v>
      </c>
      <c r="K39" s="115" t="s">
        <v>4369</v>
      </c>
      <c r="L39" s="115" t="s">
        <v>4370</v>
      </c>
      <c r="M39" s="116" t="s">
        <v>4384</v>
      </c>
      <c r="N39" s="115" t="s">
        <v>4279</v>
      </c>
      <c r="O39" s="115" t="s">
        <v>4385</v>
      </c>
      <c r="P39" s="115" t="s">
        <v>4301</v>
      </c>
      <c r="Q39" s="115" t="s">
        <v>4302</v>
      </c>
    </row>
    <row r="40" spans="1:17" ht="72" customHeight="1">
      <c r="A40" s="115" t="s">
        <v>1658</v>
      </c>
      <c r="B40" s="115" t="s">
        <v>542</v>
      </c>
      <c r="C40" s="115">
        <v>4</v>
      </c>
      <c r="D40" s="115" t="s">
        <v>4386</v>
      </c>
      <c r="E40" s="115">
        <v>7</v>
      </c>
      <c r="F40" s="115" t="s">
        <v>2842</v>
      </c>
      <c r="G40" s="115" t="s">
        <v>4365</v>
      </c>
      <c r="H40" s="115" t="s">
        <v>4366</v>
      </c>
      <c r="I40" s="115" t="s">
        <v>4367</v>
      </c>
      <c r="J40" s="115" t="s">
        <v>4368</v>
      </c>
      <c r="K40" s="115" t="s">
        <v>4369</v>
      </c>
      <c r="L40" s="115" t="s">
        <v>4370</v>
      </c>
      <c r="M40" s="115" t="s">
        <v>4387</v>
      </c>
      <c r="N40" s="115" t="s">
        <v>4273</v>
      </c>
      <c r="O40" s="115" t="s">
        <v>4316</v>
      </c>
      <c r="P40" s="115" t="s">
        <v>4275</v>
      </c>
      <c r="Q40" s="115" t="s">
        <v>4276</v>
      </c>
    </row>
    <row r="41" spans="1:17" ht="72" customHeight="1">
      <c r="A41" s="115" t="s">
        <v>1658</v>
      </c>
      <c r="B41" s="115" t="s">
        <v>542</v>
      </c>
      <c r="C41" s="115">
        <v>4</v>
      </c>
      <c r="D41" s="115" t="s">
        <v>4386</v>
      </c>
      <c r="E41" s="115">
        <v>8</v>
      </c>
      <c r="F41" s="115" t="s">
        <v>4277</v>
      </c>
      <c r="G41" s="115" t="s">
        <v>4365</v>
      </c>
      <c r="H41" s="115" t="s">
        <v>4366</v>
      </c>
      <c r="I41" s="115" t="s">
        <v>4367</v>
      </c>
      <c r="J41" s="115" t="s">
        <v>4368</v>
      </c>
      <c r="K41" s="115" t="s">
        <v>4369</v>
      </c>
      <c r="L41" s="115" t="s">
        <v>4370</v>
      </c>
      <c r="M41" s="115" t="s">
        <v>4388</v>
      </c>
      <c r="N41" s="115" t="s">
        <v>4294</v>
      </c>
      <c r="O41" s="115" t="s">
        <v>4389</v>
      </c>
      <c r="P41" s="115" t="s">
        <v>4390</v>
      </c>
      <c r="Q41" s="115" t="s">
        <v>4391</v>
      </c>
    </row>
    <row r="42" spans="1:17" ht="72" customHeight="1">
      <c r="A42" s="115" t="s">
        <v>1658</v>
      </c>
      <c r="B42" s="115" t="s">
        <v>542</v>
      </c>
      <c r="C42" s="115">
        <v>5</v>
      </c>
      <c r="D42" s="115" t="s">
        <v>4392</v>
      </c>
      <c r="E42" s="115">
        <v>9</v>
      </c>
      <c r="F42" s="115" t="s">
        <v>2842</v>
      </c>
      <c r="G42" s="115" t="s">
        <v>4393</v>
      </c>
      <c r="H42" s="115" t="s">
        <v>4394</v>
      </c>
      <c r="I42" s="115" t="s">
        <v>4367</v>
      </c>
      <c r="J42" s="115" t="s">
        <v>4368</v>
      </c>
      <c r="K42" s="115" t="s">
        <v>4369</v>
      </c>
      <c r="L42" s="115" t="s">
        <v>4370</v>
      </c>
      <c r="M42" s="115" t="s">
        <v>4344</v>
      </c>
      <c r="N42" s="115" t="s">
        <v>4273</v>
      </c>
      <c r="O42" s="115" t="s">
        <v>4345</v>
      </c>
      <c r="P42" s="115" t="s">
        <v>4275</v>
      </c>
      <c r="Q42" s="115" t="s">
        <v>4276</v>
      </c>
    </row>
    <row r="43" spans="1:17" ht="72" customHeight="1">
      <c r="A43" s="115" t="s">
        <v>1658</v>
      </c>
      <c r="B43" s="115" t="s">
        <v>542</v>
      </c>
      <c r="C43" s="115">
        <v>5</v>
      </c>
      <c r="D43" s="115" t="s">
        <v>4392</v>
      </c>
      <c r="E43" s="115">
        <v>10</v>
      </c>
      <c r="F43" s="115" t="s">
        <v>4277</v>
      </c>
      <c r="G43" s="115" t="s">
        <v>4393</v>
      </c>
      <c r="H43" s="115" t="s">
        <v>4394</v>
      </c>
      <c r="I43" s="115" t="s">
        <v>4367</v>
      </c>
      <c r="J43" s="115" t="s">
        <v>4368</v>
      </c>
      <c r="K43" s="115" t="s">
        <v>4369</v>
      </c>
      <c r="L43" s="115" t="s">
        <v>4370</v>
      </c>
      <c r="M43" s="115" t="s">
        <v>4373</v>
      </c>
      <c r="N43" s="115" t="s">
        <v>4279</v>
      </c>
      <c r="O43" s="115" t="s">
        <v>4374</v>
      </c>
      <c r="P43" s="115" t="s">
        <v>4375</v>
      </c>
      <c r="Q43" s="115" t="s">
        <v>4376</v>
      </c>
    </row>
    <row r="44" spans="1:17" ht="72" customHeight="1">
      <c r="A44" s="115" t="s">
        <v>1658</v>
      </c>
      <c r="B44" s="115" t="s">
        <v>542</v>
      </c>
      <c r="C44" s="115">
        <v>6</v>
      </c>
      <c r="D44" s="115" t="s">
        <v>4283</v>
      </c>
      <c r="E44" s="115">
        <v>11</v>
      </c>
      <c r="F44" s="115" t="s">
        <v>2842</v>
      </c>
      <c r="G44" s="115" t="s">
        <v>4393</v>
      </c>
      <c r="H44" s="115" t="s">
        <v>4394</v>
      </c>
      <c r="I44" s="115" t="s">
        <v>4367</v>
      </c>
      <c r="J44" s="115" t="s">
        <v>4368</v>
      </c>
      <c r="K44" s="115" t="s">
        <v>4369</v>
      </c>
      <c r="L44" s="115" t="s">
        <v>4370</v>
      </c>
      <c r="M44" s="115" t="s">
        <v>4377</v>
      </c>
      <c r="N44" s="115" t="s">
        <v>4273</v>
      </c>
      <c r="O44" s="115" t="s">
        <v>4378</v>
      </c>
      <c r="P44" s="115" t="s">
        <v>4275</v>
      </c>
      <c r="Q44" s="115" t="s">
        <v>4276</v>
      </c>
    </row>
    <row r="45" spans="1:17" ht="72" customHeight="1">
      <c r="A45" s="115" t="s">
        <v>1658</v>
      </c>
      <c r="B45" s="115" t="s">
        <v>542</v>
      </c>
      <c r="C45" s="115">
        <v>6</v>
      </c>
      <c r="D45" s="115" t="s">
        <v>4283</v>
      </c>
      <c r="E45" s="115">
        <v>12</v>
      </c>
      <c r="F45" s="115" t="s">
        <v>4277</v>
      </c>
      <c r="G45" s="115" t="s">
        <v>4393</v>
      </c>
      <c r="H45" s="115" t="s">
        <v>4394</v>
      </c>
      <c r="I45" s="115" t="s">
        <v>4367</v>
      </c>
      <c r="J45" s="115" t="s">
        <v>4368</v>
      </c>
      <c r="K45" s="115" t="s">
        <v>4369</v>
      </c>
      <c r="L45" s="115" t="s">
        <v>4370</v>
      </c>
      <c r="M45" s="115" t="s">
        <v>4379</v>
      </c>
      <c r="N45" s="115" t="s">
        <v>4279</v>
      </c>
      <c r="O45" s="115" t="s">
        <v>4380</v>
      </c>
      <c r="P45" s="115" t="s">
        <v>4301</v>
      </c>
      <c r="Q45" s="115" t="s">
        <v>4302</v>
      </c>
    </row>
    <row r="46" spans="1:17" ht="72" customHeight="1">
      <c r="A46" s="115" t="s">
        <v>1658</v>
      </c>
      <c r="B46" s="115" t="s">
        <v>542</v>
      </c>
      <c r="C46" s="115">
        <v>7</v>
      </c>
      <c r="D46" s="115" t="s">
        <v>4395</v>
      </c>
      <c r="E46" s="115">
        <v>13</v>
      </c>
      <c r="F46" s="115" t="s">
        <v>2842</v>
      </c>
      <c r="G46" s="115" t="s">
        <v>4393</v>
      </c>
      <c r="H46" s="115" t="s">
        <v>4394</v>
      </c>
      <c r="I46" s="115" t="s">
        <v>4367</v>
      </c>
      <c r="J46" s="115" t="s">
        <v>4368</v>
      </c>
      <c r="K46" s="115" t="s">
        <v>4369</v>
      </c>
      <c r="L46" s="115" t="s">
        <v>4370</v>
      </c>
      <c r="M46" s="115" t="s">
        <v>4382</v>
      </c>
      <c r="N46" s="115" t="s">
        <v>4273</v>
      </c>
      <c r="O46" s="115" t="s">
        <v>4383</v>
      </c>
      <c r="P46" s="115" t="s">
        <v>4275</v>
      </c>
      <c r="Q46" s="115" t="s">
        <v>4276</v>
      </c>
    </row>
    <row r="47" spans="1:17" ht="72" customHeight="1">
      <c r="A47" s="115" t="s">
        <v>1658</v>
      </c>
      <c r="B47" s="115" t="s">
        <v>542</v>
      </c>
      <c r="C47" s="115">
        <v>7</v>
      </c>
      <c r="D47" s="115" t="s">
        <v>4395</v>
      </c>
      <c r="E47" s="115">
        <v>14</v>
      </c>
      <c r="F47" s="115" t="s">
        <v>4277</v>
      </c>
      <c r="G47" s="115" t="s">
        <v>4393</v>
      </c>
      <c r="H47" s="115" t="s">
        <v>4394</v>
      </c>
      <c r="I47" s="115" t="s">
        <v>4367</v>
      </c>
      <c r="J47" s="115" t="s">
        <v>4368</v>
      </c>
      <c r="K47" s="115" t="s">
        <v>4369</v>
      </c>
      <c r="L47" s="115" t="s">
        <v>4370</v>
      </c>
      <c r="M47" s="116" t="s">
        <v>4384</v>
      </c>
      <c r="N47" s="115" t="s">
        <v>4279</v>
      </c>
      <c r="O47" s="115" t="s">
        <v>4385</v>
      </c>
      <c r="P47" s="115" t="s">
        <v>4301</v>
      </c>
      <c r="Q47" s="115" t="s">
        <v>4302</v>
      </c>
    </row>
    <row r="48" spans="1:17" ht="72" customHeight="1">
      <c r="A48" s="115" t="s">
        <v>1658</v>
      </c>
      <c r="B48" s="115" t="s">
        <v>542</v>
      </c>
      <c r="C48" s="115">
        <v>8</v>
      </c>
      <c r="D48" s="115" t="s">
        <v>4396</v>
      </c>
      <c r="E48" s="115">
        <v>15</v>
      </c>
      <c r="F48" s="115" t="s">
        <v>2842</v>
      </c>
      <c r="G48" s="115" t="s">
        <v>4393</v>
      </c>
      <c r="H48" s="115" t="s">
        <v>4394</v>
      </c>
      <c r="I48" s="115" t="s">
        <v>4367</v>
      </c>
      <c r="J48" s="115" t="s">
        <v>4368</v>
      </c>
      <c r="K48" s="115" t="s">
        <v>4369</v>
      </c>
      <c r="L48" s="115" t="s">
        <v>4370</v>
      </c>
      <c r="M48" s="115" t="s">
        <v>4397</v>
      </c>
      <c r="N48" s="115" t="s">
        <v>4273</v>
      </c>
      <c r="O48" s="115" t="s">
        <v>4398</v>
      </c>
      <c r="P48" s="115" t="s">
        <v>4275</v>
      </c>
      <c r="Q48" s="115" t="s">
        <v>4276</v>
      </c>
    </row>
    <row r="49" spans="1:17" ht="72" customHeight="1">
      <c r="A49" s="115" t="s">
        <v>1658</v>
      </c>
      <c r="B49" s="115" t="s">
        <v>542</v>
      </c>
      <c r="C49" s="115">
        <v>8</v>
      </c>
      <c r="D49" s="115" t="s">
        <v>4396</v>
      </c>
      <c r="E49" s="115">
        <v>16</v>
      </c>
      <c r="F49" s="115" t="s">
        <v>4277</v>
      </c>
      <c r="G49" s="115" t="s">
        <v>4393</v>
      </c>
      <c r="H49" s="115" t="s">
        <v>4394</v>
      </c>
      <c r="I49" s="115" t="s">
        <v>4367</v>
      </c>
      <c r="J49" s="115" t="s">
        <v>4368</v>
      </c>
      <c r="K49" s="115" t="s">
        <v>4369</v>
      </c>
      <c r="L49" s="115" t="s">
        <v>4370</v>
      </c>
      <c r="M49" s="115" t="s">
        <v>4388</v>
      </c>
      <c r="N49" s="115" t="s">
        <v>4294</v>
      </c>
      <c r="O49" s="115" t="s">
        <v>4389</v>
      </c>
      <c r="P49" s="115" t="s">
        <v>4390</v>
      </c>
      <c r="Q49" s="115" t="s">
        <v>4391</v>
      </c>
    </row>
    <row r="50" spans="1:17" ht="72" customHeight="1">
      <c r="A50" s="115" t="s">
        <v>1658</v>
      </c>
      <c r="B50" s="115" t="s">
        <v>1171</v>
      </c>
      <c r="C50" s="115">
        <v>1</v>
      </c>
      <c r="D50" s="115" t="s">
        <v>4399</v>
      </c>
      <c r="E50" s="115">
        <v>1</v>
      </c>
      <c r="F50" s="115" t="s">
        <v>2842</v>
      </c>
      <c r="G50" s="115" t="s">
        <v>4400</v>
      </c>
      <c r="H50" s="115" t="s">
        <v>4366</v>
      </c>
      <c r="I50" s="115" t="s">
        <v>4401</v>
      </c>
      <c r="J50" s="115" t="s">
        <v>4402</v>
      </c>
      <c r="K50" s="115" t="s">
        <v>4403</v>
      </c>
      <c r="L50" s="115" t="s">
        <v>4404</v>
      </c>
      <c r="M50" s="115" t="s">
        <v>4371</v>
      </c>
      <c r="N50" s="115" t="s">
        <v>4273</v>
      </c>
      <c r="O50" s="115" t="s">
        <v>4372</v>
      </c>
      <c r="P50" s="115" t="s">
        <v>4275</v>
      </c>
      <c r="Q50" s="115" t="s">
        <v>4276</v>
      </c>
    </row>
    <row r="51" spans="1:17" ht="72" customHeight="1">
      <c r="A51" s="115" t="s">
        <v>1658</v>
      </c>
      <c r="B51" s="115" t="s">
        <v>1171</v>
      </c>
      <c r="C51" s="115">
        <v>1</v>
      </c>
      <c r="D51" s="115" t="s">
        <v>4399</v>
      </c>
      <c r="E51" s="115">
        <v>2</v>
      </c>
      <c r="F51" s="115" t="s">
        <v>4277</v>
      </c>
      <c r="G51" s="115" t="s">
        <v>4400</v>
      </c>
      <c r="H51" s="115" t="s">
        <v>4366</v>
      </c>
      <c r="I51" s="115" t="s">
        <v>4401</v>
      </c>
      <c r="J51" s="115" t="s">
        <v>4402</v>
      </c>
      <c r="K51" s="115" t="s">
        <v>4403</v>
      </c>
      <c r="L51" s="115" t="s">
        <v>4404</v>
      </c>
      <c r="M51" s="115" t="s">
        <v>4373</v>
      </c>
      <c r="N51" s="115" t="s">
        <v>4279</v>
      </c>
      <c r="O51" s="115" t="s">
        <v>4374</v>
      </c>
      <c r="P51" s="115" t="s">
        <v>4375</v>
      </c>
      <c r="Q51" s="115" t="s">
        <v>4376</v>
      </c>
    </row>
    <row r="52" spans="1:17" ht="72" customHeight="1">
      <c r="A52" s="115" t="s">
        <v>1658</v>
      </c>
      <c r="B52" s="115" t="s">
        <v>1171</v>
      </c>
      <c r="C52" s="115">
        <v>2</v>
      </c>
      <c r="D52" s="115" t="s">
        <v>4283</v>
      </c>
      <c r="E52" s="115">
        <v>3</v>
      </c>
      <c r="F52" s="115" t="s">
        <v>2842</v>
      </c>
      <c r="G52" s="115" t="s">
        <v>4400</v>
      </c>
      <c r="H52" s="115" t="s">
        <v>4366</v>
      </c>
      <c r="I52" s="115" t="s">
        <v>4401</v>
      </c>
      <c r="J52" s="115" t="s">
        <v>4402</v>
      </c>
      <c r="K52" s="115" t="s">
        <v>4403</v>
      </c>
      <c r="L52" s="115" t="s">
        <v>4404</v>
      </c>
      <c r="M52" s="116" t="s">
        <v>4377</v>
      </c>
      <c r="N52" s="115" t="s">
        <v>4273</v>
      </c>
      <c r="O52" s="115" t="s">
        <v>4378</v>
      </c>
      <c r="P52" s="115" t="s">
        <v>4275</v>
      </c>
      <c r="Q52" s="115" t="s">
        <v>4276</v>
      </c>
    </row>
    <row r="53" spans="1:17" ht="72" customHeight="1">
      <c r="A53" s="115" t="s">
        <v>1658</v>
      </c>
      <c r="B53" s="115" t="s">
        <v>1171</v>
      </c>
      <c r="C53" s="115">
        <v>2</v>
      </c>
      <c r="D53" s="115" t="s">
        <v>4283</v>
      </c>
      <c r="E53" s="115">
        <v>4</v>
      </c>
      <c r="F53" s="115" t="s">
        <v>4277</v>
      </c>
      <c r="G53" s="115" t="s">
        <v>4400</v>
      </c>
      <c r="H53" s="115" t="s">
        <v>4366</v>
      </c>
      <c r="I53" s="115" t="s">
        <v>4401</v>
      </c>
      <c r="J53" s="115" t="s">
        <v>4402</v>
      </c>
      <c r="K53" s="115" t="s">
        <v>4403</v>
      </c>
      <c r="L53" s="115" t="s">
        <v>4404</v>
      </c>
      <c r="M53" s="116" t="s">
        <v>4405</v>
      </c>
      <c r="N53" s="115" t="s">
        <v>4279</v>
      </c>
      <c r="O53" s="115" t="s">
        <v>4380</v>
      </c>
      <c r="P53" s="115" t="s">
        <v>4301</v>
      </c>
      <c r="Q53" s="115" t="s">
        <v>4302</v>
      </c>
    </row>
    <row r="54" spans="1:17" ht="72" customHeight="1">
      <c r="A54" s="115" t="s">
        <v>1658</v>
      </c>
      <c r="B54" s="115" t="s">
        <v>1171</v>
      </c>
      <c r="C54" s="115">
        <v>3</v>
      </c>
      <c r="D54" s="115" t="s">
        <v>4406</v>
      </c>
      <c r="E54" s="115">
        <v>5</v>
      </c>
      <c r="F54" s="115" t="s">
        <v>2842</v>
      </c>
      <c r="G54" s="115" t="s">
        <v>4400</v>
      </c>
      <c r="H54" s="115" t="s">
        <v>4366</v>
      </c>
      <c r="I54" s="115" t="s">
        <v>4401</v>
      </c>
      <c r="J54" s="115" t="s">
        <v>4402</v>
      </c>
      <c r="K54" s="115" t="s">
        <v>4403</v>
      </c>
      <c r="L54" s="115" t="s">
        <v>4404</v>
      </c>
      <c r="M54" s="115" t="s">
        <v>4382</v>
      </c>
      <c r="N54" s="115" t="s">
        <v>4273</v>
      </c>
      <c r="O54" s="115" t="s">
        <v>4383</v>
      </c>
      <c r="P54" s="115" t="s">
        <v>4275</v>
      </c>
      <c r="Q54" s="115" t="s">
        <v>4276</v>
      </c>
    </row>
    <row r="55" spans="1:17" ht="72" customHeight="1">
      <c r="A55" s="115" t="s">
        <v>1658</v>
      </c>
      <c r="B55" s="115" t="s">
        <v>1171</v>
      </c>
      <c r="C55" s="115">
        <v>3</v>
      </c>
      <c r="D55" s="115" t="s">
        <v>4406</v>
      </c>
      <c r="E55" s="115">
        <v>6</v>
      </c>
      <c r="F55" s="115" t="s">
        <v>4277</v>
      </c>
      <c r="G55" s="115" t="s">
        <v>4400</v>
      </c>
      <c r="H55" s="115" t="s">
        <v>4366</v>
      </c>
      <c r="I55" s="115" t="s">
        <v>4401</v>
      </c>
      <c r="J55" s="115" t="s">
        <v>4402</v>
      </c>
      <c r="K55" s="115" t="s">
        <v>4403</v>
      </c>
      <c r="L55" s="115" t="s">
        <v>4404</v>
      </c>
      <c r="M55" s="116" t="s">
        <v>4384</v>
      </c>
      <c r="N55" s="115" t="s">
        <v>4279</v>
      </c>
      <c r="O55" s="115" t="s">
        <v>4385</v>
      </c>
      <c r="P55" s="115" t="s">
        <v>4301</v>
      </c>
      <c r="Q55" s="115" t="s">
        <v>4302</v>
      </c>
    </row>
    <row r="56" spans="1:17" ht="72" customHeight="1">
      <c r="A56" s="115" t="s">
        <v>1658</v>
      </c>
      <c r="B56" s="115" t="s">
        <v>1171</v>
      </c>
      <c r="C56" s="115">
        <v>4</v>
      </c>
      <c r="D56" s="115" t="s">
        <v>4407</v>
      </c>
      <c r="E56" s="115">
        <v>7</v>
      </c>
      <c r="F56" s="115" t="s">
        <v>2842</v>
      </c>
      <c r="G56" s="115" t="s">
        <v>4400</v>
      </c>
      <c r="H56" s="115" t="s">
        <v>4366</v>
      </c>
      <c r="I56" s="115" t="s">
        <v>4401</v>
      </c>
      <c r="J56" s="115" t="s">
        <v>4402</v>
      </c>
      <c r="K56" s="115" t="s">
        <v>4403</v>
      </c>
      <c r="L56" s="115" t="s">
        <v>4404</v>
      </c>
      <c r="M56" s="115" t="s">
        <v>4387</v>
      </c>
      <c r="N56" s="115" t="s">
        <v>4273</v>
      </c>
      <c r="O56" s="115" t="s">
        <v>4316</v>
      </c>
      <c r="P56" s="115" t="s">
        <v>4275</v>
      </c>
      <c r="Q56" s="115" t="s">
        <v>4276</v>
      </c>
    </row>
    <row r="57" spans="1:17" ht="72" customHeight="1">
      <c r="A57" s="115" t="s">
        <v>1658</v>
      </c>
      <c r="B57" s="115" t="s">
        <v>1171</v>
      </c>
      <c r="C57" s="115">
        <v>4</v>
      </c>
      <c r="D57" s="115" t="s">
        <v>4407</v>
      </c>
      <c r="E57" s="115">
        <v>8</v>
      </c>
      <c r="F57" s="115" t="s">
        <v>4277</v>
      </c>
      <c r="G57" s="115" t="s">
        <v>4400</v>
      </c>
      <c r="H57" s="115" t="s">
        <v>4366</v>
      </c>
      <c r="I57" s="115" t="s">
        <v>4401</v>
      </c>
      <c r="J57" s="115" t="s">
        <v>4402</v>
      </c>
      <c r="K57" s="115" t="s">
        <v>4403</v>
      </c>
      <c r="L57" s="115" t="s">
        <v>4404</v>
      </c>
      <c r="M57" s="115" t="s">
        <v>4388</v>
      </c>
      <c r="N57" s="115" t="s">
        <v>4294</v>
      </c>
      <c r="O57" s="115" t="s">
        <v>4408</v>
      </c>
      <c r="P57" s="115" t="s">
        <v>4390</v>
      </c>
      <c r="Q57" s="115" t="s">
        <v>4391</v>
      </c>
    </row>
    <row r="58" spans="1:17" ht="72" customHeight="1">
      <c r="A58" s="115" t="s">
        <v>1658</v>
      </c>
      <c r="B58" s="115" t="s">
        <v>1171</v>
      </c>
      <c r="C58" s="115">
        <v>5</v>
      </c>
      <c r="D58" s="115" t="s">
        <v>4409</v>
      </c>
      <c r="E58" s="115">
        <v>9</v>
      </c>
      <c r="F58" s="115" t="s">
        <v>2842</v>
      </c>
      <c r="G58" s="115" t="s">
        <v>4410</v>
      </c>
      <c r="H58" s="115" t="s">
        <v>4394</v>
      </c>
      <c r="I58" s="115" t="s">
        <v>4401</v>
      </c>
      <c r="J58" s="115" t="s">
        <v>4402</v>
      </c>
      <c r="K58" s="115" t="s">
        <v>4403</v>
      </c>
      <c r="L58" s="115" t="s">
        <v>4404</v>
      </c>
      <c r="M58" s="115" t="s">
        <v>4344</v>
      </c>
      <c r="N58" s="115" t="s">
        <v>4273</v>
      </c>
      <c r="O58" s="115" t="s">
        <v>4345</v>
      </c>
      <c r="P58" s="115" t="s">
        <v>4275</v>
      </c>
      <c r="Q58" s="115" t="s">
        <v>4276</v>
      </c>
    </row>
    <row r="59" spans="1:17" ht="72" customHeight="1">
      <c r="A59" s="115" t="s">
        <v>1658</v>
      </c>
      <c r="B59" s="115" t="s">
        <v>1171</v>
      </c>
      <c r="C59" s="115">
        <v>5</v>
      </c>
      <c r="D59" s="115" t="s">
        <v>4409</v>
      </c>
      <c r="E59" s="115">
        <v>10</v>
      </c>
      <c r="F59" s="115" t="s">
        <v>4277</v>
      </c>
      <c r="G59" s="115" t="s">
        <v>4410</v>
      </c>
      <c r="H59" s="115" t="s">
        <v>4394</v>
      </c>
      <c r="I59" s="115" t="s">
        <v>4401</v>
      </c>
      <c r="J59" s="115" t="s">
        <v>4402</v>
      </c>
      <c r="K59" s="115" t="s">
        <v>4403</v>
      </c>
      <c r="L59" s="115" t="s">
        <v>4404</v>
      </c>
      <c r="M59" s="115" t="s">
        <v>4373</v>
      </c>
      <c r="N59" s="115" t="s">
        <v>4279</v>
      </c>
      <c r="O59" s="115" t="s">
        <v>4374</v>
      </c>
      <c r="P59" s="115" t="s">
        <v>4375</v>
      </c>
      <c r="Q59" s="115" t="s">
        <v>4376</v>
      </c>
    </row>
    <row r="60" spans="1:17" ht="72" customHeight="1">
      <c r="A60" s="115" t="s">
        <v>1658</v>
      </c>
      <c r="B60" s="115" t="s">
        <v>1171</v>
      </c>
      <c r="C60" s="115">
        <v>6</v>
      </c>
      <c r="D60" s="115" t="s">
        <v>4283</v>
      </c>
      <c r="E60" s="115">
        <v>11</v>
      </c>
      <c r="F60" s="115" t="s">
        <v>2842</v>
      </c>
      <c r="G60" s="115" t="s">
        <v>4410</v>
      </c>
      <c r="H60" s="115" t="s">
        <v>4394</v>
      </c>
      <c r="I60" s="115" t="s">
        <v>4401</v>
      </c>
      <c r="J60" s="115" t="s">
        <v>4402</v>
      </c>
      <c r="K60" s="115" t="s">
        <v>4403</v>
      </c>
      <c r="L60" s="115" t="s">
        <v>4404</v>
      </c>
      <c r="M60" s="116" t="s">
        <v>4377</v>
      </c>
      <c r="N60" s="115" t="s">
        <v>4273</v>
      </c>
      <c r="O60" s="115" t="s">
        <v>4378</v>
      </c>
      <c r="P60" s="115" t="s">
        <v>4275</v>
      </c>
      <c r="Q60" s="115" t="s">
        <v>4276</v>
      </c>
    </row>
    <row r="61" spans="1:17" ht="72" customHeight="1">
      <c r="A61" s="115" t="s">
        <v>1658</v>
      </c>
      <c r="B61" s="115" t="s">
        <v>1171</v>
      </c>
      <c r="C61" s="115">
        <v>6</v>
      </c>
      <c r="D61" s="115" t="s">
        <v>4283</v>
      </c>
      <c r="E61" s="115">
        <v>12</v>
      </c>
      <c r="F61" s="115" t="s">
        <v>4277</v>
      </c>
      <c r="G61" s="115" t="s">
        <v>4410</v>
      </c>
      <c r="H61" s="115" t="s">
        <v>4394</v>
      </c>
      <c r="I61" s="115" t="s">
        <v>4401</v>
      </c>
      <c r="J61" s="115" t="s">
        <v>4402</v>
      </c>
      <c r="K61" s="115" t="s">
        <v>4403</v>
      </c>
      <c r="L61" s="115" t="s">
        <v>4404</v>
      </c>
      <c r="M61" s="116" t="s">
        <v>4405</v>
      </c>
      <c r="N61" s="115" t="s">
        <v>4279</v>
      </c>
      <c r="O61" s="115" t="s">
        <v>4380</v>
      </c>
      <c r="P61" s="115" t="s">
        <v>4301</v>
      </c>
      <c r="Q61" s="115" t="s">
        <v>4302</v>
      </c>
    </row>
    <row r="62" spans="1:17" ht="72" customHeight="1">
      <c r="A62" s="115" t="s">
        <v>1658</v>
      </c>
      <c r="B62" s="115" t="s">
        <v>1171</v>
      </c>
      <c r="C62" s="115">
        <v>7</v>
      </c>
      <c r="D62" s="115" t="s">
        <v>4411</v>
      </c>
      <c r="E62" s="115">
        <v>13</v>
      </c>
      <c r="F62" s="115" t="s">
        <v>2842</v>
      </c>
      <c r="G62" s="115" t="s">
        <v>4410</v>
      </c>
      <c r="H62" s="115" t="s">
        <v>4394</v>
      </c>
      <c r="I62" s="115" t="s">
        <v>4401</v>
      </c>
      <c r="J62" s="115" t="s">
        <v>4402</v>
      </c>
      <c r="K62" s="115" t="s">
        <v>4403</v>
      </c>
      <c r="L62" s="115" t="s">
        <v>4404</v>
      </c>
      <c r="M62" s="115" t="s">
        <v>4382</v>
      </c>
      <c r="N62" s="115" t="s">
        <v>4273</v>
      </c>
      <c r="O62" s="115" t="s">
        <v>4383</v>
      </c>
      <c r="P62" s="115" t="s">
        <v>4275</v>
      </c>
      <c r="Q62" s="115" t="s">
        <v>4276</v>
      </c>
    </row>
    <row r="63" spans="1:17" ht="72" customHeight="1">
      <c r="A63" s="115" t="s">
        <v>1658</v>
      </c>
      <c r="B63" s="115" t="s">
        <v>1171</v>
      </c>
      <c r="C63" s="115">
        <v>7</v>
      </c>
      <c r="D63" s="115" t="s">
        <v>4411</v>
      </c>
      <c r="E63" s="115">
        <v>14</v>
      </c>
      <c r="F63" s="115" t="s">
        <v>4277</v>
      </c>
      <c r="G63" s="115" t="s">
        <v>4410</v>
      </c>
      <c r="H63" s="115" t="s">
        <v>4394</v>
      </c>
      <c r="I63" s="115" t="s">
        <v>4401</v>
      </c>
      <c r="J63" s="115" t="s">
        <v>4402</v>
      </c>
      <c r="K63" s="115" t="s">
        <v>4403</v>
      </c>
      <c r="L63" s="115" t="s">
        <v>4404</v>
      </c>
      <c r="M63" s="116" t="s">
        <v>4384</v>
      </c>
      <c r="N63" s="115" t="s">
        <v>4279</v>
      </c>
      <c r="O63" s="115" t="s">
        <v>4385</v>
      </c>
      <c r="P63" s="115" t="s">
        <v>4301</v>
      </c>
      <c r="Q63" s="115" t="s">
        <v>4302</v>
      </c>
    </row>
    <row r="64" spans="1:17" ht="72" customHeight="1">
      <c r="A64" s="115" t="s">
        <v>1658</v>
      </c>
      <c r="B64" s="115" t="s">
        <v>1171</v>
      </c>
      <c r="C64" s="115">
        <v>8</v>
      </c>
      <c r="D64" s="115" t="s">
        <v>4412</v>
      </c>
      <c r="E64" s="115">
        <v>15</v>
      </c>
      <c r="F64" s="115" t="s">
        <v>4277</v>
      </c>
      <c r="G64" s="115" t="s">
        <v>4410</v>
      </c>
      <c r="H64" s="115" t="s">
        <v>4394</v>
      </c>
      <c r="I64" s="115" t="s">
        <v>4401</v>
      </c>
      <c r="J64" s="115" t="s">
        <v>4402</v>
      </c>
      <c r="K64" s="115" t="s">
        <v>4403</v>
      </c>
      <c r="L64" s="115" t="s">
        <v>4404</v>
      </c>
      <c r="M64" s="115" t="s">
        <v>4388</v>
      </c>
      <c r="N64" s="115" t="s">
        <v>4294</v>
      </c>
      <c r="O64" s="115" t="s">
        <v>4408</v>
      </c>
      <c r="P64" s="115" t="s">
        <v>4390</v>
      </c>
      <c r="Q64" s="115" t="s">
        <v>4391</v>
      </c>
    </row>
    <row r="65" spans="1:17" ht="72" customHeight="1">
      <c r="A65" s="115" t="s">
        <v>1658</v>
      </c>
      <c r="B65" s="115" t="s">
        <v>1171</v>
      </c>
      <c r="C65" s="115">
        <v>8</v>
      </c>
      <c r="D65" s="115" t="s">
        <v>4412</v>
      </c>
      <c r="E65" s="115">
        <v>16</v>
      </c>
      <c r="F65" s="115" t="s">
        <v>2842</v>
      </c>
      <c r="G65" s="115" t="s">
        <v>4410</v>
      </c>
      <c r="H65" s="115" t="s">
        <v>4394</v>
      </c>
      <c r="I65" s="115" t="s">
        <v>4401</v>
      </c>
      <c r="J65" s="115" t="s">
        <v>4402</v>
      </c>
      <c r="K65" s="115" t="s">
        <v>4403</v>
      </c>
      <c r="L65" s="115" t="s">
        <v>4404</v>
      </c>
      <c r="M65" s="115" t="s">
        <v>4413</v>
      </c>
      <c r="N65" s="115" t="s">
        <v>4279</v>
      </c>
      <c r="O65" s="115" t="s">
        <v>4414</v>
      </c>
      <c r="P65" s="115" t="s">
        <v>4275</v>
      </c>
      <c r="Q65" s="115" t="s">
        <v>4276</v>
      </c>
    </row>
    <row r="66" spans="1:17" ht="72" customHeight="1">
      <c r="A66" s="115" t="s">
        <v>1069</v>
      </c>
      <c r="B66" s="115" t="s">
        <v>1070</v>
      </c>
      <c r="C66" s="115">
        <v>1</v>
      </c>
      <c r="D66" s="115" t="s">
        <v>4265</v>
      </c>
      <c r="E66" s="115">
        <v>1</v>
      </c>
      <c r="F66" s="115" t="s">
        <v>2842</v>
      </c>
      <c r="G66" s="115" t="s">
        <v>4266</v>
      </c>
      <c r="H66" s="115" t="s">
        <v>4348</v>
      </c>
      <c r="I66" s="115" t="s">
        <v>4415</v>
      </c>
      <c r="J66" s="115">
        <v>1984</v>
      </c>
      <c r="K66" s="115" t="s">
        <v>4416</v>
      </c>
      <c r="L66" s="115" t="s">
        <v>4417</v>
      </c>
      <c r="M66" s="115" t="s">
        <v>4418</v>
      </c>
      <c r="N66" s="115" t="s">
        <v>4273</v>
      </c>
      <c r="O66" s="115" t="s">
        <v>4419</v>
      </c>
      <c r="P66" s="115" t="s">
        <v>4275</v>
      </c>
      <c r="Q66" s="115" t="s">
        <v>4276</v>
      </c>
    </row>
    <row r="67" spans="1:17" ht="72" customHeight="1">
      <c r="A67" s="115" t="s">
        <v>1069</v>
      </c>
      <c r="B67" s="115" t="s">
        <v>1070</v>
      </c>
      <c r="C67" s="115">
        <v>1</v>
      </c>
      <c r="D67" s="115" t="s">
        <v>4265</v>
      </c>
      <c r="E67" s="115">
        <v>2</v>
      </c>
      <c r="F67" s="115" t="s">
        <v>4277</v>
      </c>
      <c r="G67" s="115" t="s">
        <v>4266</v>
      </c>
      <c r="H67" s="115" t="s">
        <v>4348</v>
      </c>
      <c r="I67" s="115" t="s">
        <v>4415</v>
      </c>
      <c r="J67" s="115">
        <v>1984</v>
      </c>
      <c r="K67" s="115" t="s">
        <v>4416</v>
      </c>
      <c r="L67" s="115" t="s">
        <v>4417</v>
      </c>
      <c r="M67" s="115" t="s">
        <v>4351</v>
      </c>
      <c r="N67" s="115" t="s">
        <v>4279</v>
      </c>
      <c r="O67" s="115" t="s">
        <v>4352</v>
      </c>
      <c r="P67" s="115" t="s">
        <v>4281</v>
      </c>
      <c r="Q67" s="115" t="s">
        <v>4282</v>
      </c>
    </row>
    <row r="68" spans="1:17" ht="72" customHeight="1">
      <c r="A68" s="115" t="s">
        <v>1069</v>
      </c>
      <c r="B68" s="115" t="s">
        <v>1070</v>
      </c>
      <c r="C68" s="115">
        <v>2</v>
      </c>
      <c r="D68" s="115" t="s">
        <v>4283</v>
      </c>
      <c r="E68" s="115">
        <v>3</v>
      </c>
      <c r="F68" s="115" t="s">
        <v>2842</v>
      </c>
      <c r="G68" s="115" t="s">
        <v>4266</v>
      </c>
      <c r="H68" s="115" t="s">
        <v>4348</v>
      </c>
      <c r="I68" s="115" t="s">
        <v>4415</v>
      </c>
      <c r="J68" s="115">
        <v>1984</v>
      </c>
      <c r="K68" s="115" t="s">
        <v>4416</v>
      </c>
      <c r="L68" s="115" t="s">
        <v>4417</v>
      </c>
      <c r="M68" s="115" t="s">
        <v>4353</v>
      </c>
      <c r="N68" s="115" t="s">
        <v>4273</v>
      </c>
      <c r="O68" s="115" t="s">
        <v>4354</v>
      </c>
      <c r="P68" s="115" t="s">
        <v>4275</v>
      </c>
      <c r="Q68" s="115" t="s">
        <v>4276</v>
      </c>
    </row>
    <row r="69" spans="1:17" ht="72" customHeight="1">
      <c r="A69" s="115" t="s">
        <v>1069</v>
      </c>
      <c r="B69" s="115" t="s">
        <v>1070</v>
      </c>
      <c r="C69" s="115">
        <v>2</v>
      </c>
      <c r="D69" s="115" t="s">
        <v>4283</v>
      </c>
      <c r="E69" s="115">
        <v>4</v>
      </c>
      <c r="F69" s="115" t="s">
        <v>4277</v>
      </c>
      <c r="G69" s="115" t="s">
        <v>4266</v>
      </c>
      <c r="H69" s="115" t="s">
        <v>4348</v>
      </c>
      <c r="I69" s="115" t="s">
        <v>4415</v>
      </c>
      <c r="J69" s="115">
        <v>1984</v>
      </c>
      <c r="K69" s="115" t="s">
        <v>4416</v>
      </c>
      <c r="L69" s="115" t="s">
        <v>4417</v>
      </c>
      <c r="M69" s="115" t="s">
        <v>4355</v>
      </c>
      <c r="N69" s="115" t="s">
        <v>4279</v>
      </c>
      <c r="O69" s="115" t="s">
        <v>4356</v>
      </c>
      <c r="P69" s="115" t="s">
        <v>4288</v>
      </c>
      <c r="Q69" s="115" t="s">
        <v>4289</v>
      </c>
    </row>
    <row r="70" spans="1:17" ht="72" customHeight="1">
      <c r="A70" s="115" t="s">
        <v>1069</v>
      </c>
      <c r="B70" s="115" t="s">
        <v>1070</v>
      </c>
      <c r="C70" s="115">
        <v>3</v>
      </c>
      <c r="D70" s="115" t="s">
        <v>4290</v>
      </c>
      <c r="E70" s="115">
        <v>5</v>
      </c>
      <c r="F70" s="115" t="s">
        <v>2842</v>
      </c>
      <c r="G70" s="116" t="s">
        <v>4266</v>
      </c>
      <c r="H70" s="115" t="s">
        <v>4348</v>
      </c>
      <c r="I70" s="115" t="s">
        <v>4415</v>
      </c>
      <c r="J70" s="115">
        <v>1984</v>
      </c>
      <c r="K70" s="115" t="s">
        <v>4416</v>
      </c>
      <c r="L70" s="115" t="s">
        <v>4417</v>
      </c>
      <c r="M70" s="116" t="s">
        <v>4358</v>
      </c>
      <c r="N70" s="115" t="s">
        <v>4273</v>
      </c>
      <c r="O70" s="115" t="s">
        <v>4359</v>
      </c>
      <c r="P70" s="115" t="s">
        <v>4275</v>
      </c>
      <c r="Q70" s="115" t="s">
        <v>4276</v>
      </c>
    </row>
    <row r="71" spans="1:17" ht="72" customHeight="1">
      <c r="A71" s="115" t="s">
        <v>1069</v>
      </c>
      <c r="B71" s="115" t="s">
        <v>1070</v>
      </c>
      <c r="C71" s="115">
        <v>3</v>
      </c>
      <c r="D71" s="115" t="s">
        <v>4290</v>
      </c>
      <c r="E71" s="115">
        <v>6</v>
      </c>
      <c r="F71" s="115" t="s">
        <v>4277</v>
      </c>
      <c r="G71" s="116" t="s">
        <v>4266</v>
      </c>
      <c r="H71" s="115" t="s">
        <v>4348</v>
      </c>
      <c r="I71" s="115" t="s">
        <v>4415</v>
      </c>
      <c r="J71" s="115">
        <v>1984</v>
      </c>
      <c r="K71" s="115" t="s">
        <v>4416</v>
      </c>
      <c r="L71" s="115" t="s">
        <v>4417</v>
      </c>
      <c r="M71" s="116" t="s">
        <v>4317</v>
      </c>
      <c r="N71" s="115" t="s">
        <v>4279</v>
      </c>
      <c r="O71" s="115" t="s">
        <v>4420</v>
      </c>
      <c r="P71" s="115" t="s">
        <v>4288</v>
      </c>
      <c r="Q71" s="115" t="s">
        <v>4289</v>
      </c>
    </row>
    <row r="72" spans="1:17" ht="72" customHeight="1">
      <c r="A72" s="115" t="s">
        <v>1069</v>
      </c>
      <c r="B72" s="115" t="s">
        <v>1070</v>
      </c>
      <c r="C72" s="115">
        <v>4</v>
      </c>
      <c r="D72" s="115" t="s">
        <v>4296</v>
      </c>
      <c r="E72" s="115">
        <v>7</v>
      </c>
      <c r="F72" s="115" t="s">
        <v>2842</v>
      </c>
      <c r="G72" s="115" t="s">
        <v>4266</v>
      </c>
      <c r="H72" s="115" t="s">
        <v>4348</v>
      </c>
      <c r="I72" s="115" t="s">
        <v>4415</v>
      </c>
      <c r="J72" s="115">
        <v>1984</v>
      </c>
      <c r="K72" s="115" t="s">
        <v>4416</v>
      </c>
      <c r="L72" s="115" t="s">
        <v>4417</v>
      </c>
      <c r="M72" s="115" t="s">
        <v>4362</v>
      </c>
      <c r="N72" s="115" t="s">
        <v>4273</v>
      </c>
      <c r="O72" s="115" t="s">
        <v>4421</v>
      </c>
      <c r="P72" s="115" t="s">
        <v>4275</v>
      </c>
      <c r="Q72" s="115" t="s">
        <v>4276</v>
      </c>
    </row>
    <row r="73" spans="1:17" ht="72" customHeight="1">
      <c r="A73" s="115" t="s">
        <v>1069</v>
      </c>
      <c r="B73" s="115" t="s">
        <v>1070</v>
      </c>
      <c r="C73" s="115">
        <v>4</v>
      </c>
      <c r="D73" s="115" t="s">
        <v>4296</v>
      </c>
      <c r="E73" s="115">
        <v>8</v>
      </c>
      <c r="F73" s="115" t="s">
        <v>4277</v>
      </c>
      <c r="G73" s="115" t="s">
        <v>4266</v>
      </c>
      <c r="H73" s="115" t="s">
        <v>4348</v>
      </c>
      <c r="I73" s="115" t="s">
        <v>4415</v>
      </c>
      <c r="J73" s="115">
        <v>1984</v>
      </c>
      <c r="K73" s="115" t="s">
        <v>4416</v>
      </c>
      <c r="L73" s="115" t="s">
        <v>4417</v>
      </c>
      <c r="M73" s="115" t="s">
        <v>4321</v>
      </c>
      <c r="N73" s="115" t="s">
        <v>4294</v>
      </c>
      <c r="O73" s="115" t="s">
        <v>4322</v>
      </c>
      <c r="P73" s="115" t="s">
        <v>4301</v>
      </c>
      <c r="Q73" s="115" t="s">
        <v>4302</v>
      </c>
    </row>
    <row r="74" spans="1:17" ht="72" customHeight="1">
      <c r="A74" s="115" t="s">
        <v>1069</v>
      </c>
      <c r="B74" s="115" t="s">
        <v>1070</v>
      </c>
      <c r="C74" s="115">
        <v>5</v>
      </c>
      <c r="D74" s="115" t="s">
        <v>4303</v>
      </c>
      <c r="E74" s="115">
        <v>9</v>
      </c>
      <c r="F74" s="115" t="s">
        <v>2842</v>
      </c>
      <c r="G74" s="115" t="s">
        <v>4304</v>
      </c>
      <c r="H74" s="115" t="s">
        <v>4422</v>
      </c>
      <c r="I74" s="115" t="s">
        <v>4415</v>
      </c>
      <c r="J74" s="115">
        <v>1984</v>
      </c>
      <c r="K74" s="115" t="s">
        <v>4416</v>
      </c>
      <c r="L74" s="115" t="s">
        <v>4417</v>
      </c>
      <c r="M74" s="115" t="s">
        <v>4423</v>
      </c>
      <c r="N74" s="115" t="s">
        <v>4273</v>
      </c>
      <c r="O74" s="115" t="s">
        <v>4424</v>
      </c>
      <c r="P74" s="115" t="s">
        <v>4275</v>
      </c>
      <c r="Q74" s="115" t="s">
        <v>4276</v>
      </c>
    </row>
    <row r="75" spans="1:17" ht="72" customHeight="1">
      <c r="A75" s="115" t="s">
        <v>1069</v>
      </c>
      <c r="B75" s="115" t="s">
        <v>1070</v>
      </c>
      <c r="C75" s="115">
        <v>5</v>
      </c>
      <c r="D75" s="115" t="s">
        <v>4303</v>
      </c>
      <c r="E75" s="115">
        <v>10</v>
      </c>
      <c r="F75" s="115" t="s">
        <v>4277</v>
      </c>
      <c r="G75" s="115" t="s">
        <v>4304</v>
      </c>
      <c r="H75" s="115" t="s">
        <v>4422</v>
      </c>
      <c r="I75" s="115" t="s">
        <v>4415</v>
      </c>
      <c r="J75" s="115">
        <v>1984</v>
      </c>
      <c r="K75" s="115" t="s">
        <v>4416</v>
      </c>
      <c r="L75" s="115" t="s">
        <v>4417</v>
      </c>
      <c r="M75" s="115" t="s">
        <v>4425</v>
      </c>
      <c r="N75" s="115" t="s">
        <v>4279</v>
      </c>
      <c r="O75" s="115" t="s">
        <v>4426</v>
      </c>
      <c r="P75" s="115" t="s">
        <v>4375</v>
      </c>
      <c r="Q75" s="115" t="s">
        <v>4376</v>
      </c>
    </row>
    <row r="76" spans="1:17" ht="72" customHeight="1">
      <c r="A76" s="115" t="s">
        <v>1069</v>
      </c>
      <c r="B76" s="115" t="s">
        <v>1070</v>
      </c>
      <c r="C76" s="115">
        <v>6</v>
      </c>
      <c r="D76" s="115" t="s">
        <v>4283</v>
      </c>
      <c r="E76" s="115">
        <v>11</v>
      </c>
      <c r="F76" s="115" t="s">
        <v>2842</v>
      </c>
      <c r="G76" s="116" t="s">
        <v>4304</v>
      </c>
      <c r="H76" s="115" t="s">
        <v>4422</v>
      </c>
      <c r="I76" s="115" t="s">
        <v>4415</v>
      </c>
      <c r="J76" s="115">
        <v>1984</v>
      </c>
      <c r="K76" s="115" t="s">
        <v>4416</v>
      </c>
      <c r="L76" s="115" t="s">
        <v>4417</v>
      </c>
      <c r="M76" s="116" t="s">
        <v>4427</v>
      </c>
      <c r="N76" s="115" t="s">
        <v>4273</v>
      </c>
      <c r="O76" s="115" t="s">
        <v>4428</v>
      </c>
      <c r="P76" s="115" t="s">
        <v>4275</v>
      </c>
      <c r="Q76" s="115" t="s">
        <v>4276</v>
      </c>
    </row>
    <row r="77" spans="1:17" ht="72" customHeight="1">
      <c r="A77" s="115" t="s">
        <v>1069</v>
      </c>
      <c r="B77" s="115" t="s">
        <v>1070</v>
      </c>
      <c r="C77" s="115">
        <v>6</v>
      </c>
      <c r="D77" s="115" t="s">
        <v>4283</v>
      </c>
      <c r="E77" s="115">
        <v>12</v>
      </c>
      <c r="F77" s="115" t="s">
        <v>4277</v>
      </c>
      <c r="G77" s="116" t="s">
        <v>4304</v>
      </c>
      <c r="H77" s="115" t="s">
        <v>4422</v>
      </c>
      <c r="I77" s="115" t="s">
        <v>4415</v>
      </c>
      <c r="J77" s="115">
        <v>1984</v>
      </c>
      <c r="K77" s="115" t="s">
        <v>4416</v>
      </c>
      <c r="L77" s="115" t="s">
        <v>4417</v>
      </c>
      <c r="M77" s="116" t="s">
        <v>4429</v>
      </c>
      <c r="N77" s="115" t="s">
        <v>4279</v>
      </c>
      <c r="O77" s="115" t="s">
        <v>4430</v>
      </c>
      <c r="P77" s="115" t="s">
        <v>4301</v>
      </c>
      <c r="Q77" s="115" t="s">
        <v>4302</v>
      </c>
    </row>
    <row r="78" spans="1:17" ht="72" customHeight="1">
      <c r="A78" s="115" t="s">
        <v>1069</v>
      </c>
      <c r="B78" s="115" t="s">
        <v>1070</v>
      </c>
      <c r="C78" s="115">
        <v>7</v>
      </c>
      <c r="D78" s="115" t="s">
        <v>4314</v>
      </c>
      <c r="E78" s="115">
        <v>13</v>
      </c>
      <c r="F78" s="115" t="s">
        <v>2842</v>
      </c>
      <c r="G78" s="115" t="s">
        <v>4304</v>
      </c>
      <c r="H78" s="115" t="s">
        <v>4422</v>
      </c>
      <c r="I78" s="115" t="s">
        <v>4415</v>
      </c>
      <c r="J78" s="115">
        <v>1984</v>
      </c>
      <c r="K78" s="115" t="s">
        <v>4416</v>
      </c>
      <c r="L78" s="115" t="s">
        <v>4417</v>
      </c>
      <c r="M78" s="116" t="s">
        <v>4427</v>
      </c>
      <c r="N78" s="115" t="s">
        <v>4273</v>
      </c>
      <c r="O78" s="115" t="s">
        <v>4428</v>
      </c>
      <c r="P78" s="115" t="s">
        <v>4275</v>
      </c>
      <c r="Q78" s="115" t="s">
        <v>4276</v>
      </c>
    </row>
    <row r="79" spans="1:17" ht="72" customHeight="1">
      <c r="A79" s="115" t="s">
        <v>1069</v>
      </c>
      <c r="B79" s="115" t="s">
        <v>1070</v>
      </c>
      <c r="C79" s="115">
        <v>7</v>
      </c>
      <c r="D79" s="115" t="s">
        <v>4314</v>
      </c>
      <c r="E79" s="115">
        <v>14</v>
      </c>
      <c r="F79" s="115" t="s">
        <v>4277</v>
      </c>
      <c r="G79" s="115" t="s">
        <v>4304</v>
      </c>
      <c r="H79" s="115" t="s">
        <v>4422</v>
      </c>
      <c r="I79" s="115" t="s">
        <v>4415</v>
      </c>
      <c r="J79" s="115">
        <v>1984</v>
      </c>
      <c r="K79" s="115" t="s">
        <v>4416</v>
      </c>
      <c r="L79" s="115" t="s">
        <v>4417</v>
      </c>
      <c r="M79" s="116" t="s">
        <v>4317</v>
      </c>
      <c r="N79" s="115" t="s">
        <v>4294</v>
      </c>
      <c r="O79" s="115" t="s">
        <v>4431</v>
      </c>
      <c r="P79" s="115" t="s">
        <v>4301</v>
      </c>
      <c r="Q79" s="115" t="s">
        <v>4302</v>
      </c>
    </row>
    <row r="80" spans="1:17" ht="72" customHeight="1">
      <c r="A80" s="115" t="s">
        <v>1069</v>
      </c>
      <c r="B80" s="115" t="s">
        <v>1070</v>
      </c>
      <c r="C80" s="115">
        <v>8</v>
      </c>
      <c r="D80" s="115" t="s">
        <v>4319</v>
      </c>
      <c r="E80" s="115">
        <v>15</v>
      </c>
      <c r="F80" s="115" t="s">
        <v>2842</v>
      </c>
      <c r="G80" s="115" t="s">
        <v>4304</v>
      </c>
      <c r="H80" s="115" t="s">
        <v>4422</v>
      </c>
      <c r="I80" s="115" t="s">
        <v>4415</v>
      </c>
      <c r="J80" s="115">
        <v>1984</v>
      </c>
      <c r="K80" s="115" t="s">
        <v>4416</v>
      </c>
      <c r="L80" s="115" t="s">
        <v>4417</v>
      </c>
      <c r="M80" s="116" t="s">
        <v>4427</v>
      </c>
      <c r="N80" s="115" t="s">
        <v>4273</v>
      </c>
      <c r="O80" s="115" t="s">
        <v>4428</v>
      </c>
      <c r="P80" s="115" t="s">
        <v>4275</v>
      </c>
      <c r="Q80" s="115" t="s">
        <v>4276</v>
      </c>
    </row>
    <row r="81" spans="1:17" ht="72" customHeight="1">
      <c r="A81" s="115" t="s">
        <v>1069</v>
      </c>
      <c r="B81" s="115" t="s">
        <v>1070</v>
      </c>
      <c r="C81" s="115">
        <v>8</v>
      </c>
      <c r="D81" s="115" t="s">
        <v>4319</v>
      </c>
      <c r="E81" s="115">
        <v>16</v>
      </c>
      <c r="F81" s="115" t="s">
        <v>4277</v>
      </c>
      <c r="G81" s="115" t="s">
        <v>4304</v>
      </c>
      <c r="H81" s="115" t="s">
        <v>4422</v>
      </c>
      <c r="I81" s="115" t="s">
        <v>4415</v>
      </c>
      <c r="J81" s="115">
        <v>1984</v>
      </c>
      <c r="K81" s="115" t="s">
        <v>4416</v>
      </c>
      <c r="L81" s="115" t="s">
        <v>4417</v>
      </c>
      <c r="M81" s="115" t="s">
        <v>4321</v>
      </c>
      <c r="N81" s="115" t="s">
        <v>4294</v>
      </c>
      <c r="O81" s="115" t="s">
        <v>4322</v>
      </c>
      <c r="P81" s="115" t="s">
        <v>4390</v>
      </c>
      <c r="Q81" s="115" t="s">
        <v>4391</v>
      </c>
    </row>
    <row r="82" spans="1:17" ht="72" customHeight="1">
      <c r="A82" s="115" t="s">
        <v>1069</v>
      </c>
      <c r="B82" s="115" t="s">
        <v>1106</v>
      </c>
      <c r="C82" s="115">
        <v>1</v>
      </c>
      <c r="D82" s="115" t="s">
        <v>4323</v>
      </c>
      <c r="E82" s="115">
        <v>1</v>
      </c>
      <c r="F82" s="115" t="s">
        <v>2842</v>
      </c>
      <c r="G82" s="115" t="s">
        <v>4324</v>
      </c>
      <c r="H82" s="115" t="s">
        <v>4305</v>
      </c>
      <c r="I82" s="115" t="s">
        <v>4432</v>
      </c>
      <c r="J82" s="115" t="s">
        <v>4403</v>
      </c>
      <c r="K82" s="115" t="s">
        <v>4433</v>
      </c>
      <c r="L82" s="115" t="s">
        <v>4434</v>
      </c>
      <c r="M82" s="115" t="s">
        <v>4435</v>
      </c>
      <c r="N82" s="115" t="s">
        <v>4273</v>
      </c>
      <c r="O82" s="115" t="s">
        <v>4428</v>
      </c>
      <c r="P82" s="115" t="s">
        <v>4275</v>
      </c>
      <c r="Q82" s="115" t="s">
        <v>4276</v>
      </c>
    </row>
    <row r="83" spans="1:17" ht="72" customHeight="1">
      <c r="A83" s="115" t="s">
        <v>1069</v>
      </c>
      <c r="B83" s="115" t="s">
        <v>1106</v>
      </c>
      <c r="C83" s="115">
        <v>1</v>
      </c>
      <c r="D83" s="115" t="s">
        <v>4323</v>
      </c>
      <c r="E83" s="115">
        <v>2</v>
      </c>
      <c r="F83" s="115" t="s">
        <v>4277</v>
      </c>
      <c r="G83" s="115" t="s">
        <v>4324</v>
      </c>
      <c r="H83" s="115" t="s">
        <v>4305</v>
      </c>
      <c r="I83" s="115" t="s">
        <v>4432</v>
      </c>
      <c r="J83" s="115" t="s">
        <v>4403</v>
      </c>
      <c r="K83" s="115" t="s">
        <v>4433</v>
      </c>
      <c r="L83" s="115" t="s">
        <v>4434</v>
      </c>
      <c r="M83" s="115" t="s">
        <v>4436</v>
      </c>
      <c r="N83" s="115" t="s">
        <v>4279</v>
      </c>
      <c r="O83" s="115" t="s">
        <v>4437</v>
      </c>
      <c r="P83" s="115" t="s">
        <v>4375</v>
      </c>
      <c r="Q83" s="115" t="s">
        <v>4376</v>
      </c>
    </row>
    <row r="84" spans="1:17" ht="72" customHeight="1">
      <c r="A84" s="115" t="s">
        <v>1069</v>
      </c>
      <c r="B84" s="115" t="s">
        <v>1106</v>
      </c>
      <c r="C84" s="115">
        <v>2</v>
      </c>
      <c r="D84" s="115" t="s">
        <v>4283</v>
      </c>
      <c r="E84" s="115">
        <v>3</v>
      </c>
      <c r="F84" s="115" t="s">
        <v>2842</v>
      </c>
      <c r="G84" s="115" t="s">
        <v>4324</v>
      </c>
      <c r="H84" s="115" t="s">
        <v>4305</v>
      </c>
      <c r="I84" s="115" t="s">
        <v>4432</v>
      </c>
      <c r="J84" s="115" t="s">
        <v>4403</v>
      </c>
      <c r="K84" s="115" t="s">
        <v>4433</v>
      </c>
      <c r="L84" s="115" t="s">
        <v>4434</v>
      </c>
      <c r="M84" s="115" t="s">
        <v>4349</v>
      </c>
      <c r="N84" s="115" t="s">
        <v>4273</v>
      </c>
      <c r="O84" s="115" t="s">
        <v>4438</v>
      </c>
      <c r="P84" s="115" t="s">
        <v>4275</v>
      </c>
      <c r="Q84" s="115" t="s">
        <v>4276</v>
      </c>
    </row>
    <row r="85" spans="1:17" ht="72" customHeight="1">
      <c r="A85" s="115" t="s">
        <v>1069</v>
      </c>
      <c r="B85" s="115" t="s">
        <v>1106</v>
      </c>
      <c r="C85" s="115">
        <v>2</v>
      </c>
      <c r="D85" s="115" t="s">
        <v>4283</v>
      </c>
      <c r="E85" s="115">
        <v>4</v>
      </c>
      <c r="F85" s="115" t="s">
        <v>4277</v>
      </c>
      <c r="G85" s="115" t="s">
        <v>4324</v>
      </c>
      <c r="H85" s="115" t="s">
        <v>4305</v>
      </c>
      <c r="I85" s="115" t="s">
        <v>4432</v>
      </c>
      <c r="J85" s="115" t="s">
        <v>4403</v>
      </c>
      <c r="K85" s="115" t="s">
        <v>4433</v>
      </c>
      <c r="L85" s="115" t="s">
        <v>4434</v>
      </c>
      <c r="M85" s="115" t="s">
        <v>4439</v>
      </c>
      <c r="N85" s="115" t="s">
        <v>4279</v>
      </c>
      <c r="O85" s="115" t="s">
        <v>4440</v>
      </c>
      <c r="P85" s="115" t="s">
        <v>4301</v>
      </c>
      <c r="Q85" s="115" t="s">
        <v>4302</v>
      </c>
    </row>
    <row r="86" spans="1:17" ht="72" customHeight="1">
      <c r="A86" s="115" t="s">
        <v>1069</v>
      </c>
      <c r="B86" s="115" t="s">
        <v>1106</v>
      </c>
      <c r="C86" s="115">
        <v>3</v>
      </c>
      <c r="D86" s="115" t="s">
        <v>4338</v>
      </c>
      <c r="E86" s="115">
        <v>5</v>
      </c>
      <c r="F86" s="115" t="s">
        <v>2842</v>
      </c>
      <c r="G86" s="115" t="s">
        <v>4324</v>
      </c>
      <c r="H86" s="115" t="s">
        <v>4305</v>
      </c>
      <c r="I86" s="115" t="s">
        <v>4432</v>
      </c>
      <c r="J86" s="115" t="s">
        <v>4403</v>
      </c>
      <c r="K86" s="115" t="s">
        <v>4433</v>
      </c>
      <c r="L86" s="115" t="s">
        <v>4434</v>
      </c>
      <c r="M86" s="115" t="s">
        <v>4441</v>
      </c>
      <c r="N86" s="115" t="s">
        <v>4273</v>
      </c>
      <c r="O86" s="115" t="s">
        <v>4442</v>
      </c>
      <c r="P86" s="115" t="s">
        <v>4275</v>
      </c>
      <c r="Q86" s="115" t="s">
        <v>4276</v>
      </c>
    </row>
    <row r="87" spans="1:17" ht="72" customHeight="1">
      <c r="A87" s="115" t="s">
        <v>1069</v>
      </c>
      <c r="B87" s="115" t="s">
        <v>1106</v>
      </c>
      <c r="C87" s="115">
        <v>3</v>
      </c>
      <c r="D87" s="115" t="s">
        <v>4338</v>
      </c>
      <c r="E87" s="115">
        <v>6</v>
      </c>
      <c r="F87" s="115" t="s">
        <v>4277</v>
      </c>
      <c r="G87" s="115" t="s">
        <v>4324</v>
      </c>
      <c r="H87" s="115" t="s">
        <v>4305</v>
      </c>
      <c r="I87" s="115" t="s">
        <v>4432</v>
      </c>
      <c r="J87" s="115" t="s">
        <v>4403</v>
      </c>
      <c r="K87" s="115" t="s">
        <v>4433</v>
      </c>
      <c r="L87" s="115" t="s">
        <v>4434</v>
      </c>
      <c r="M87" s="116" t="s">
        <v>4443</v>
      </c>
      <c r="N87" s="115" t="s">
        <v>4294</v>
      </c>
      <c r="O87" s="115" t="s">
        <v>4444</v>
      </c>
      <c r="P87" s="115" t="s">
        <v>4301</v>
      </c>
      <c r="Q87" s="115" t="s">
        <v>4302</v>
      </c>
    </row>
    <row r="88" spans="1:17" ht="72" customHeight="1">
      <c r="A88" s="115" t="s">
        <v>1069</v>
      </c>
      <c r="B88" s="115" t="s">
        <v>1106</v>
      </c>
      <c r="C88" s="115">
        <v>4</v>
      </c>
      <c r="D88" s="115" t="s">
        <v>4343</v>
      </c>
      <c r="E88" s="115">
        <v>7</v>
      </c>
      <c r="F88" s="115" t="s">
        <v>2842</v>
      </c>
      <c r="G88" s="115" t="s">
        <v>4324</v>
      </c>
      <c r="H88" s="115" t="s">
        <v>4305</v>
      </c>
      <c r="I88" s="115" t="s">
        <v>4432</v>
      </c>
      <c r="J88" s="115" t="s">
        <v>4403</v>
      </c>
      <c r="K88" s="115" t="s">
        <v>4433</v>
      </c>
      <c r="L88" s="115" t="s">
        <v>4434</v>
      </c>
      <c r="M88" s="115" t="s">
        <v>4349</v>
      </c>
      <c r="N88" s="115" t="s">
        <v>4273</v>
      </c>
      <c r="O88" s="115" t="s">
        <v>4445</v>
      </c>
      <c r="P88" s="115" t="s">
        <v>4275</v>
      </c>
      <c r="Q88" s="115" t="s">
        <v>4276</v>
      </c>
    </row>
    <row r="89" spans="1:17" ht="72" customHeight="1">
      <c r="A89" s="115" t="s">
        <v>1069</v>
      </c>
      <c r="B89" s="115" t="s">
        <v>1106</v>
      </c>
      <c r="C89" s="115">
        <v>4</v>
      </c>
      <c r="D89" s="115" t="s">
        <v>4343</v>
      </c>
      <c r="E89" s="115">
        <v>8</v>
      </c>
      <c r="F89" s="115" t="s">
        <v>4277</v>
      </c>
      <c r="G89" s="115" t="s">
        <v>4324</v>
      </c>
      <c r="H89" s="115" t="s">
        <v>4305</v>
      </c>
      <c r="I89" s="115" t="s">
        <v>4432</v>
      </c>
      <c r="J89" s="115" t="s">
        <v>4403</v>
      </c>
      <c r="K89" s="115" t="s">
        <v>4433</v>
      </c>
      <c r="L89" s="115" t="s">
        <v>4434</v>
      </c>
      <c r="M89" s="115" t="s">
        <v>4446</v>
      </c>
      <c r="N89" s="115" t="s">
        <v>4294</v>
      </c>
      <c r="O89" s="115" t="s">
        <v>4322</v>
      </c>
      <c r="P89" s="115" t="s">
        <v>4390</v>
      </c>
      <c r="Q89" s="115" t="s">
        <v>4391</v>
      </c>
    </row>
    <row r="90" spans="1:17" ht="72" customHeight="1">
      <c r="A90" s="115" t="s">
        <v>1069</v>
      </c>
      <c r="B90" s="115" t="s">
        <v>1106</v>
      </c>
      <c r="C90" s="115">
        <v>5</v>
      </c>
      <c r="D90" s="115" t="s">
        <v>4346</v>
      </c>
      <c r="E90" s="115">
        <v>9</v>
      </c>
      <c r="F90" s="115" t="s">
        <v>2842</v>
      </c>
      <c r="G90" s="115" t="s">
        <v>4347</v>
      </c>
      <c r="H90" s="115" t="s">
        <v>4325</v>
      </c>
      <c r="I90" s="115" t="s">
        <v>4432</v>
      </c>
      <c r="J90" s="115" t="s">
        <v>4403</v>
      </c>
      <c r="K90" s="115" t="s">
        <v>4433</v>
      </c>
      <c r="L90" s="115" t="s">
        <v>4434</v>
      </c>
      <c r="M90" s="115" t="s">
        <v>4447</v>
      </c>
      <c r="N90" s="115" t="s">
        <v>4273</v>
      </c>
      <c r="O90" s="115" t="s">
        <v>4448</v>
      </c>
      <c r="P90" s="115" t="s">
        <v>4275</v>
      </c>
      <c r="Q90" s="115" t="s">
        <v>4276</v>
      </c>
    </row>
    <row r="91" spans="1:17" ht="72" customHeight="1">
      <c r="A91" s="115" t="s">
        <v>1069</v>
      </c>
      <c r="B91" s="115" t="s">
        <v>1106</v>
      </c>
      <c r="C91" s="115">
        <v>5</v>
      </c>
      <c r="D91" s="115" t="s">
        <v>4346</v>
      </c>
      <c r="E91" s="115">
        <v>10</v>
      </c>
      <c r="F91" s="115" t="s">
        <v>4277</v>
      </c>
      <c r="G91" s="115" t="s">
        <v>4347</v>
      </c>
      <c r="H91" s="115" t="s">
        <v>4325</v>
      </c>
      <c r="I91" s="115" t="s">
        <v>4432</v>
      </c>
      <c r="J91" s="115" t="s">
        <v>4403</v>
      </c>
      <c r="K91" s="115" t="s">
        <v>4433</v>
      </c>
      <c r="L91" s="115" t="s">
        <v>4434</v>
      </c>
      <c r="M91" s="115" t="s">
        <v>4332</v>
      </c>
      <c r="N91" s="115" t="s">
        <v>4279</v>
      </c>
      <c r="O91" s="115" t="s">
        <v>4333</v>
      </c>
      <c r="P91" s="115" t="s">
        <v>4375</v>
      </c>
      <c r="Q91" s="115" t="s">
        <v>4376</v>
      </c>
    </row>
    <row r="92" spans="1:17" ht="72" customHeight="1">
      <c r="A92" s="115" t="s">
        <v>1069</v>
      </c>
      <c r="B92" s="115" t="s">
        <v>1106</v>
      </c>
      <c r="C92" s="115">
        <v>6</v>
      </c>
      <c r="D92" s="115" t="s">
        <v>4283</v>
      </c>
      <c r="E92" s="115">
        <v>11</v>
      </c>
      <c r="F92" s="115" t="s">
        <v>2842</v>
      </c>
      <c r="G92" s="115" t="s">
        <v>4347</v>
      </c>
      <c r="H92" s="115" t="s">
        <v>4325</v>
      </c>
      <c r="I92" s="115" t="s">
        <v>4432</v>
      </c>
      <c r="J92" s="115" t="s">
        <v>4403</v>
      </c>
      <c r="K92" s="115" t="s">
        <v>4433</v>
      </c>
      <c r="L92" s="115" t="s">
        <v>4434</v>
      </c>
      <c r="M92" s="115" t="s">
        <v>4334</v>
      </c>
      <c r="N92" s="115" t="s">
        <v>4273</v>
      </c>
      <c r="O92" s="115" t="s">
        <v>4335</v>
      </c>
      <c r="P92" s="115" t="s">
        <v>4275</v>
      </c>
      <c r="Q92" s="115" t="s">
        <v>4276</v>
      </c>
    </row>
    <row r="93" spans="1:17" ht="72" customHeight="1">
      <c r="A93" s="115" t="s">
        <v>1069</v>
      </c>
      <c r="B93" s="115" t="s">
        <v>1106</v>
      </c>
      <c r="C93" s="115">
        <v>6</v>
      </c>
      <c r="D93" s="115" t="s">
        <v>4283</v>
      </c>
      <c r="E93" s="115">
        <v>12</v>
      </c>
      <c r="F93" s="115" t="s">
        <v>4277</v>
      </c>
      <c r="G93" s="115" t="s">
        <v>4347</v>
      </c>
      <c r="H93" s="115" t="s">
        <v>4325</v>
      </c>
      <c r="I93" s="115" t="s">
        <v>4432</v>
      </c>
      <c r="J93" s="115" t="s">
        <v>4403</v>
      </c>
      <c r="K93" s="115" t="s">
        <v>4433</v>
      </c>
      <c r="L93" s="115" t="s">
        <v>4434</v>
      </c>
      <c r="M93" s="115" t="s">
        <v>4336</v>
      </c>
      <c r="N93" s="115" t="s">
        <v>4279</v>
      </c>
      <c r="O93" s="115" t="s">
        <v>4337</v>
      </c>
      <c r="P93" s="115" t="s">
        <v>4301</v>
      </c>
      <c r="Q93" s="115" t="s">
        <v>4302</v>
      </c>
    </row>
    <row r="94" spans="1:17" ht="72" customHeight="1">
      <c r="A94" s="115" t="s">
        <v>1069</v>
      </c>
      <c r="B94" s="115" t="s">
        <v>1106</v>
      </c>
      <c r="C94" s="115">
        <v>7</v>
      </c>
      <c r="D94" s="115" t="s">
        <v>4357</v>
      </c>
      <c r="E94" s="115">
        <v>13</v>
      </c>
      <c r="F94" s="115" t="s">
        <v>2842</v>
      </c>
      <c r="G94" s="115" t="s">
        <v>4347</v>
      </c>
      <c r="H94" s="115" t="s">
        <v>4325</v>
      </c>
      <c r="I94" s="115" t="s">
        <v>4432</v>
      </c>
      <c r="J94" s="115" t="s">
        <v>4403</v>
      </c>
      <c r="K94" s="115" t="s">
        <v>4433</v>
      </c>
      <c r="L94" s="115" t="s">
        <v>4434</v>
      </c>
      <c r="M94" s="115" t="s">
        <v>4449</v>
      </c>
      <c r="N94" s="115" t="s">
        <v>4273</v>
      </c>
      <c r="O94" s="115" t="s">
        <v>4428</v>
      </c>
      <c r="P94" s="115" t="s">
        <v>4275</v>
      </c>
      <c r="Q94" s="115" t="s">
        <v>4276</v>
      </c>
    </row>
    <row r="95" spans="1:17" ht="72" customHeight="1">
      <c r="A95" s="115" t="s">
        <v>1069</v>
      </c>
      <c r="B95" s="115" t="s">
        <v>1106</v>
      </c>
      <c r="C95" s="115">
        <v>7</v>
      </c>
      <c r="D95" s="115" t="s">
        <v>4357</v>
      </c>
      <c r="E95" s="115">
        <v>14</v>
      </c>
      <c r="F95" s="115" t="s">
        <v>4277</v>
      </c>
      <c r="G95" s="115" t="s">
        <v>4347</v>
      </c>
      <c r="H95" s="115" t="s">
        <v>4325</v>
      </c>
      <c r="I95" s="115" t="s">
        <v>4432</v>
      </c>
      <c r="J95" s="115" t="s">
        <v>4403</v>
      </c>
      <c r="K95" s="115" t="s">
        <v>4433</v>
      </c>
      <c r="L95" s="115" t="s">
        <v>4434</v>
      </c>
      <c r="M95" s="116" t="s">
        <v>4341</v>
      </c>
      <c r="N95" s="115" t="s">
        <v>4294</v>
      </c>
      <c r="O95" s="115" t="s">
        <v>4342</v>
      </c>
      <c r="P95" s="115" t="s">
        <v>4301</v>
      </c>
      <c r="Q95" s="115" t="s">
        <v>4302</v>
      </c>
    </row>
    <row r="96" spans="1:17" ht="72" customHeight="1">
      <c r="A96" s="115" t="s">
        <v>1069</v>
      </c>
      <c r="B96" s="115" t="s">
        <v>1106</v>
      </c>
      <c r="C96" s="115">
        <v>8</v>
      </c>
      <c r="D96" s="115" t="s">
        <v>4361</v>
      </c>
      <c r="E96" s="115">
        <v>15</v>
      </c>
      <c r="F96" s="115" t="s">
        <v>2842</v>
      </c>
      <c r="G96" s="115" t="s">
        <v>4347</v>
      </c>
      <c r="H96" s="115" t="s">
        <v>4325</v>
      </c>
      <c r="I96" s="115" t="s">
        <v>4432</v>
      </c>
      <c r="J96" s="115" t="s">
        <v>4403</v>
      </c>
      <c r="K96" s="115" t="s">
        <v>4433</v>
      </c>
      <c r="L96" s="115" t="s">
        <v>4434</v>
      </c>
      <c r="M96" s="115" t="s">
        <v>4344</v>
      </c>
      <c r="N96" s="115" t="s">
        <v>4273</v>
      </c>
      <c r="O96" s="115" t="s">
        <v>4345</v>
      </c>
      <c r="P96" s="115" t="s">
        <v>4275</v>
      </c>
      <c r="Q96" s="115" t="s">
        <v>4276</v>
      </c>
    </row>
    <row r="97" spans="1:17" ht="72" customHeight="1">
      <c r="A97" s="115" t="s">
        <v>1069</v>
      </c>
      <c r="B97" s="115" t="s">
        <v>1106</v>
      </c>
      <c r="C97" s="115">
        <v>8</v>
      </c>
      <c r="D97" s="115" t="s">
        <v>4361</v>
      </c>
      <c r="E97" s="115">
        <v>16</v>
      </c>
      <c r="F97" s="115" t="s">
        <v>4277</v>
      </c>
      <c r="G97" s="115" t="s">
        <v>4347</v>
      </c>
      <c r="H97" s="115" t="s">
        <v>4325</v>
      </c>
      <c r="I97" s="115" t="s">
        <v>4432</v>
      </c>
      <c r="J97" s="115" t="s">
        <v>4403</v>
      </c>
      <c r="K97" s="115" t="s">
        <v>4433</v>
      </c>
      <c r="L97" s="115" t="s">
        <v>4434</v>
      </c>
      <c r="M97" s="115" t="s">
        <v>4321</v>
      </c>
      <c r="N97" s="115" t="s">
        <v>4294</v>
      </c>
      <c r="O97" s="115" t="s">
        <v>4322</v>
      </c>
      <c r="P97" s="115" t="s">
        <v>4390</v>
      </c>
      <c r="Q97" s="115" t="s">
        <v>4391</v>
      </c>
    </row>
    <row r="98" spans="1:17" ht="72" customHeight="1">
      <c r="A98" s="115" t="s">
        <v>1069</v>
      </c>
      <c r="B98" s="115" t="s">
        <v>542</v>
      </c>
      <c r="C98" s="115">
        <v>1</v>
      </c>
      <c r="D98" s="115" t="s">
        <v>4364</v>
      </c>
      <c r="E98" s="115">
        <v>1</v>
      </c>
      <c r="F98" s="115" t="s">
        <v>2842</v>
      </c>
      <c r="G98" s="115" t="s">
        <v>4365</v>
      </c>
      <c r="H98" s="115" t="s">
        <v>4366</v>
      </c>
      <c r="I98" s="115" t="s">
        <v>4450</v>
      </c>
      <c r="J98" s="115" t="s">
        <v>4451</v>
      </c>
      <c r="K98" s="115" t="s">
        <v>4452</v>
      </c>
      <c r="L98" s="115" t="s">
        <v>4453</v>
      </c>
      <c r="M98" s="115" t="s">
        <v>4454</v>
      </c>
      <c r="N98" s="115" t="s">
        <v>4273</v>
      </c>
      <c r="O98" s="115" t="s">
        <v>4428</v>
      </c>
      <c r="P98" s="115" t="s">
        <v>4275</v>
      </c>
      <c r="Q98" s="115" t="s">
        <v>4276</v>
      </c>
    </row>
    <row r="99" spans="1:17" ht="72" customHeight="1">
      <c r="A99" s="115" t="s">
        <v>1069</v>
      </c>
      <c r="B99" s="115" t="s">
        <v>542</v>
      </c>
      <c r="C99" s="115">
        <v>1</v>
      </c>
      <c r="D99" s="115" t="s">
        <v>4364</v>
      </c>
      <c r="E99" s="115">
        <v>2</v>
      </c>
      <c r="F99" s="115" t="s">
        <v>4277</v>
      </c>
      <c r="G99" s="115" t="s">
        <v>4365</v>
      </c>
      <c r="H99" s="115" t="s">
        <v>4366</v>
      </c>
      <c r="I99" s="115" t="s">
        <v>4450</v>
      </c>
      <c r="J99" s="115" t="s">
        <v>4451</v>
      </c>
      <c r="K99" s="115" t="s">
        <v>4452</v>
      </c>
      <c r="L99" s="115" t="s">
        <v>4453</v>
      </c>
      <c r="M99" s="115" t="s">
        <v>4373</v>
      </c>
      <c r="N99" s="115" t="s">
        <v>4279</v>
      </c>
      <c r="O99" s="115" t="s">
        <v>4374</v>
      </c>
      <c r="P99" s="115" t="s">
        <v>4375</v>
      </c>
      <c r="Q99" s="115" t="s">
        <v>4376</v>
      </c>
    </row>
    <row r="100" spans="1:17" ht="72" customHeight="1">
      <c r="A100" s="115" t="s">
        <v>1069</v>
      </c>
      <c r="B100" s="115" t="s">
        <v>542</v>
      </c>
      <c r="C100" s="115">
        <v>2</v>
      </c>
      <c r="D100" s="115" t="s">
        <v>4283</v>
      </c>
      <c r="E100" s="115">
        <v>3</v>
      </c>
      <c r="F100" s="115" t="s">
        <v>2842</v>
      </c>
      <c r="G100" s="115" t="s">
        <v>4365</v>
      </c>
      <c r="H100" s="115" t="s">
        <v>4366</v>
      </c>
      <c r="I100" s="115" t="s">
        <v>4450</v>
      </c>
      <c r="J100" s="115" t="s">
        <v>4451</v>
      </c>
      <c r="K100" s="115" t="s">
        <v>4452</v>
      </c>
      <c r="L100" s="115" t="s">
        <v>4453</v>
      </c>
      <c r="M100" s="115" t="s">
        <v>4377</v>
      </c>
      <c r="N100" s="115" t="s">
        <v>4273</v>
      </c>
      <c r="O100" s="115" t="s">
        <v>4455</v>
      </c>
      <c r="P100" s="115" t="s">
        <v>4275</v>
      </c>
      <c r="Q100" s="115" t="s">
        <v>4276</v>
      </c>
    </row>
    <row r="101" spans="1:17" ht="72" customHeight="1">
      <c r="A101" s="115" t="s">
        <v>1069</v>
      </c>
      <c r="B101" s="115" t="s">
        <v>542</v>
      </c>
      <c r="C101" s="115">
        <v>2</v>
      </c>
      <c r="D101" s="115" t="s">
        <v>4283</v>
      </c>
      <c r="E101" s="115">
        <v>4</v>
      </c>
      <c r="F101" s="115" t="s">
        <v>4277</v>
      </c>
      <c r="G101" s="115" t="s">
        <v>4365</v>
      </c>
      <c r="H101" s="115" t="s">
        <v>4366</v>
      </c>
      <c r="I101" s="115" t="s">
        <v>4450</v>
      </c>
      <c r="J101" s="115" t="s">
        <v>4451</v>
      </c>
      <c r="K101" s="115" t="s">
        <v>4452</v>
      </c>
      <c r="L101" s="115" t="s">
        <v>4453</v>
      </c>
      <c r="M101" s="115" t="s">
        <v>4379</v>
      </c>
      <c r="N101" s="115" t="s">
        <v>4279</v>
      </c>
      <c r="O101" s="115" t="s">
        <v>4380</v>
      </c>
      <c r="P101" s="115" t="s">
        <v>4301</v>
      </c>
      <c r="Q101" s="115" t="s">
        <v>4302</v>
      </c>
    </row>
    <row r="102" spans="1:17" ht="72" customHeight="1">
      <c r="A102" s="115" t="s">
        <v>1069</v>
      </c>
      <c r="B102" s="115" t="s">
        <v>542</v>
      </c>
      <c r="C102" s="115">
        <v>3</v>
      </c>
      <c r="D102" s="115" t="s">
        <v>4381</v>
      </c>
      <c r="E102" s="115">
        <v>5</v>
      </c>
      <c r="F102" s="115" t="s">
        <v>2842</v>
      </c>
      <c r="G102" s="115" t="s">
        <v>4365</v>
      </c>
      <c r="H102" s="115" t="s">
        <v>4366</v>
      </c>
      <c r="I102" s="115" t="s">
        <v>4450</v>
      </c>
      <c r="J102" s="115" t="s">
        <v>4451</v>
      </c>
      <c r="K102" s="115" t="s">
        <v>4452</v>
      </c>
      <c r="L102" s="115" t="s">
        <v>4453</v>
      </c>
      <c r="M102" s="115" t="s">
        <v>4382</v>
      </c>
      <c r="N102" s="115" t="s">
        <v>4273</v>
      </c>
      <c r="O102" s="115" t="s">
        <v>4383</v>
      </c>
      <c r="P102" s="115" t="s">
        <v>4275</v>
      </c>
      <c r="Q102" s="115" t="s">
        <v>4276</v>
      </c>
    </row>
    <row r="103" spans="1:17" ht="72" customHeight="1">
      <c r="A103" s="115" t="s">
        <v>1069</v>
      </c>
      <c r="B103" s="115" t="s">
        <v>542</v>
      </c>
      <c r="C103" s="115">
        <v>3</v>
      </c>
      <c r="D103" s="115" t="s">
        <v>4381</v>
      </c>
      <c r="E103" s="115">
        <v>6</v>
      </c>
      <c r="F103" s="115" t="s">
        <v>4277</v>
      </c>
      <c r="G103" s="115" t="s">
        <v>4365</v>
      </c>
      <c r="H103" s="115" t="s">
        <v>4366</v>
      </c>
      <c r="I103" s="115" t="s">
        <v>4450</v>
      </c>
      <c r="J103" s="115" t="s">
        <v>4451</v>
      </c>
      <c r="K103" s="115" t="s">
        <v>4452</v>
      </c>
      <c r="L103" s="115" t="s">
        <v>4453</v>
      </c>
      <c r="M103" s="116" t="s">
        <v>4384</v>
      </c>
      <c r="N103" s="115" t="s">
        <v>4279</v>
      </c>
      <c r="O103" s="115" t="s">
        <v>4385</v>
      </c>
      <c r="P103" s="115" t="s">
        <v>4301</v>
      </c>
      <c r="Q103" s="115" t="s">
        <v>4302</v>
      </c>
    </row>
    <row r="104" spans="1:17" ht="72" customHeight="1">
      <c r="A104" s="115" t="s">
        <v>1069</v>
      </c>
      <c r="B104" s="115" t="s">
        <v>542</v>
      </c>
      <c r="C104" s="115">
        <v>4</v>
      </c>
      <c r="D104" s="115" t="s">
        <v>4386</v>
      </c>
      <c r="E104" s="115">
        <v>7</v>
      </c>
      <c r="F104" s="115" t="s">
        <v>2842</v>
      </c>
      <c r="G104" s="115" t="s">
        <v>4365</v>
      </c>
      <c r="H104" s="115" t="s">
        <v>4366</v>
      </c>
      <c r="I104" s="115" t="s">
        <v>4450</v>
      </c>
      <c r="J104" s="115" t="s">
        <v>4451</v>
      </c>
      <c r="K104" s="115" t="s">
        <v>4452</v>
      </c>
      <c r="L104" s="115" t="s">
        <v>4453</v>
      </c>
      <c r="M104" s="115" t="s">
        <v>4387</v>
      </c>
      <c r="N104" s="115" t="s">
        <v>4273</v>
      </c>
      <c r="O104" s="115" t="s">
        <v>4316</v>
      </c>
      <c r="P104" s="115" t="s">
        <v>4390</v>
      </c>
      <c r="Q104" s="115" t="s">
        <v>4391</v>
      </c>
    </row>
    <row r="105" spans="1:17" ht="72" customHeight="1">
      <c r="A105" s="115" t="s">
        <v>1069</v>
      </c>
      <c r="B105" s="115" t="s">
        <v>542</v>
      </c>
      <c r="C105" s="115">
        <v>4</v>
      </c>
      <c r="D105" s="115" t="s">
        <v>4386</v>
      </c>
      <c r="E105" s="115">
        <v>8</v>
      </c>
      <c r="F105" s="115" t="s">
        <v>4277</v>
      </c>
      <c r="G105" s="115" t="s">
        <v>4365</v>
      </c>
      <c r="H105" s="115" t="s">
        <v>4366</v>
      </c>
      <c r="I105" s="115" t="s">
        <v>4450</v>
      </c>
      <c r="J105" s="115" t="s">
        <v>4451</v>
      </c>
      <c r="K105" s="115" t="s">
        <v>4452</v>
      </c>
      <c r="L105" s="115" t="s">
        <v>4453</v>
      </c>
      <c r="M105" s="115" t="s">
        <v>4388</v>
      </c>
      <c r="N105" s="115" t="s">
        <v>4294</v>
      </c>
      <c r="O105" s="115" t="s">
        <v>4389</v>
      </c>
      <c r="P105" s="115" t="s">
        <v>4275</v>
      </c>
      <c r="Q105" s="115" t="s">
        <v>4276</v>
      </c>
    </row>
    <row r="106" spans="1:17" ht="72" customHeight="1">
      <c r="A106" s="115" t="s">
        <v>1069</v>
      </c>
      <c r="B106" s="115" t="s">
        <v>542</v>
      </c>
      <c r="C106" s="115">
        <v>5</v>
      </c>
      <c r="D106" s="115" t="s">
        <v>4392</v>
      </c>
      <c r="E106" s="115">
        <v>9</v>
      </c>
      <c r="F106" s="115" t="s">
        <v>2842</v>
      </c>
      <c r="G106" s="115" t="s">
        <v>4393</v>
      </c>
      <c r="H106" s="115" t="s">
        <v>4366</v>
      </c>
      <c r="I106" s="115" t="s">
        <v>4450</v>
      </c>
      <c r="J106" s="115" t="s">
        <v>4451</v>
      </c>
      <c r="K106" s="115" t="s">
        <v>4452</v>
      </c>
      <c r="L106" s="115" t="s">
        <v>4453</v>
      </c>
      <c r="M106" s="115" t="s">
        <v>4344</v>
      </c>
      <c r="N106" s="115" t="s">
        <v>4273</v>
      </c>
      <c r="O106" s="115" t="s">
        <v>4345</v>
      </c>
      <c r="P106" s="115" t="s">
        <v>4275</v>
      </c>
      <c r="Q106" s="115" t="s">
        <v>4276</v>
      </c>
    </row>
    <row r="107" spans="1:17" ht="72" customHeight="1">
      <c r="A107" s="115" t="s">
        <v>1069</v>
      </c>
      <c r="B107" s="115" t="s">
        <v>542</v>
      </c>
      <c r="C107" s="115">
        <v>5</v>
      </c>
      <c r="D107" s="115" t="s">
        <v>4392</v>
      </c>
      <c r="E107" s="115">
        <v>10</v>
      </c>
      <c r="F107" s="115" t="s">
        <v>4277</v>
      </c>
      <c r="G107" s="115" t="s">
        <v>4393</v>
      </c>
      <c r="H107" s="115" t="s">
        <v>4366</v>
      </c>
      <c r="I107" s="115" t="s">
        <v>4450</v>
      </c>
      <c r="J107" s="115" t="s">
        <v>4451</v>
      </c>
      <c r="K107" s="115" t="s">
        <v>4452</v>
      </c>
      <c r="L107" s="115" t="s">
        <v>4453</v>
      </c>
      <c r="M107" s="115" t="s">
        <v>4373</v>
      </c>
      <c r="N107" s="115" t="s">
        <v>4279</v>
      </c>
      <c r="O107" s="115" t="s">
        <v>4374</v>
      </c>
      <c r="P107" s="115" t="s">
        <v>4375</v>
      </c>
      <c r="Q107" s="115" t="s">
        <v>4376</v>
      </c>
    </row>
    <row r="108" spans="1:17" ht="72" customHeight="1">
      <c r="A108" s="115" t="s">
        <v>1069</v>
      </c>
      <c r="B108" s="115" t="s">
        <v>542</v>
      </c>
      <c r="C108" s="115">
        <v>6</v>
      </c>
      <c r="D108" s="115" t="s">
        <v>4283</v>
      </c>
      <c r="E108" s="115">
        <v>11</v>
      </c>
      <c r="F108" s="115" t="s">
        <v>2842</v>
      </c>
      <c r="G108" s="115" t="s">
        <v>4393</v>
      </c>
      <c r="H108" s="115" t="s">
        <v>4366</v>
      </c>
      <c r="I108" s="115" t="s">
        <v>4450</v>
      </c>
      <c r="J108" s="115" t="s">
        <v>4451</v>
      </c>
      <c r="K108" s="115" t="s">
        <v>4452</v>
      </c>
      <c r="L108" s="115" t="s">
        <v>4453</v>
      </c>
      <c r="M108" s="115" t="s">
        <v>4377</v>
      </c>
      <c r="N108" s="115" t="s">
        <v>4273</v>
      </c>
      <c r="O108" s="115" t="s">
        <v>4378</v>
      </c>
      <c r="P108" s="115" t="s">
        <v>4275</v>
      </c>
      <c r="Q108" s="115" t="s">
        <v>4276</v>
      </c>
    </row>
    <row r="109" spans="1:17" ht="72" customHeight="1">
      <c r="A109" s="115" t="s">
        <v>1069</v>
      </c>
      <c r="B109" s="115" t="s">
        <v>542</v>
      </c>
      <c r="C109" s="115">
        <v>6</v>
      </c>
      <c r="D109" s="115" t="s">
        <v>4283</v>
      </c>
      <c r="E109" s="115">
        <v>12</v>
      </c>
      <c r="F109" s="115" t="s">
        <v>4277</v>
      </c>
      <c r="G109" s="115" t="s">
        <v>4393</v>
      </c>
      <c r="H109" s="115" t="s">
        <v>4366</v>
      </c>
      <c r="I109" s="115" t="s">
        <v>4450</v>
      </c>
      <c r="J109" s="115" t="s">
        <v>4451</v>
      </c>
      <c r="K109" s="115" t="s">
        <v>4452</v>
      </c>
      <c r="L109" s="115" t="s">
        <v>4453</v>
      </c>
      <c r="M109" s="115" t="s">
        <v>4379</v>
      </c>
      <c r="N109" s="115" t="s">
        <v>4279</v>
      </c>
      <c r="O109" s="115" t="s">
        <v>4380</v>
      </c>
      <c r="P109" s="115" t="s">
        <v>4301</v>
      </c>
      <c r="Q109" s="115" t="s">
        <v>4302</v>
      </c>
    </row>
    <row r="110" spans="1:17" ht="72" customHeight="1">
      <c r="A110" s="115" t="s">
        <v>1069</v>
      </c>
      <c r="B110" s="115" t="s">
        <v>542</v>
      </c>
      <c r="C110" s="115">
        <v>7</v>
      </c>
      <c r="D110" s="115" t="s">
        <v>4395</v>
      </c>
      <c r="E110" s="115">
        <v>13</v>
      </c>
      <c r="F110" s="115" t="s">
        <v>2842</v>
      </c>
      <c r="G110" s="115" t="s">
        <v>4393</v>
      </c>
      <c r="H110" s="115" t="s">
        <v>4366</v>
      </c>
      <c r="I110" s="115" t="s">
        <v>4450</v>
      </c>
      <c r="J110" s="115" t="s">
        <v>4451</v>
      </c>
      <c r="K110" s="115" t="s">
        <v>4452</v>
      </c>
      <c r="L110" s="115" t="s">
        <v>4453</v>
      </c>
      <c r="M110" s="115" t="s">
        <v>4382</v>
      </c>
      <c r="N110" s="115" t="s">
        <v>4273</v>
      </c>
      <c r="O110" s="115" t="s">
        <v>4383</v>
      </c>
      <c r="P110" s="115" t="s">
        <v>4275</v>
      </c>
      <c r="Q110" s="115" t="s">
        <v>4276</v>
      </c>
    </row>
    <row r="111" spans="1:17" ht="72" customHeight="1">
      <c r="A111" s="115" t="s">
        <v>1069</v>
      </c>
      <c r="B111" s="115" t="s">
        <v>542</v>
      </c>
      <c r="C111" s="115">
        <v>7</v>
      </c>
      <c r="D111" s="115" t="s">
        <v>4395</v>
      </c>
      <c r="E111" s="115">
        <v>14</v>
      </c>
      <c r="F111" s="115" t="s">
        <v>4277</v>
      </c>
      <c r="G111" s="115" t="s">
        <v>4393</v>
      </c>
      <c r="H111" s="115" t="s">
        <v>4366</v>
      </c>
      <c r="I111" s="115" t="s">
        <v>4450</v>
      </c>
      <c r="J111" s="115" t="s">
        <v>4451</v>
      </c>
      <c r="K111" s="115" t="s">
        <v>4452</v>
      </c>
      <c r="L111" s="115" t="s">
        <v>4453</v>
      </c>
      <c r="M111" s="116" t="s">
        <v>4384</v>
      </c>
      <c r="N111" s="115" t="s">
        <v>4279</v>
      </c>
      <c r="O111" s="115" t="s">
        <v>4385</v>
      </c>
      <c r="P111" s="115" t="s">
        <v>4301</v>
      </c>
      <c r="Q111" s="115" t="s">
        <v>4302</v>
      </c>
    </row>
    <row r="112" spans="1:17" ht="72" customHeight="1">
      <c r="A112" s="115" t="s">
        <v>1069</v>
      </c>
      <c r="B112" s="115" t="s">
        <v>542</v>
      </c>
      <c r="C112" s="115">
        <v>8</v>
      </c>
      <c r="D112" s="115" t="s">
        <v>4396</v>
      </c>
      <c r="E112" s="115">
        <v>15</v>
      </c>
      <c r="F112" s="115" t="s">
        <v>2842</v>
      </c>
      <c r="G112" s="115" t="s">
        <v>4393</v>
      </c>
      <c r="H112" s="115" t="s">
        <v>4366</v>
      </c>
      <c r="I112" s="115" t="s">
        <v>4450</v>
      </c>
      <c r="J112" s="115" t="s">
        <v>4451</v>
      </c>
      <c r="K112" s="115" t="s">
        <v>4452</v>
      </c>
      <c r="L112" s="115" t="s">
        <v>4453</v>
      </c>
      <c r="M112" s="115" t="s">
        <v>4397</v>
      </c>
      <c r="N112" s="115" t="s">
        <v>4273</v>
      </c>
      <c r="O112" s="115" t="s">
        <v>4320</v>
      </c>
      <c r="P112" s="115" t="s">
        <v>4275</v>
      </c>
      <c r="Q112" s="115" t="s">
        <v>4276</v>
      </c>
    </row>
    <row r="113" spans="1:17" ht="72" customHeight="1">
      <c r="A113" s="115" t="s">
        <v>1069</v>
      </c>
      <c r="B113" s="115" t="s">
        <v>542</v>
      </c>
      <c r="C113" s="115">
        <v>8</v>
      </c>
      <c r="D113" s="115" t="s">
        <v>4396</v>
      </c>
      <c r="E113" s="115">
        <v>16</v>
      </c>
      <c r="F113" s="115" t="s">
        <v>4277</v>
      </c>
      <c r="G113" s="115" t="s">
        <v>4393</v>
      </c>
      <c r="H113" s="115" t="s">
        <v>4366</v>
      </c>
      <c r="I113" s="115" t="s">
        <v>4450</v>
      </c>
      <c r="J113" s="115" t="s">
        <v>4451</v>
      </c>
      <c r="K113" s="115" t="s">
        <v>4452</v>
      </c>
      <c r="L113" s="115" t="s">
        <v>4453</v>
      </c>
      <c r="M113" s="115" t="s">
        <v>4388</v>
      </c>
      <c r="N113" s="115" t="s">
        <v>4294</v>
      </c>
      <c r="O113" s="115" t="s">
        <v>4389</v>
      </c>
      <c r="P113" s="115" t="s">
        <v>4390</v>
      </c>
      <c r="Q113" s="115" t="s">
        <v>4391</v>
      </c>
    </row>
    <row r="114" spans="1:17" ht="72" customHeight="1">
      <c r="A114" s="115" t="s">
        <v>1069</v>
      </c>
      <c r="B114" s="115" t="s">
        <v>1171</v>
      </c>
      <c r="C114" s="115">
        <v>1</v>
      </c>
      <c r="D114" s="115" t="s">
        <v>4399</v>
      </c>
      <c r="E114" s="115">
        <v>1</v>
      </c>
      <c r="F114" s="115" t="s">
        <v>2842</v>
      </c>
      <c r="G114" s="115" t="s">
        <v>4400</v>
      </c>
      <c r="H114" s="115" t="s">
        <v>4394</v>
      </c>
      <c r="I114" s="115" t="s">
        <v>4456</v>
      </c>
      <c r="J114" s="115" t="s">
        <v>4457</v>
      </c>
      <c r="K114" s="115" t="s">
        <v>4458</v>
      </c>
      <c r="L114" s="115" t="s">
        <v>4459</v>
      </c>
      <c r="M114" s="115" t="s">
        <v>4460</v>
      </c>
      <c r="N114" s="115" t="s">
        <v>4273</v>
      </c>
      <c r="O114" s="115" t="s">
        <v>4428</v>
      </c>
      <c r="P114" s="115" t="s">
        <v>4275</v>
      </c>
      <c r="Q114" s="115" t="s">
        <v>4276</v>
      </c>
    </row>
    <row r="115" spans="1:17" ht="72" customHeight="1">
      <c r="A115" s="115" t="s">
        <v>1069</v>
      </c>
      <c r="B115" s="115" t="s">
        <v>1171</v>
      </c>
      <c r="C115" s="115">
        <v>1</v>
      </c>
      <c r="D115" s="115" t="s">
        <v>4399</v>
      </c>
      <c r="E115" s="115">
        <v>2</v>
      </c>
      <c r="F115" s="115" t="s">
        <v>4277</v>
      </c>
      <c r="G115" s="115" t="s">
        <v>4400</v>
      </c>
      <c r="H115" s="115" t="s">
        <v>4394</v>
      </c>
      <c r="I115" s="115" t="s">
        <v>4461</v>
      </c>
      <c r="J115" s="115" t="s">
        <v>4457</v>
      </c>
      <c r="K115" s="115" t="s">
        <v>4458</v>
      </c>
      <c r="L115" s="115" t="s">
        <v>4459</v>
      </c>
      <c r="M115" s="115" t="s">
        <v>4373</v>
      </c>
      <c r="N115" s="115" t="s">
        <v>4279</v>
      </c>
      <c r="O115" s="115" t="s">
        <v>4374</v>
      </c>
      <c r="P115" s="115" t="s">
        <v>4375</v>
      </c>
      <c r="Q115" s="115" t="s">
        <v>4376</v>
      </c>
    </row>
    <row r="116" spans="1:17" ht="72" customHeight="1">
      <c r="A116" s="115" t="s">
        <v>1069</v>
      </c>
      <c r="B116" s="115" t="s">
        <v>1171</v>
      </c>
      <c r="C116" s="115">
        <v>2</v>
      </c>
      <c r="D116" s="115" t="s">
        <v>4283</v>
      </c>
      <c r="E116" s="115">
        <v>3</v>
      </c>
      <c r="F116" s="115" t="s">
        <v>2842</v>
      </c>
      <c r="G116" s="115" t="s">
        <v>4400</v>
      </c>
      <c r="H116" s="115" t="s">
        <v>4394</v>
      </c>
      <c r="I116" s="115" t="s">
        <v>4461</v>
      </c>
      <c r="J116" s="115" t="s">
        <v>4457</v>
      </c>
      <c r="K116" s="115" t="s">
        <v>4458</v>
      </c>
      <c r="L116" s="115" t="s">
        <v>4459</v>
      </c>
      <c r="M116" s="116" t="s">
        <v>4377</v>
      </c>
      <c r="N116" s="115" t="s">
        <v>4273</v>
      </c>
      <c r="O116" s="115" t="s">
        <v>4378</v>
      </c>
      <c r="P116" s="115" t="s">
        <v>4275</v>
      </c>
      <c r="Q116" s="115" t="s">
        <v>4276</v>
      </c>
    </row>
    <row r="117" spans="1:17" ht="72" customHeight="1">
      <c r="A117" s="115" t="s">
        <v>1069</v>
      </c>
      <c r="B117" s="115" t="s">
        <v>1171</v>
      </c>
      <c r="C117" s="115">
        <v>2</v>
      </c>
      <c r="D117" s="115" t="s">
        <v>4283</v>
      </c>
      <c r="E117" s="115">
        <v>4</v>
      </c>
      <c r="F117" s="115" t="s">
        <v>4277</v>
      </c>
      <c r="G117" s="115" t="s">
        <v>4400</v>
      </c>
      <c r="H117" s="115" t="s">
        <v>4394</v>
      </c>
      <c r="I117" s="115" t="s">
        <v>4461</v>
      </c>
      <c r="J117" s="115" t="s">
        <v>4457</v>
      </c>
      <c r="K117" s="115" t="s">
        <v>4458</v>
      </c>
      <c r="L117" s="115" t="s">
        <v>4459</v>
      </c>
      <c r="M117" s="116" t="s">
        <v>4405</v>
      </c>
      <c r="N117" s="115" t="s">
        <v>4279</v>
      </c>
      <c r="O117" s="115" t="s">
        <v>4380</v>
      </c>
      <c r="P117" s="115" t="s">
        <v>4301</v>
      </c>
      <c r="Q117" s="115" t="s">
        <v>4302</v>
      </c>
    </row>
    <row r="118" spans="1:17" ht="72" customHeight="1">
      <c r="A118" s="115" t="s">
        <v>1069</v>
      </c>
      <c r="B118" s="115" t="s">
        <v>1171</v>
      </c>
      <c r="C118" s="115">
        <v>3</v>
      </c>
      <c r="D118" s="115" t="s">
        <v>4406</v>
      </c>
      <c r="E118" s="115">
        <v>5</v>
      </c>
      <c r="F118" s="115" t="s">
        <v>2842</v>
      </c>
      <c r="G118" s="115" t="s">
        <v>4400</v>
      </c>
      <c r="H118" s="115" t="s">
        <v>4394</v>
      </c>
      <c r="I118" s="115" t="s">
        <v>4461</v>
      </c>
      <c r="J118" s="115" t="s">
        <v>4457</v>
      </c>
      <c r="K118" s="115" t="s">
        <v>4458</v>
      </c>
      <c r="L118" s="115" t="s">
        <v>4459</v>
      </c>
      <c r="M118" s="115" t="s">
        <v>4382</v>
      </c>
      <c r="N118" s="115" t="s">
        <v>4273</v>
      </c>
      <c r="O118" s="115" t="s">
        <v>4383</v>
      </c>
      <c r="P118" s="115" t="s">
        <v>4275</v>
      </c>
      <c r="Q118" s="115" t="s">
        <v>4276</v>
      </c>
    </row>
    <row r="119" spans="1:17" ht="72" customHeight="1">
      <c r="A119" s="115" t="s">
        <v>1069</v>
      </c>
      <c r="B119" s="115" t="s">
        <v>1171</v>
      </c>
      <c r="C119" s="115">
        <v>3</v>
      </c>
      <c r="D119" s="115" t="s">
        <v>4406</v>
      </c>
      <c r="E119" s="115">
        <v>6</v>
      </c>
      <c r="F119" s="115" t="s">
        <v>4277</v>
      </c>
      <c r="G119" s="115" t="s">
        <v>4400</v>
      </c>
      <c r="H119" s="115" t="s">
        <v>4394</v>
      </c>
      <c r="I119" s="115" t="s">
        <v>4461</v>
      </c>
      <c r="J119" s="115" t="s">
        <v>4457</v>
      </c>
      <c r="K119" s="115" t="s">
        <v>4458</v>
      </c>
      <c r="L119" s="115" t="s">
        <v>4459</v>
      </c>
      <c r="M119" s="116" t="s">
        <v>4384</v>
      </c>
      <c r="N119" s="115" t="s">
        <v>4279</v>
      </c>
      <c r="O119" s="115" t="s">
        <v>4385</v>
      </c>
      <c r="P119" s="115" t="s">
        <v>4301</v>
      </c>
      <c r="Q119" s="115" t="s">
        <v>4302</v>
      </c>
    </row>
    <row r="120" spans="1:17" ht="72" customHeight="1">
      <c r="A120" s="115" t="s">
        <v>1069</v>
      </c>
      <c r="B120" s="115" t="s">
        <v>1171</v>
      </c>
      <c r="C120" s="115">
        <v>4</v>
      </c>
      <c r="D120" s="115" t="s">
        <v>4407</v>
      </c>
      <c r="E120" s="115">
        <v>7</v>
      </c>
      <c r="F120" s="115" t="s">
        <v>2842</v>
      </c>
      <c r="G120" s="115" t="s">
        <v>4400</v>
      </c>
      <c r="H120" s="115" t="s">
        <v>4394</v>
      </c>
      <c r="I120" s="115" t="s">
        <v>4461</v>
      </c>
      <c r="J120" s="115" t="s">
        <v>4457</v>
      </c>
      <c r="K120" s="115" t="s">
        <v>4458</v>
      </c>
      <c r="L120" s="115" t="s">
        <v>4459</v>
      </c>
      <c r="M120" s="115" t="s">
        <v>4462</v>
      </c>
      <c r="N120" s="115" t="s">
        <v>4273</v>
      </c>
      <c r="O120" s="115" t="s">
        <v>4316</v>
      </c>
      <c r="P120" s="115" t="s">
        <v>4275</v>
      </c>
      <c r="Q120" s="115" t="s">
        <v>4276</v>
      </c>
    </row>
    <row r="121" spans="1:17" ht="72" customHeight="1">
      <c r="A121" s="115" t="s">
        <v>1069</v>
      </c>
      <c r="B121" s="115" t="s">
        <v>1171</v>
      </c>
      <c r="C121" s="115">
        <v>4</v>
      </c>
      <c r="D121" s="115" t="s">
        <v>4407</v>
      </c>
      <c r="E121" s="115">
        <v>8</v>
      </c>
      <c r="F121" s="115" t="s">
        <v>4277</v>
      </c>
      <c r="G121" s="115" t="s">
        <v>4400</v>
      </c>
      <c r="H121" s="115" t="s">
        <v>4394</v>
      </c>
      <c r="I121" s="115" t="s">
        <v>4461</v>
      </c>
      <c r="J121" s="115" t="s">
        <v>4457</v>
      </c>
      <c r="K121" s="115" t="s">
        <v>4458</v>
      </c>
      <c r="L121" s="115" t="s">
        <v>4459</v>
      </c>
      <c r="M121" s="115" t="s">
        <v>4388</v>
      </c>
      <c r="N121" s="115" t="s">
        <v>4294</v>
      </c>
      <c r="O121" s="115" t="s">
        <v>4408</v>
      </c>
      <c r="P121" s="115" t="s">
        <v>4390</v>
      </c>
      <c r="Q121" s="115" t="s">
        <v>4391</v>
      </c>
    </row>
    <row r="122" spans="1:17" ht="72" customHeight="1">
      <c r="A122" s="115" t="s">
        <v>1069</v>
      </c>
      <c r="B122" s="115" t="s">
        <v>1171</v>
      </c>
      <c r="C122" s="115">
        <v>5</v>
      </c>
      <c r="D122" s="115" t="s">
        <v>4409</v>
      </c>
      <c r="E122" s="115">
        <v>9</v>
      </c>
      <c r="F122" s="115" t="s">
        <v>2842</v>
      </c>
      <c r="G122" s="115" t="s">
        <v>4410</v>
      </c>
      <c r="H122" s="115" t="s">
        <v>4394</v>
      </c>
      <c r="I122" s="115" t="s">
        <v>4461</v>
      </c>
      <c r="J122" s="115" t="s">
        <v>4457</v>
      </c>
      <c r="K122" s="115" t="s">
        <v>4458</v>
      </c>
      <c r="L122" s="115" t="s">
        <v>4459</v>
      </c>
      <c r="M122" s="115" t="s">
        <v>4344</v>
      </c>
      <c r="N122" s="115" t="s">
        <v>4273</v>
      </c>
      <c r="O122" s="115" t="s">
        <v>4345</v>
      </c>
      <c r="P122" s="115" t="s">
        <v>4275</v>
      </c>
      <c r="Q122" s="115" t="s">
        <v>4276</v>
      </c>
    </row>
    <row r="123" spans="1:17" ht="72" customHeight="1">
      <c r="A123" s="115" t="s">
        <v>1069</v>
      </c>
      <c r="B123" s="115" t="s">
        <v>1171</v>
      </c>
      <c r="C123" s="115">
        <v>5</v>
      </c>
      <c r="D123" s="115" t="s">
        <v>4409</v>
      </c>
      <c r="E123" s="115">
        <v>10</v>
      </c>
      <c r="F123" s="115" t="s">
        <v>4277</v>
      </c>
      <c r="G123" s="115" t="s">
        <v>4410</v>
      </c>
      <c r="H123" s="115" t="s">
        <v>4394</v>
      </c>
      <c r="I123" s="115" t="s">
        <v>4461</v>
      </c>
      <c r="J123" s="115" t="s">
        <v>4457</v>
      </c>
      <c r="K123" s="115" t="s">
        <v>4458</v>
      </c>
      <c r="L123" s="115" t="s">
        <v>4459</v>
      </c>
      <c r="M123" s="115" t="s">
        <v>4373</v>
      </c>
      <c r="N123" s="115" t="s">
        <v>4279</v>
      </c>
      <c r="O123" s="115" t="s">
        <v>4374</v>
      </c>
      <c r="P123" s="115" t="s">
        <v>4375</v>
      </c>
      <c r="Q123" s="115" t="s">
        <v>4376</v>
      </c>
    </row>
    <row r="124" spans="1:17" ht="72" customHeight="1">
      <c r="A124" s="115" t="s">
        <v>1069</v>
      </c>
      <c r="B124" s="115" t="s">
        <v>1171</v>
      </c>
      <c r="C124" s="115">
        <v>6</v>
      </c>
      <c r="D124" s="115" t="s">
        <v>4283</v>
      </c>
      <c r="E124" s="115">
        <v>11</v>
      </c>
      <c r="F124" s="115" t="s">
        <v>2842</v>
      </c>
      <c r="G124" s="115" t="s">
        <v>4410</v>
      </c>
      <c r="H124" s="115" t="s">
        <v>4394</v>
      </c>
      <c r="I124" s="115" t="s">
        <v>4461</v>
      </c>
      <c r="J124" s="115" t="s">
        <v>4457</v>
      </c>
      <c r="K124" s="115" t="s">
        <v>4458</v>
      </c>
      <c r="L124" s="115" t="s">
        <v>4459</v>
      </c>
      <c r="M124" s="116" t="s">
        <v>4377</v>
      </c>
      <c r="N124" s="115" t="s">
        <v>4273</v>
      </c>
      <c r="O124" s="115" t="s">
        <v>4378</v>
      </c>
      <c r="P124" s="115" t="s">
        <v>4275</v>
      </c>
      <c r="Q124" s="115" t="s">
        <v>4276</v>
      </c>
    </row>
    <row r="125" spans="1:17" ht="72" customHeight="1">
      <c r="A125" s="115" t="s">
        <v>1069</v>
      </c>
      <c r="B125" s="115" t="s">
        <v>1171</v>
      </c>
      <c r="C125" s="115">
        <v>6</v>
      </c>
      <c r="D125" s="115" t="s">
        <v>4283</v>
      </c>
      <c r="E125" s="115">
        <v>12</v>
      </c>
      <c r="F125" s="115" t="s">
        <v>4277</v>
      </c>
      <c r="G125" s="115" t="s">
        <v>4410</v>
      </c>
      <c r="H125" s="115" t="s">
        <v>4394</v>
      </c>
      <c r="I125" s="115" t="s">
        <v>4461</v>
      </c>
      <c r="J125" s="115" t="s">
        <v>4457</v>
      </c>
      <c r="K125" s="115" t="s">
        <v>4458</v>
      </c>
      <c r="L125" s="115" t="s">
        <v>4459</v>
      </c>
      <c r="M125" s="116" t="s">
        <v>4405</v>
      </c>
      <c r="N125" s="115" t="s">
        <v>4279</v>
      </c>
      <c r="O125" s="115" t="s">
        <v>4380</v>
      </c>
      <c r="P125" s="115" t="s">
        <v>4301</v>
      </c>
      <c r="Q125" s="115" t="s">
        <v>4302</v>
      </c>
    </row>
    <row r="126" spans="1:17" ht="72" customHeight="1">
      <c r="A126" s="115" t="s">
        <v>1069</v>
      </c>
      <c r="B126" s="115" t="s">
        <v>1171</v>
      </c>
      <c r="C126" s="115">
        <v>7</v>
      </c>
      <c r="D126" s="115" t="s">
        <v>4411</v>
      </c>
      <c r="E126" s="115">
        <v>13</v>
      </c>
      <c r="F126" s="115" t="s">
        <v>2842</v>
      </c>
      <c r="G126" s="115" t="s">
        <v>4410</v>
      </c>
      <c r="H126" s="115" t="s">
        <v>4394</v>
      </c>
      <c r="I126" s="115" t="s">
        <v>4461</v>
      </c>
      <c r="J126" s="115" t="s">
        <v>4457</v>
      </c>
      <c r="K126" s="115" t="s">
        <v>4458</v>
      </c>
      <c r="L126" s="115" t="s">
        <v>4459</v>
      </c>
      <c r="M126" s="115" t="s">
        <v>4382</v>
      </c>
      <c r="N126" s="115" t="s">
        <v>4273</v>
      </c>
      <c r="O126" s="115" t="s">
        <v>4383</v>
      </c>
      <c r="P126" s="115" t="s">
        <v>4275</v>
      </c>
      <c r="Q126" s="115" t="s">
        <v>4276</v>
      </c>
    </row>
    <row r="127" spans="1:17" ht="72" customHeight="1">
      <c r="A127" s="115" t="s">
        <v>1069</v>
      </c>
      <c r="B127" s="115" t="s">
        <v>1171</v>
      </c>
      <c r="C127" s="115">
        <v>7</v>
      </c>
      <c r="D127" s="115" t="s">
        <v>4411</v>
      </c>
      <c r="E127" s="115">
        <v>14</v>
      </c>
      <c r="F127" s="115" t="s">
        <v>4277</v>
      </c>
      <c r="G127" s="115" t="s">
        <v>4410</v>
      </c>
      <c r="H127" s="115" t="s">
        <v>4394</v>
      </c>
      <c r="I127" s="115" t="s">
        <v>4461</v>
      </c>
      <c r="J127" s="115" t="s">
        <v>4457</v>
      </c>
      <c r="K127" s="115" t="s">
        <v>4458</v>
      </c>
      <c r="L127" s="115" t="s">
        <v>4459</v>
      </c>
      <c r="M127" s="116" t="s">
        <v>4384</v>
      </c>
      <c r="N127" s="115" t="s">
        <v>4279</v>
      </c>
      <c r="O127" s="115" t="s">
        <v>4385</v>
      </c>
      <c r="P127" s="115" t="s">
        <v>4301</v>
      </c>
      <c r="Q127" s="115" t="s">
        <v>4302</v>
      </c>
    </row>
    <row r="128" spans="1:17" ht="72" customHeight="1">
      <c r="A128" s="115" t="s">
        <v>1069</v>
      </c>
      <c r="B128" s="115" t="s">
        <v>1171</v>
      </c>
      <c r="C128" s="115">
        <v>8</v>
      </c>
      <c r="D128" s="115" t="s">
        <v>4412</v>
      </c>
      <c r="E128" s="115">
        <v>15</v>
      </c>
      <c r="F128" s="115" t="s">
        <v>4277</v>
      </c>
      <c r="G128" s="115" t="s">
        <v>4410</v>
      </c>
      <c r="H128" s="115" t="s">
        <v>4394</v>
      </c>
      <c r="I128" s="115" t="s">
        <v>4461</v>
      </c>
      <c r="J128" s="115" t="s">
        <v>4457</v>
      </c>
      <c r="K128" s="115" t="s">
        <v>4458</v>
      </c>
      <c r="L128" s="115" t="s">
        <v>4459</v>
      </c>
      <c r="M128" s="115" t="s">
        <v>4388</v>
      </c>
      <c r="N128" s="115" t="s">
        <v>4294</v>
      </c>
      <c r="O128" s="115" t="s">
        <v>4408</v>
      </c>
      <c r="P128" s="115" t="s">
        <v>4390</v>
      </c>
      <c r="Q128" s="115" t="s">
        <v>4391</v>
      </c>
    </row>
    <row r="129" spans="1:17" ht="72" customHeight="1">
      <c r="A129" s="115" t="s">
        <v>1069</v>
      </c>
      <c r="B129" s="115" t="s">
        <v>1171</v>
      </c>
      <c r="C129" s="115">
        <v>8</v>
      </c>
      <c r="D129" s="115" t="s">
        <v>4412</v>
      </c>
      <c r="E129" s="115">
        <v>16</v>
      </c>
      <c r="F129" s="115" t="s">
        <v>2842</v>
      </c>
      <c r="G129" s="115" t="s">
        <v>4410</v>
      </c>
      <c r="H129" s="115" t="s">
        <v>4394</v>
      </c>
      <c r="I129" s="115" t="s">
        <v>4461</v>
      </c>
      <c r="J129" s="115" t="s">
        <v>4457</v>
      </c>
      <c r="K129" s="115" t="s">
        <v>4458</v>
      </c>
      <c r="L129" s="115" t="s">
        <v>4459</v>
      </c>
      <c r="M129" s="115" t="s">
        <v>4413</v>
      </c>
      <c r="N129" s="115" t="s">
        <v>4279</v>
      </c>
      <c r="O129" s="115" t="s">
        <v>4414</v>
      </c>
      <c r="P129" s="115" t="s">
        <v>4275</v>
      </c>
      <c r="Q129" s="115" t="s">
        <v>4276</v>
      </c>
    </row>
    <row r="130" spans="1:17" ht="72" customHeight="1">
      <c r="A130" s="115" t="s">
        <v>34</v>
      </c>
      <c r="B130" s="115" t="s">
        <v>1070</v>
      </c>
      <c r="C130" s="115">
        <v>1</v>
      </c>
      <c r="D130" s="115" t="s">
        <v>4265</v>
      </c>
      <c r="E130" s="115">
        <v>1</v>
      </c>
      <c r="F130" s="115" t="s">
        <v>2842</v>
      </c>
      <c r="G130" s="115" t="s">
        <v>4266</v>
      </c>
      <c r="H130" s="115" t="s">
        <v>4463</v>
      </c>
      <c r="I130" s="115" t="s">
        <v>4464</v>
      </c>
      <c r="J130" s="115" t="s">
        <v>4369</v>
      </c>
      <c r="K130" s="117" t="s">
        <v>2850</v>
      </c>
      <c r="L130" s="117" t="s">
        <v>2850</v>
      </c>
      <c r="M130" s="115" t="s">
        <v>4371</v>
      </c>
      <c r="N130" s="115" t="s">
        <v>4273</v>
      </c>
      <c r="O130" s="115" t="s">
        <v>4419</v>
      </c>
      <c r="P130" s="115" t="s">
        <v>4275</v>
      </c>
      <c r="Q130" s="115" t="s">
        <v>4276</v>
      </c>
    </row>
    <row r="131" spans="1:17" ht="72" customHeight="1">
      <c r="A131" s="115" t="s">
        <v>34</v>
      </c>
      <c r="B131" s="115" t="s">
        <v>1070</v>
      </c>
      <c r="C131" s="115">
        <v>1</v>
      </c>
      <c r="D131" s="115" t="s">
        <v>4265</v>
      </c>
      <c r="E131" s="115">
        <v>2</v>
      </c>
      <c r="F131" s="115" t="s">
        <v>4277</v>
      </c>
      <c r="G131" s="115" t="s">
        <v>4266</v>
      </c>
      <c r="H131" s="115" t="s">
        <v>4463</v>
      </c>
      <c r="I131" s="115" t="s">
        <v>4464</v>
      </c>
      <c r="J131" s="115" t="s">
        <v>4369</v>
      </c>
      <c r="K131" s="117" t="s">
        <v>2850</v>
      </c>
      <c r="L131" s="117" t="s">
        <v>2850</v>
      </c>
      <c r="M131" s="115" t="s">
        <v>4373</v>
      </c>
      <c r="N131" s="115" t="s">
        <v>4279</v>
      </c>
      <c r="O131" s="115" t="s">
        <v>4374</v>
      </c>
      <c r="P131" s="115" t="s">
        <v>4375</v>
      </c>
      <c r="Q131" s="115" t="s">
        <v>4376</v>
      </c>
    </row>
    <row r="132" spans="1:17" ht="72" customHeight="1">
      <c r="A132" s="115" t="s">
        <v>34</v>
      </c>
      <c r="B132" s="115" t="s">
        <v>1070</v>
      </c>
      <c r="C132" s="115">
        <v>2</v>
      </c>
      <c r="D132" s="115" t="s">
        <v>4465</v>
      </c>
      <c r="E132" s="115">
        <v>3</v>
      </c>
      <c r="F132" s="115" t="s">
        <v>2842</v>
      </c>
      <c r="G132" s="115" t="s">
        <v>4266</v>
      </c>
      <c r="H132" s="115" t="s">
        <v>4463</v>
      </c>
      <c r="I132" s="115" t="s">
        <v>4464</v>
      </c>
      <c r="J132" s="115" t="s">
        <v>4369</v>
      </c>
      <c r="K132" s="117" t="s">
        <v>2850</v>
      </c>
      <c r="L132" s="117" t="s">
        <v>2850</v>
      </c>
      <c r="M132" s="115" t="s">
        <v>4377</v>
      </c>
      <c r="N132" s="115" t="s">
        <v>4273</v>
      </c>
      <c r="O132" s="115" t="s">
        <v>4466</v>
      </c>
      <c r="P132" s="115" t="s">
        <v>4275</v>
      </c>
      <c r="Q132" s="115" t="s">
        <v>4276</v>
      </c>
    </row>
    <row r="133" spans="1:17" ht="72" customHeight="1">
      <c r="A133" s="115" t="s">
        <v>34</v>
      </c>
      <c r="B133" s="115" t="s">
        <v>1070</v>
      </c>
      <c r="C133" s="115">
        <v>2</v>
      </c>
      <c r="D133" s="115" t="s">
        <v>4465</v>
      </c>
      <c r="E133" s="115">
        <v>4</v>
      </c>
      <c r="F133" s="115" t="s">
        <v>4277</v>
      </c>
      <c r="G133" s="115" t="s">
        <v>4266</v>
      </c>
      <c r="H133" s="115" t="s">
        <v>4463</v>
      </c>
      <c r="I133" s="115" t="s">
        <v>4464</v>
      </c>
      <c r="J133" s="115" t="s">
        <v>4369</v>
      </c>
      <c r="K133" s="117" t="s">
        <v>2850</v>
      </c>
      <c r="L133" s="117" t="s">
        <v>2850</v>
      </c>
      <c r="M133" s="115" t="s">
        <v>4379</v>
      </c>
      <c r="N133" s="115" t="s">
        <v>4279</v>
      </c>
      <c r="O133" s="115" t="s">
        <v>4380</v>
      </c>
      <c r="P133" s="115" t="s">
        <v>4301</v>
      </c>
      <c r="Q133" s="115" t="s">
        <v>4302</v>
      </c>
    </row>
    <row r="134" spans="1:17" ht="72" customHeight="1">
      <c r="A134" s="115" t="s">
        <v>34</v>
      </c>
      <c r="B134" s="115" t="s">
        <v>1070</v>
      </c>
      <c r="C134" s="115">
        <v>3</v>
      </c>
      <c r="D134" s="115" t="s">
        <v>4467</v>
      </c>
      <c r="E134" s="115">
        <v>5</v>
      </c>
      <c r="F134" s="115" t="s">
        <v>2842</v>
      </c>
      <c r="G134" s="116" t="s">
        <v>4266</v>
      </c>
      <c r="H134" s="115" t="s">
        <v>4463</v>
      </c>
      <c r="I134" s="115" t="s">
        <v>4464</v>
      </c>
      <c r="J134" s="115" t="s">
        <v>4369</v>
      </c>
      <c r="K134" s="117" t="s">
        <v>2850</v>
      </c>
      <c r="L134" s="117" t="s">
        <v>2850</v>
      </c>
      <c r="M134" s="115" t="s">
        <v>4468</v>
      </c>
      <c r="N134" s="115" t="s">
        <v>4273</v>
      </c>
      <c r="O134" s="116" t="s">
        <v>4469</v>
      </c>
      <c r="P134" s="115" t="s">
        <v>4275</v>
      </c>
      <c r="Q134" s="115" t="s">
        <v>4276</v>
      </c>
    </row>
    <row r="135" spans="1:17" ht="72" customHeight="1">
      <c r="A135" s="115" t="s">
        <v>34</v>
      </c>
      <c r="B135" s="115" t="s">
        <v>1070</v>
      </c>
      <c r="C135" s="115">
        <v>3</v>
      </c>
      <c r="D135" s="115" t="s">
        <v>4467</v>
      </c>
      <c r="E135" s="115">
        <v>6</v>
      </c>
      <c r="F135" s="115" t="s">
        <v>4277</v>
      </c>
      <c r="G135" s="116" t="s">
        <v>4266</v>
      </c>
      <c r="H135" s="115" t="s">
        <v>4463</v>
      </c>
      <c r="I135" s="115" t="s">
        <v>4464</v>
      </c>
      <c r="J135" s="115" t="s">
        <v>4369</v>
      </c>
      <c r="K135" s="117" t="s">
        <v>2850</v>
      </c>
      <c r="L135" s="117" t="s">
        <v>2850</v>
      </c>
      <c r="M135" s="115" t="s">
        <v>4384</v>
      </c>
      <c r="N135" s="115" t="s">
        <v>4294</v>
      </c>
      <c r="O135" s="116" t="s">
        <v>4385</v>
      </c>
      <c r="P135" s="115" t="s">
        <v>4301</v>
      </c>
      <c r="Q135" s="115" t="s">
        <v>4302</v>
      </c>
    </row>
    <row r="136" spans="1:17" ht="72" customHeight="1">
      <c r="A136" s="115" t="s">
        <v>34</v>
      </c>
      <c r="B136" s="115" t="s">
        <v>1070</v>
      </c>
      <c r="C136" s="115">
        <v>4</v>
      </c>
      <c r="D136" s="115" t="s">
        <v>4296</v>
      </c>
      <c r="E136" s="115">
        <v>7</v>
      </c>
      <c r="F136" s="115" t="s">
        <v>2842</v>
      </c>
      <c r="G136" s="115" t="s">
        <v>4266</v>
      </c>
      <c r="H136" s="115" t="s">
        <v>4463</v>
      </c>
      <c r="I136" s="115" t="s">
        <v>4464</v>
      </c>
      <c r="J136" s="115" t="s">
        <v>4369</v>
      </c>
      <c r="K136" s="117" t="s">
        <v>2850</v>
      </c>
      <c r="L136" s="117" t="s">
        <v>2850</v>
      </c>
      <c r="M136" s="115" t="s">
        <v>4470</v>
      </c>
      <c r="N136" s="115" t="s">
        <v>4273</v>
      </c>
      <c r="O136" s="115" t="s">
        <v>4471</v>
      </c>
      <c r="P136" s="115" t="s">
        <v>4275</v>
      </c>
      <c r="Q136" s="115" t="s">
        <v>4276</v>
      </c>
    </row>
    <row r="137" spans="1:17" ht="72" customHeight="1">
      <c r="A137" s="115" t="s">
        <v>34</v>
      </c>
      <c r="B137" s="115" t="s">
        <v>1070</v>
      </c>
      <c r="C137" s="115">
        <v>4</v>
      </c>
      <c r="D137" s="115" t="s">
        <v>4296</v>
      </c>
      <c r="E137" s="115">
        <v>8</v>
      </c>
      <c r="F137" s="115" t="s">
        <v>4277</v>
      </c>
      <c r="G137" s="115" t="s">
        <v>4266</v>
      </c>
      <c r="H137" s="115" t="s">
        <v>4463</v>
      </c>
      <c r="I137" s="115" t="s">
        <v>4464</v>
      </c>
      <c r="J137" s="115" t="s">
        <v>4369</v>
      </c>
      <c r="K137" s="117" t="s">
        <v>2850</v>
      </c>
      <c r="L137" s="117" t="s">
        <v>2850</v>
      </c>
      <c r="M137" s="115" t="s">
        <v>4472</v>
      </c>
      <c r="N137" s="115" t="s">
        <v>4294</v>
      </c>
      <c r="O137" s="115" t="s">
        <v>4389</v>
      </c>
      <c r="P137" s="115" t="s">
        <v>4390</v>
      </c>
      <c r="Q137" s="115" t="s">
        <v>4391</v>
      </c>
    </row>
    <row r="138" spans="1:17" ht="72" customHeight="1">
      <c r="A138" s="115" t="s">
        <v>34</v>
      </c>
      <c r="B138" s="115" t="s">
        <v>1070</v>
      </c>
      <c r="C138" s="115">
        <v>5</v>
      </c>
      <c r="D138" s="115" t="s">
        <v>4473</v>
      </c>
      <c r="E138" s="115">
        <v>9</v>
      </c>
      <c r="F138" s="115" t="s">
        <v>2842</v>
      </c>
      <c r="G138" s="115" t="s">
        <v>4304</v>
      </c>
      <c r="H138" s="115" t="s">
        <v>4463</v>
      </c>
      <c r="I138" s="115" t="s">
        <v>4474</v>
      </c>
      <c r="J138" s="115" t="s">
        <v>4475</v>
      </c>
      <c r="K138" s="117" t="s">
        <v>2850</v>
      </c>
      <c r="L138" s="117" t="s">
        <v>2850</v>
      </c>
      <c r="M138" s="115" t="s">
        <v>4371</v>
      </c>
      <c r="N138" s="115" t="s">
        <v>4273</v>
      </c>
      <c r="O138" s="115" t="s">
        <v>4476</v>
      </c>
      <c r="P138" s="115" t="s">
        <v>4275</v>
      </c>
      <c r="Q138" s="115" t="s">
        <v>4276</v>
      </c>
    </row>
    <row r="139" spans="1:17" ht="72" customHeight="1">
      <c r="A139" s="115" t="s">
        <v>34</v>
      </c>
      <c r="B139" s="115" t="s">
        <v>1070</v>
      </c>
      <c r="C139" s="115">
        <v>5</v>
      </c>
      <c r="D139" s="115" t="s">
        <v>4473</v>
      </c>
      <c r="E139" s="115">
        <v>10</v>
      </c>
      <c r="F139" s="115" t="s">
        <v>4277</v>
      </c>
      <c r="G139" s="115" t="s">
        <v>4304</v>
      </c>
      <c r="H139" s="115" t="s">
        <v>4463</v>
      </c>
      <c r="I139" s="115" t="s">
        <v>4474</v>
      </c>
      <c r="J139" s="115" t="s">
        <v>4475</v>
      </c>
      <c r="K139" s="117" t="s">
        <v>2850</v>
      </c>
      <c r="L139" s="117" t="s">
        <v>2850</v>
      </c>
      <c r="M139" s="115" t="s">
        <v>4373</v>
      </c>
      <c r="N139" s="115" t="s">
        <v>4279</v>
      </c>
      <c r="O139" s="115" t="s">
        <v>4374</v>
      </c>
      <c r="P139" s="115" t="s">
        <v>4375</v>
      </c>
      <c r="Q139" s="115" t="s">
        <v>4376</v>
      </c>
    </row>
    <row r="140" spans="1:17" ht="72" customHeight="1">
      <c r="A140" s="115" t="s">
        <v>34</v>
      </c>
      <c r="B140" s="115" t="s">
        <v>1070</v>
      </c>
      <c r="C140" s="115">
        <v>6</v>
      </c>
      <c r="D140" s="115" t="s">
        <v>4283</v>
      </c>
      <c r="E140" s="115">
        <v>11</v>
      </c>
      <c r="F140" s="115" t="s">
        <v>2842</v>
      </c>
      <c r="G140" s="116" t="s">
        <v>4304</v>
      </c>
      <c r="H140" s="115" t="s">
        <v>4463</v>
      </c>
      <c r="I140" s="115" t="s">
        <v>4474</v>
      </c>
      <c r="J140" s="115" t="s">
        <v>4475</v>
      </c>
      <c r="K140" s="117" t="s">
        <v>2850</v>
      </c>
      <c r="L140" s="117" t="s">
        <v>2850</v>
      </c>
      <c r="M140" s="115" t="s">
        <v>4377</v>
      </c>
      <c r="N140" s="115" t="s">
        <v>4273</v>
      </c>
      <c r="O140" s="116" t="s">
        <v>4466</v>
      </c>
      <c r="P140" s="115" t="s">
        <v>4275</v>
      </c>
      <c r="Q140" s="115" t="s">
        <v>4276</v>
      </c>
    </row>
    <row r="141" spans="1:17" ht="72" customHeight="1">
      <c r="A141" s="115" t="s">
        <v>34</v>
      </c>
      <c r="B141" s="115" t="s">
        <v>1070</v>
      </c>
      <c r="C141" s="115">
        <v>6</v>
      </c>
      <c r="D141" s="115" t="s">
        <v>4477</v>
      </c>
      <c r="E141" s="115">
        <v>12</v>
      </c>
      <c r="F141" s="115" t="s">
        <v>4277</v>
      </c>
      <c r="G141" s="116" t="s">
        <v>4304</v>
      </c>
      <c r="H141" s="115" t="s">
        <v>4463</v>
      </c>
      <c r="I141" s="115" t="s">
        <v>4474</v>
      </c>
      <c r="J141" s="115" t="s">
        <v>4475</v>
      </c>
      <c r="K141" s="117" t="s">
        <v>2850</v>
      </c>
      <c r="L141" s="117" t="s">
        <v>2850</v>
      </c>
      <c r="M141" s="115" t="s">
        <v>4379</v>
      </c>
      <c r="N141" s="115" t="s">
        <v>4279</v>
      </c>
      <c r="O141" s="116" t="s">
        <v>4380</v>
      </c>
      <c r="P141" s="115" t="s">
        <v>4301</v>
      </c>
      <c r="Q141" s="115" t="s">
        <v>4302</v>
      </c>
    </row>
    <row r="142" spans="1:17" ht="72" customHeight="1">
      <c r="A142" s="115" t="s">
        <v>34</v>
      </c>
      <c r="B142" s="115" t="s">
        <v>1070</v>
      </c>
      <c r="C142" s="115">
        <v>7</v>
      </c>
      <c r="D142" s="115" t="s">
        <v>4314</v>
      </c>
      <c r="E142" s="115">
        <v>13</v>
      </c>
      <c r="F142" s="115" t="s">
        <v>2842</v>
      </c>
      <c r="G142" s="115" t="s">
        <v>4304</v>
      </c>
      <c r="H142" s="115" t="s">
        <v>4463</v>
      </c>
      <c r="I142" s="115" t="s">
        <v>4474</v>
      </c>
      <c r="J142" s="115" t="s">
        <v>4475</v>
      </c>
      <c r="K142" s="117" t="s">
        <v>2850</v>
      </c>
      <c r="L142" s="117" t="s">
        <v>2850</v>
      </c>
      <c r="M142" s="115" t="s">
        <v>4468</v>
      </c>
      <c r="N142" s="115" t="s">
        <v>4273</v>
      </c>
      <c r="O142" s="115" t="s">
        <v>4478</v>
      </c>
      <c r="P142" s="115" t="s">
        <v>4275</v>
      </c>
      <c r="Q142" s="115" t="s">
        <v>4276</v>
      </c>
    </row>
    <row r="143" spans="1:17" ht="72" customHeight="1">
      <c r="A143" s="115" t="s">
        <v>34</v>
      </c>
      <c r="B143" s="115" t="s">
        <v>1070</v>
      </c>
      <c r="C143" s="115">
        <v>7</v>
      </c>
      <c r="D143" s="115" t="s">
        <v>4467</v>
      </c>
      <c r="E143" s="115">
        <v>14</v>
      </c>
      <c r="F143" s="115" t="s">
        <v>4277</v>
      </c>
      <c r="G143" s="115" t="s">
        <v>4304</v>
      </c>
      <c r="H143" s="115" t="s">
        <v>4463</v>
      </c>
      <c r="I143" s="115" t="s">
        <v>4474</v>
      </c>
      <c r="J143" s="115" t="s">
        <v>4475</v>
      </c>
      <c r="K143" s="117" t="s">
        <v>2850</v>
      </c>
      <c r="L143" s="117" t="s">
        <v>2850</v>
      </c>
      <c r="M143" s="115" t="s">
        <v>4384</v>
      </c>
      <c r="N143" s="115" t="s">
        <v>4279</v>
      </c>
      <c r="O143" s="116" t="s">
        <v>4385</v>
      </c>
      <c r="P143" s="115" t="s">
        <v>4301</v>
      </c>
      <c r="Q143" s="115" t="s">
        <v>4302</v>
      </c>
    </row>
    <row r="144" spans="1:17" ht="72" customHeight="1">
      <c r="A144" s="115" t="s">
        <v>34</v>
      </c>
      <c r="B144" s="115" t="s">
        <v>1070</v>
      </c>
      <c r="C144" s="115">
        <v>8</v>
      </c>
      <c r="D144" s="115" t="s">
        <v>4319</v>
      </c>
      <c r="E144" s="115">
        <v>15</v>
      </c>
      <c r="F144" s="115" t="s">
        <v>2842</v>
      </c>
      <c r="G144" s="115" t="s">
        <v>4304</v>
      </c>
      <c r="H144" s="115" t="s">
        <v>4463</v>
      </c>
      <c r="I144" s="115" t="s">
        <v>4474</v>
      </c>
      <c r="J144" s="115" t="s">
        <v>4475</v>
      </c>
      <c r="K144" s="117" t="s">
        <v>2850</v>
      </c>
      <c r="L144" s="117" t="s">
        <v>2850</v>
      </c>
      <c r="M144" s="115" t="s">
        <v>4470</v>
      </c>
      <c r="N144" s="115" t="s">
        <v>4273</v>
      </c>
      <c r="O144" s="115" t="s">
        <v>4479</v>
      </c>
      <c r="P144" s="115" t="s">
        <v>4275</v>
      </c>
      <c r="Q144" s="115" t="s">
        <v>4276</v>
      </c>
    </row>
    <row r="145" spans="1:17" ht="72" customHeight="1">
      <c r="A145" s="115" t="s">
        <v>34</v>
      </c>
      <c r="B145" s="115" t="s">
        <v>1070</v>
      </c>
      <c r="C145" s="115">
        <v>8</v>
      </c>
      <c r="D145" s="115" t="s">
        <v>4480</v>
      </c>
      <c r="E145" s="115">
        <v>16</v>
      </c>
      <c r="F145" s="115" t="s">
        <v>4277</v>
      </c>
      <c r="G145" s="115" t="s">
        <v>4304</v>
      </c>
      <c r="H145" s="115" t="s">
        <v>4463</v>
      </c>
      <c r="I145" s="115" t="s">
        <v>4474</v>
      </c>
      <c r="J145" s="115" t="s">
        <v>4475</v>
      </c>
      <c r="K145" s="117" t="s">
        <v>2850</v>
      </c>
      <c r="L145" s="117" t="s">
        <v>2850</v>
      </c>
      <c r="M145" s="115" t="s">
        <v>4388</v>
      </c>
      <c r="N145" s="115" t="s">
        <v>4294</v>
      </c>
      <c r="O145" s="115" t="s">
        <v>4389</v>
      </c>
      <c r="P145" s="115" t="s">
        <v>4390</v>
      </c>
      <c r="Q145" s="115" t="s">
        <v>4391</v>
      </c>
    </row>
    <row r="146" spans="1:17" ht="72" customHeight="1">
      <c r="A146" s="115" t="s">
        <v>34</v>
      </c>
      <c r="B146" s="115" t="s">
        <v>1106</v>
      </c>
      <c r="C146" s="115">
        <v>1</v>
      </c>
      <c r="D146" s="115" t="s">
        <v>4265</v>
      </c>
      <c r="E146" s="115">
        <v>1</v>
      </c>
      <c r="F146" s="115" t="s">
        <v>2842</v>
      </c>
      <c r="G146" s="115" t="s">
        <v>4324</v>
      </c>
      <c r="H146" s="115" t="s">
        <v>4481</v>
      </c>
      <c r="I146" s="115" t="s">
        <v>4482</v>
      </c>
      <c r="J146" s="115" t="s">
        <v>4483</v>
      </c>
      <c r="K146" s="117" t="s">
        <v>2850</v>
      </c>
      <c r="L146" s="117" t="s">
        <v>2850</v>
      </c>
      <c r="M146" s="115" t="s">
        <v>4484</v>
      </c>
      <c r="N146" s="115" t="s">
        <v>4273</v>
      </c>
      <c r="O146" s="115" t="s">
        <v>4485</v>
      </c>
      <c r="P146" s="115" t="s">
        <v>4275</v>
      </c>
      <c r="Q146" s="115" t="s">
        <v>4276</v>
      </c>
    </row>
    <row r="147" spans="1:17" ht="72" customHeight="1">
      <c r="A147" s="115" t="s">
        <v>34</v>
      </c>
      <c r="B147" s="115" t="s">
        <v>1106</v>
      </c>
      <c r="C147" s="115">
        <v>1</v>
      </c>
      <c r="D147" s="115" t="s">
        <v>4265</v>
      </c>
      <c r="E147" s="115">
        <v>2</v>
      </c>
      <c r="F147" s="115" t="s">
        <v>4277</v>
      </c>
      <c r="G147" s="115" t="s">
        <v>4324</v>
      </c>
      <c r="H147" s="115" t="s">
        <v>4481</v>
      </c>
      <c r="I147" s="115" t="s">
        <v>4482</v>
      </c>
      <c r="J147" s="115" t="s">
        <v>4483</v>
      </c>
      <c r="K147" s="117" t="s">
        <v>2850</v>
      </c>
      <c r="L147" s="117" t="s">
        <v>2850</v>
      </c>
      <c r="M147" s="115" t="s">
        <v>4373</v>
      </c>
      <c r="N147" s="115" t="s">
        <v>4279</v>
      </c>
      <c r="O147" s="115" t="s">
        <v>4374</v>
      </c>
      <c r="P147" s="115" t="s">
        <v>4375</v>
      </c>
      <c r="Q147" s="115" t="s">
        <v>4376</v>
      </c>
    </row>
    <row r="148" spans="1:17" ht="72" customHeight="1">
      <c r="A148" s="115" t="s">
        <v>34</v>
      </c>
      <c r="B148" s="115" t="s">
        <v>1106</v>
      </c>
      <c r="C148" s="115">
        <v>2</v>
      </c>
      <c r="D148" s="115" t="s">
        <v>4283</v>
      </c>
      <c r="E148" s="115">
        <v>3</v>
      </c>
      <c r="F148" s="115" t="s">
        <v>2842</v>
      </c>
      <c r="G148" s="115" t="s">
        <v>4324</v>
      </c>
      <c r="H148" s="115" t="s">
        <v>4481</v>
      </c>
      <c r="I148" s="115" t="s">
        <v>4482</v>
      </c>
      <c r="J148" s="115" t="s">
        <v>4483</v>
      </c>
      <c r="K148" s="117" t="s">
        <v>2850</v>
      </c>
      <c r="L148" s="117" t="s">
        <v>2850</v>
      </c>
      <c r="M148" s="115" t="s">
        <v>4486</v>
      </c>
      <c r="N148" s="115" t="s">
        <v>4273</v>
      </c>
      <c r="O148" s="115" t="s">
        <v>4487</v>
      </c>
      <c r="P148" s="115" t="s">
        <v>4275</v>
      </c>
      <c r="Q148" s="115" t="s">
        <v>4276</v>
      </c>
    </row>
    <row r="149" spans="1:17" ht="72" customHeight="1">
      <c r="A149" s="115" t="s">
        <v>34</v>
      </c>
      <c r="B149" s="115" t="s">
        <v>1106</v>
      </c>
      <c r="C149" s="115">
        <v>2</v>
      </c>
      <c r="D149" s="115" t="s">
        <v>4283</v>
      </c>
      <c r="E149" s="115">
        <v>4</v>
      </c>
      <c r="F149" s="115" t="s">
        <v>4277</v>
      </c>
      <c r="G149" s="115" t="s">
        <v>4324</v>
      </c>
      <c r="H149" s="115" t="s">
        <v>4481</v>
      </c>
      <c r="I149" s="115" t="s">
        <v>4482</v>
      </c>
      <c r="J149" s="115" t="s">
        <v>4483</v>
      </c>
      <c r="K149" s="117" t="s">
        <v>2850</v>
      </c>
      <c r="L149" s="117" t="s">
        <v>2850</v>
      </c>
      <c r="M149" s="115" t="s">
        <v>4405</v>
      </c>
      <c r="N149" s="115" t="s">
        <v>4279</v>
      </c>
      <c r="O149" s="115" t="s">
        <v>4380</v>
      </c>
      <c r="P149" s="115" t="s">
        <v>4301</v>
      </c>
      <c r="Q149" s="115" t="s">
        <v>4302</v>
      </c>
    </row>
    <row r="150" spans="1:17" ht="72" customHeight="1">
      <c r="A150" s="115" t="s">
        <v>34</v>
      </c>
      <c r="B150" s="115" t="s">
        <v>1106</v>
      </c>
      <c r="C150" s="115">
        <v>3</v>
      </c>
      <c r="D150" s="115" t="s">
        <v>4290</v>
      </c>
      <c r="E150" s="115">
        <v>5</v>
      </c>
      <c r="F150" s="115" t="s">
        <v>2842</v>
      </c>
      <c r="G150" s="115" t="s">
        <v>4324</v>
      </c>
      <c r="H150" s="115" t="s">
        <v>4481</v>
      </c>
      <c r="I150" s="115" t="s">
        <v>4482</v>
      </c>
      <c r="J150" s="115" t="s">
        <v>4483</v>
      </c>
      <c r="K150" s="117" t="s">
        <v>2850</v>
      </c>
      <c r="L150" s="117" t="s">
        <v>2850</v>
      </c>
      <c r="M150" s="115" t="s">
        <v>4488</v>
      </c>
      <c r="N150" s="115" t="s">
        <v>4273</v>
      </c>
      <c r="O150" s="115" t="s">
        <v>4489</v>
      </c>
      <c r="P150" s="115" t="s">
        <v>4275</v>
      </c>
      <c r="Q150" s="115" t="s">
        <v>4276</v>
      </c>
    </row>
    <row r="151" spans="1:17" ht="72" customHeight="1">
      <c r="A151" s="115" t="s">
        <v>34</v>
      </c>
      <c r="B151" s="115" t="s">
        <v>1106</v>
      </c>
      <c r="C151" s="115">
        <v>3</v>
      </c>
      <c r="D151" s="115" t="s">
        <v>4290</v>
      </c>
      <c r="E151" s="115">
        <v>6</v>
      </c>
      <c r="F151" s="115" t="s">
        <v>4277</v>
      </c>
      <c r="G151" s="115" t="s">
        <v>4324</v>
      </c>
      <c r="H151" s="115" t="s">
        <v>4481</v>
      </c>
      <c r="I151" s="115" t="s">
        <v>4482</v>
      </c>
      <c r="J151" s="115" t="s">
        <v>4483</v>
      </c>
      <c r="K151" s="117" t="s">
        <v>2850</v>
      </c>
      <c r="L151" s="117" t="s">
        <v>2850</v>
      </c>
      <c r="M151" s="115" t="s">
        <v>4384</v>
      </c>
      <c r="N151" s="115" t="s">
        <v>4279</v>
      </c>
      <c r="O151" s="116" t="s">
        <v>4385</v>
      </c>
      <c r="P151" s="115" t="s">
        <v>4301</v>
      </c>
      <c r="Q151" s="115" t="s">
        <v>4302</v>
      </c>
    </row>
    <row r="152" spans="1:17" ht="72" customHeight="1">
      <c r="A152" s="115" t="s">
        <v>34</v>
      </c>
      <c r="B152" s="115" t="s">
        <v>1106</v>
      </c>
      <c r="C152" s="115">
        <v>4</v>
      </c>
      <c r="D152" s="115" t="s">
        <v>4296</v>
      </c>
      <c r="E152" s="115">
        <v>7</v>
      </c>
      <c r="F152" s="115" t="s">
        <v>2842</v>
      </c>
      <c r="G152" s="115" t="s">
        <v>4324</v>
      </c>
      <c r="H152" s="115" t="s">
        <v>4481</v>
      </c>
      <c r="I152" s="115" t="s">
        <v>4482</v>
      </c>
      <c r="J152" s="115" t="s">
        <v>4483</v>
      </c>
      <c r="K152" s="117" t="s">
        <v>2850</v>
      </c>
      <c r="L152" s="117" t="s">
        <v>2850</v>
      </c>
      <c r="M152" s="115" t="s">
        <v>4470</v>
      </c>
      <c r="N152" s="115" t="s">
        <v>4273</v>
      </c>
      <c r="O152" s="115" t="s">
        <v>4479</v>
      </c>
      <c r="P152" s="115" t="s">
        <v>4275</v>
      </c>
      <c r="Q152" s="115" t="s">
        <v>4276</v>
      </c>
    </row>
    <row r="153" spans="1:17" ht="72" customHeight="1">
      <c r="A153" s="115" t="s">
        <v>34</v>
      </c>
      <c r="B153" s="115" t="s">
        <v>1106</v>
      </c>
      <c r="C153" s="115">
        <v>4</v>
      </c>
      <c r="D153" s="115" t="s">
        <v>4296</v>
      </c>
      <c r="E153" s="115">
        <v>8</v>
      </c>
      <c r="F153" s="115" t="s">
        <v>4277</v>
      </c>
      <c r="G153" s="115" t="s">
        <v>4324</v>
      </c>
      <c r="H153" s="115" t="s">
        <v>4481</v>
      </c>
      <c r="I153" s="115" t="s">
        <v>4482</v>
      </c>
      <c r="J153" s="115" t="s">
        <v>4483</v>
      </c>
      <c r="K153" s="117" t="s">
        <v>2850</v>
      </c>
      <c r="L153" s="117" t="s">
        <v>2850</v>
      </c>
      <c r="M153" s="115" t="s">
        <v>4388</v>
      </c>
      <c r="N153" s="115" t="s">
        <v>4294</v>
      </c>
      <c r="O153" s="115" t="s">
        <v>4408</v>
      </c>
      <c r="P153" s="115" t="s">
        <v>4390</v>
      </c>
      <c r="Q153" s="115" t="s">
        <v>4391</v>
      </c>
    </row>
    <row r="154" spans="1:17" ht="72" customHeight="1">
      <c r="A154" s="115" t="s">
        <v>34</v>
      </c>
      <c r="B154" s="115" t="s">
        <v>1106</v>
      </c>
      <c r="C154" s="115">
        <v>5</v>
      </c>
      <c r="D154" s="115" t="s">
        <v>4473</v>
      </c>
      <c r="E154" s="115">
        <v>9</v>
      </c>
      <c r="F154" s="115" t="s">
        <v>2842</v>
      </c>
      <c r="G154" s="115" t="s">
        <v>4347</v>
      </c>
      <c r="H154" s="115" t="s">
        <v>4481</v>
      </c>
      <c r="I154" s="115" t="s">
        <v>4490</v>
      </c>
      <c r="J154" s="115" t="s">
        <v>4491</v>
      </c>
      <c r="K154" s="117" t="s">
        <v>2850</v>
      </c>
      <c r="L154" s="117" t="s">
        <v>2850</v>
      </c>
      <c r="M154" s="115" t="s">
        <v>4492</v>
      </c>
      <c r="N154" s="115" t="s">
        <v>4273</v>
      </c>
      <c r="O154" s="115" t="s">
        <v>4485</v>
      </c>
      <c r="P154" s="115" t="s">
        <v>4275</v>
      </c>
      <c r="Q154" s="115" t="s">
        <v>4276</v>
      </c>
    </row>
    <row r="155" spans="1:17" ht="72" customHeight="1">
      <c r="A155" s="115" t="s">
        <v>34</v>
      </c>
      <c r="B155" s="115" t="s">
        <v>1106</v>
      </c>
      <c r="C155" s="115">
        <v>5</v>
      </c>
      <c r="D155" s="115" t="s">
        <v>4473</v>
      </c>
      <c r="E155" s="115">
        <v>10</v>
      </c>
      <c r="F155" s="115" t="s">
        <v>4277</v>
      </c>
      <c r="G155" s="115" t="s">
        <v>4347</v>
      </c>
      <c r="H155" s="115" t="s">
        <v>4481</v>
      </c>
      <c r="I155" s="115" t="s">
        <v>4490</v>
      </c>
      <c r="J155" s="115" t="s">
        <v>4491</v>
      </c>
      <c r="K155" s="117" t="s">
        <v>2850</v>
      </c>
      <c r="L155" s="117" t="s">
        <v>2850</v>
      </c>
      <c r="M155" s="115" t="s">
        <v>4373</v>
      </c>
      <c r="N155" s="115" t="s">
        <v>4279</v>
      </c>
      <c r="O155" s="115" t="s">
        <v>4374</v>
      </c>
      <c r="P155" s="115" t="s">
        <v>4375</v>
      </c>
      <c r="Q155" s="115" t="s">
        <v>4376</v>
      </c>
    </row>
    <row r="156" spans="1:17" ht="72" customHeight="1">
      <c r="A156" s="115" t="s">
        <v>34</v>
      </c>
      <c r="B156" s="115" t="s">
        <v>1106</v>
      </c>
      <c r="C156" s="115">
        <v>6</v>
      </c>
      <c r="D156" s="115" t="s">
        <v>4283</v>
      </c>
      <c r="E156" s="115">
        <v>11</v>
      </c>
      <c r="F156" s="115" t="s">
        <v>2842</v>
      </c>
      <c r="G156" s="115" t="s">
        <v>4347</v>
      </c>
      <c r="H156" s="115" t="s">
        <v>4481</v>
      </c>
      <c r="I156" s="115" t="s">
        <v>4490</v>
      </c>
      <c r="J156" s="115" t="s">
        <v>4491</v>
      </c>
      <c r="K156" s="117" t="s">
        <v>2850</v>
      </c>
      <c r="L156" s="117" t="s">
        <v>2850</v>
      </c>
      <c r="M156" s="115" t="s">
        <v>4486</v>
      </c>
      <c r="N156" s="115" t="s">
        <v>4273</v>
      </c>
      <c r="O156" s="115" t="s">
        <v>4487</v>
      </c>
      <c r="P156" s="115" t="s">
        <v>4275</v>
      </c>
      <c r="Q156" s="115" t="s">
        <v>4276</v>
      </c>
    </row>
    <row r="157" spans="1:17" ht="72" customHeight="1">
      <c r="A157" s="115" t="s">
        <v>34</v>
      </c>
      <c r="B157" s="115" t="s">
        <v>1106</v>
      </c>
      <c r="C157" s="115">
        <v>6</v>
      </c>
      <c r="D157" s="115" t="s">
        <v>4283</v>
      </c>
      <c r="E157" s="115">
        <v>12</v>
      </c>
      <c r="F157" s="115" t="s">
        <v>4277</v>
      </c>
      <c r="G157" s="115" t="s">
        <v>4347</v>
      </c>
      <c r="H157" s="115" t="s">
        <v>4481</v>
      </c>
      <c r="I157" s="115" t="s">
        <v>4490</v>
      </c>
      <c r="J157" s="115" t="s">
        <v>4491</v>
      </c>
      <c r="K157" s="117" t="s">
        <v>2850</v>
      </c>
      <c r="L157" s="117" t="s">
        <v>2850</v>
      </c>
      <c r="M157" s="115" t="s">
        <v>4405</v>
      </c>
      <c r="N157" s="115" t="s">
        <v>4279</v>
      </c>
      <c r="O157" s="115" t="s">
        <v>4380</v>
      </c>
      <c r="P157" s="115" t="s">
        <v>4301</v>
      </c>
      <c r="Q157" s="115" t="s">
        <v>4302</v>
      </c>
    </row>
    <row r="158" spans="1:17" ht="72" customHeight="1">
      <c r="A158" s="115" t="s">
        <v>34</v>
      </c>
      <c r="B158" s="115" t="s">
        <v>1106</v>
      </c>
      <c r="C158" s="115">
        <v>7</v>
      </c>
      <c r="D158" s="115" t="s">
        <v>4314</v>
      </c>
      <c r="E158" s="115">
        <v>13</v>
      </c>
      <c r="F158" s="115" t="s">
        <v>2842</v>
      </c>
      <c r="G158" s="115" t="s">
        <v>4347</v>
      </c>
      <c r="H158" s="115" t="s">
        <v>4481</v>
      </c>
      <c r="I158" s="115" t="s">
        <v>4490</v>
      </c>
      <c r="J158" s="115" t="s">
        <v>4491</v>
      </c>
      <c r="K158" s="117" t="s">
        <v>2850</v>
      </c>
      <c r="L158" s="117" t="s">
        <v>2850</v>
      </c>
      <c r="M158" s="115" t="s">
        <v>4488</v>
      </c>
      <c r="N158" s="115" t="s">
        <v>4273</v>
      </c>
      <c r="O158" s="115" t="s">
        <v>4489</v>
      </c>
      <c r="P158" s="115" t="s">
        <v>4275</v>
      </c>
      <c r="Q158" s="115" t="s">
        <v>4276</v>
      </c>
    </row>
    <row r="159" spans="1:17" ht="72" customHeight="1">
      <c r="A159" s="115" t="s">
        <v>34</v>
      </c>
      <c r="B159" s="115" t="s">
        <v>1106</v>
      </c>
      <c r="C159" s="115">
        <v>7</v>
      </c>
      <c r="D159" s="115" t="s">
        <v>4314</v>
      </c>
      <c r="E159" s="115">
        <v>14</v>
      </c>
      <c r="F159" s="115" t="s">
        <v>4277</v>
      </c>
      <c r="G159" s="115" t="s">
        <v>4347</v>
      </c>
      <c r="H159" s="115" t="s">
        <v>4481</v>
      </c>
      <c r="I159" s="115" t="s">
        <v>4490</v>
      </c>
      <c r="J159" s="115" t="s">
        <v>4491</v>
      </c>
      <c r="K159" s="117" t="s">
        <v>2850</v>
      </c>
      <c r="L159" s="117" t="s">
        <v>2850</v>
      </c>
      <c r="M159" s="115" t="s">
        <v>4384</v>
      </c>
      <c r="N159" s="115" t="s">
        <v>4279</v>
      </c>
      <c r="O159" s="116" t="s">
        <v>4385</v>
      </c>
      <c r="P159" s="115" t="s">
        <v>4301</v>
      </c>
      <c r="Q159" s="115" t="s">
        <v>4302</v>
      </c>
    </row>
    <row r="160" spans="1:17" ht="72" customHeight="1">
      <c r="A160" s="115" t="s">
        <v>34</v>
      </c>
      <c r="B160" s="115" t="s">
        <v>1106</v>
      </c>
      <c r="C160" s="115">
        <v>8</v>
      </c>
      <c r="D160" s="115" t="s">
        <v>4319</v>
      </c>
      <c r="E160" s="115">
        <v>15</v>
      </c>
      <c r="F160" s="115" t="s">
        <v>2842</v>
      </c>
      <c r="G160" s="115" t="s">
        <v>4347</v>
      </c>
      <c r="H160" s="115" t="s">
        <v>4481</v>
      </c>
      <c r="I160" s="115" t="s">
        <v>4490</v>
      </c>
      <c r="J160" s="115" t="s">
        <v>4491</v>
      </c>
      <c r="K160" s="117" t="s">
        <v>2850</v>
      </c>
      <c r="L160" s="117" t="s">
        <v>2850</v>
      </c>
      <c r="M160" s="115" t="s">
        <v>4470</v>
      </c>
      <c r="N160" s="115" t="s">
        <v>4273</v>
      </c>
      <c r="O160" s="115" t="s">
        <v>4479</v>
      </c>
      <c r="P160" s="115" t="s">
        <v>4275</v>
      </c>
      <c r="Q160" s="115" t="s">
        <v>4276</v>
      </c>
    </row>
    <row r="161" spans="1:17" ht="72" customHeight="1">
      <c r="A161" s="115" t="s">
        <v>34</v>
      </c>
      <c r="B161" s="115" t="s">
        <v>1106</v>
      </c>
      <c r="C161" s="115">
        <v>8</v>
      </c>
      <c r="D161" s="115" t="s">
        <v>4319</v>
      </c>
      <c r="E161" s="115">
        <v>16</v>
      </c>
      <c r="F161" s="115" t="s">
        <v>4277</v>
      </c>
      <c r="G161" s="115" t="s">
        <v>4347</v>
      </c>
      <c r="H161" s="115" t="s">
        <v>4481</v>
      </c>
      <c r="I161" s="115" t="s">
        <v>4490</v>
      </c>
      <c r="J161" s="115" t="s">
        <v>4491</v>
      </c>
      <c r="K161" s="117" t="s">
        <v>2850</v>
      </c>
      <c r="L161" s="117" t="s">
        <v>2850</v>
      </c>
      <c r="M161" s="115" t="s">
        <v>4388</v>
      </c>
      <c r="N161" s="115" t="s">
        <v>4294</v>
      </c>
      <c r="O161" s="115" t="s">
        <v>4408</v>
      </c>
      <c r="P161" s="115" t="s">
        <v>4390</v>
      </c>
      <c r="Q161" s="115" t="s">
        <v>4391</v>
      </c>
    </row>
    <row r="162" spans="1:17" ht="72" customHeight="1">
      <c r="A162" s="115" t="s">
        <v>34</v>
      </c>
      <c r="B162" s="115" t="s">
        <v>542</v>
      </c>
      <c r="C162" s="115">
        <v>1</v>
      </c>
      <c r="D162" s="115" t="s">
        <v>4265</v>
      </c>
      <c r="E162" s="115">
        <v>1</v>
      </c>
      <c r="F162" s="115" t="s">
        <v>2842</v>
      </c>
      <c r="G162" s="115" t="s">
        <v>4365</v>
      </c>
      <c r="H162" s="115" t="s">
        <v>4481</v>
      </c>
      <c r="I162" s="115" t="s">
        <v>4493</v>
      </c>
      <c r="J162" s="115" t="s">
        <v>4494</v>
      </c>
      <c r="K162" s="117" t="s">
        <v>2850</v>
      </c>
      <c r="L162" s="117" t="s">
        <v>2850</v>
      </c>
      <c r="M162" s="115" t="s">
        <v>4484</v>
      </c>
      <c r="N162" s="115" t="s">
        <v>4273</v>
      </c>
      <c r="O162" s="115" t="s">
        <v>4485</v>
      </c>
      <c r="P162" s="115" t="s">
        <v>4275</v>
      </c>
      <c r="Q162" s="115" t="s">
        <v>4276</v>
      </c>
    </row>
    <row r="163" spans="1:17" ht="72" customHeight="1">
      <c r="A163" s="115" t="s">
        <v>34</v>
      </c>
      <c r="B163" s="115" t="s">
        <v>542</v>
      </c>
      <c r="C163" s="115">
        <v>1</v>
      </c>
      <c r="D163" s="115" t="s">
        <v>4265</v>
      </c>
      <c r="E163" s="115">
        <v>2</v>
      </c>
      <c r="F163" s="115" t="s">
        <v>4277</v>
      </c>
      <c r="G163" s="115" t="s">
        <v>4365</v>
      </c>
      <c r="H163" s="115" t="s">
        <v>4481</v>
      </c>
      <c r="I163" s="115" t="s">
        <v>4493</v>
      </c>
      <c r="J163" s="115" t="s">
        <v>4494</v>
      </c>
      <c r="K163" s="117" t="s">
        <v>2850</v>
      </c>
      <c r="L163" s="117" t="s">
        <v>2850</v>
      </c>
      <c r="M163" s="115" t="s">
        <v>4373</v>
      </c>
      <c r="N163" s="115" t="s">
        <v>4279</v>
      </c>
      <c r="O163" s="115" t="s">
        <v>4374</v>
      </c>
      <c r="P163" s="115" t="s">
        <v>4375</v>
      </c>
      <c r="Q163" s="115" t="s">
        <v>4376</v>
      </c>
    </row>
    <row r="164" spans="1:17" ht="72" customHeight="1">
      <c r="A164" s="115" t="s">
        <v>34</v>
      </c>
      <c r="B164" s="115" t="s">
        <v>542</v>
      </c>
      <c r="C164" s="115">
        <v>2</v>
      </c>
      <c r="D164" s="115" t="s">
        <v>4477</v>
      </c>
      <c r="E164" s="115">
        <v>3</v>
      </c>
      <c r="F164" s="115" t="s">
        <v>2842</v>
      </c>
      <c r="G164" s="115" t="s">
        <v>4365</v>
      </c>
      <c r="H164" s="115" t="s">
        <v>4481</v>
      </c>
      <c r="I164" s="115" t="s">
        <v>4493</v>
      </c>
      <c r="J164" s="115" t="s">
        <v>4494</v>
      </c>
      <c r="K164" s="117" t="s">
        <v>2850</v>
      </c>
      <c r="L164" s="117" t="s">
        <v>2850</v>
      </c>
      <c r="M164" s="115" t="s">
        <v>4486</v>
      </c>
      <c r="N164" s="115" t="s">
        <v>4273</v>
      </c>
      <c r="O164" s="115" t="s">
        <v>4487</v>
      </c>
      <c r="P164" s="115" t="s">
        <v>4275</v>
      </c>
      <c r="Q164" s="115" t="s">
        <v>4276</v>
      </c>
    </row>
    <row r="165" spans="1:17" ht="72" customHeight="1">
      <c r="A165" s="115" t="s">
        <v>34</v>
      </c>
      <c r="B165" s="115" t="s">
        <v>542</v>
      </c>
      <c r="C165" s="115">
        <v>2</v>
      </c>
      <c r="D165" s="115" t="s">
        <v>4477</v>
      </c>
      <c r="E165" s="115">
        <v>4</v>
      </c>
      <c r="F165" s="115" t="s">
        <v>4277</v>
      </c>
      <c r="G165" s="115" t="s">
        <v>4365</v>
      </c>
      <c r="H165" s="115" t="s">
        <v>4481</v>
      </c>
      <c r="I165" s="115" t="s">
        <v>4493</v>
      </c>
      <c r="J165" s="115" t="s">
        <v>4494</v>
      </c>
      <c r="K165" s="117" t="s">
        <v>2850</v>
      </c>
      <c r="L165" s="117" t="s">
        <v>2850</v>
      </c>
      <c r="M165" s="115" t="s">
        <v>4405</v>
      </c>
      <c r="N165" s="115" t="s">
        <v>4279</v>
      </c>
      <c r="O165" s="115" t="s">
        <v>4380</v>
      </c>
      <c r="P165" s="115" t="s">
        <v>4301</v>
      </c>
      <c r="Q165" s="115" t="s">
        <v>4302</v>
      </c>
    </row>
    <row r="166" spans="1:17" ht="72" customHeight="1">
      <c r="A166" s="115" t="s">
        <v>34</v>
      </c>
      <c r="B166" s="115" t="s">
        <v>542</v>
      </c>
      <c r="C166" s="115">
        <v>3</v>
      </c>
      <c r="D166" s="115" t="s">
        <v>4467</v>
      </c>
      <c r="E166" s="115">
        <v>5</v>
      </c>
      <c r="F166" s="115" t="s">
        <v>2842</v>
      </c>
      <c r="G166" s="115" t="s">
        <v>4365</v>
      </c>
      <c r="H166" s="115" t="s">
        <v>4481</v>
      </c>
      <c r="I166" s="115" t="s">
        <v>4493</v>
      </c>
      <c r="J166" s="115" t="s">
        <v>4494</v>
      </c>
      <c r="K166" s="117" t="s">
        <v>2850</v>
      </c>
      <c r="L166" s="117" t="s">
        <v>2850</v>
      </c>
      <c r="M166" s="115" t="s">
        <v>4488</v>
      </c>
      <c r="N166" s="115" t="s">
        <v>4273</v>
      </c>
      <c r="O166" s="115" t="s">
        <v>4489</v>
      </c>
      <c r="P166" s="115" t="s">
        <v>4275</v>
      </c>
      <c r="Q166" s="115" t="s">
        <v>4276</v>
      </c>
    </row>
    <row r="167" spans="1:17" ht="72" customHeight="1">
      <c r="A167" s="115" t="s">
        <v>34</v>
      </c>
      <c r="B167" s="115" t="s">
        <v>542</v>
      </c>
      <c r="C167" s="115">
        <v>3</v>
      </c>
      <c r="D167" s="115" t="s">
        <v>4467</v>
      </c>
      <c r="E167" s="115">
        <v>6</v>
      </c>
      <c r="F167" s="115" t="s">
        <v>4277</v>
      </c>
      <c r="G167" s="115" t="s">
        <v>4365</v>
      </c>
      <c r="H167" s="115" t="s">
        <v>4481</v>
      </c>
      <c r="I167" s="115" t="s">
        <v>4493</v>
      </c>
      <c r="J167" s="115" t="s">
        <v>4494</v>
      </c>
      <c r="K167" s="117" t="s">
        <v>2850</v>
      </c>
      <c r="L167" s="117" t="s">
        <v>2850</v>
      </c>
      <c r="M167" s="115" t="s">
        <v>4384</v>
      </c>
      <c r="N167" s="115" t="s">
        <v>4279</v>
      </c>
      <c r="O167" s="116" t="s">
        <v>4385</v>
      </c>
      <c r="P167" s="115" t="s">
        <v>4301</v>
      </c>
      <c r="Q167" s="115" t="s">
        <v>4302</v>
      </c>
    </row>
    <row r="168" spans="1:17" ht="72" customHeight="1">
      <c r="A168" s="115" t="s">
        <v>34</v>
      </c>
      <c r="B168" s="115" t="s">
        <v>542</v>
      </c>
      <c r="C168" s="115">
        <v>4</v>
      </c>
      <c r="D168" s="115" t="s">
        <v>4495</v>
      </c>
      <c r="E168" s="115">
        <v>7</v>
      </c>
      <c r="F168" s="115" t="s">
        <v>2842</v>
      </c>
      <c r="G168" s="115" t="s">
        <v>4365</v>
      </c>
      <c r="H168" s="115" t="s">
        <v>4481</v>
      </c>
      <c r="I168" s="115" t="s">
        <v>4493</v>
      </c>
      <c r="J168" s="115" t="s">
        <v>4494</v>
      </c>
      <c r="K168" s="117" t="s">
        <v>2850</v>
      </c>
      <c r="L168" s="117" t="s">
        <v>2850</v>
      </c>
      <c r="M168" s="115" t="s">
        <v>4470</v>
      </c>
      <c r="N168" s="115" t="s">
        <v>4273</v>
      </c>
      <c r="O168" s="115" t="s">
        <v>4479</v>
      </c>
      <c r="P168" s="115" t="s">
        <v>4275</v>
      </c>
      <c r="Q168" s="115" t="s">
        <v>4276</v>
      </c>
    </row>
    <row r="169" spans="1:17" ht="72" customHeight="1">
      <c r="A169" s="115" t="s">
        <v>34</v>
      </c>
      <c r="B169" s="115" t="s">
        <v>542</v>
      </c>
      <c r="C169" s="115">
        <v>4</v>
      </c>
      <c r="D169" s="115" t="s">
        <v>4495</v>
      </c>
      <c r="E169" s="115">
        <v>8</v>
      </c>
      <c r="F169" s="115" t="s">
        <v>4277</v>
      </c>
      <c r="G169" s="115" t="s">
        <v>4365</v>
      </c>
      <c r="H169" s="115" t="s">
        <v>4481</v>
      </c>
      <c r="I169" s="115" t="s">
        <v>4493</v>
      </c>
      <c r="J169" s="115" t="s">
        <v>4494</v>
      </c>
      <c r="K169" s="117" t="s">
        <v>2850</v>
      </c>
      <c r="L169" s="117" t="s">
        <v>2850</v>
      </c>
      <c r="M169" s="115" t="s">
        <v>4388</v>
      </c>
      <c r="N169" s="115" t="s">
        <v>4294</v>
      </c>
      <c r="O169" s="115" t="s">
        <v>4408</v>
      </c>
      <c r="P169" s="115" t="s">
        <v>4390</v>
      </c>
      <c r="Q169" s="115" t="s">
        <v>4391</v>
      </c>
    </row>
    <row r="170" spans="1:17" ht="72" customHeight="1">
      <c r="A170" s="115" t="s">
        <v>34</v>
      </c>
      <c r="B170" s="115" t="s">
        <v>542</v>
      </c>
      <c r="C170" s="115">
        <v>5</v>
      </c>
      <c r="D170" s="115" t="s">
        <v>4473</v>
      </c>
      <c r="E170" s="115">
        <v>9</v>
      </c>
      <c r="F170" s="115" t="s">
        <v>2842</v>
      </c>
      <c r="G170" s="115" t="s">
        <v>4393</v>
      </c>
      <c r="H170" s="115" t="s">
        <v>4463</v>
      </c>
      <c r="I170" s="115" t="s">
        <v>4496</v>
      </c>
      <c r="J170" s="115" t="s">
        <v>4497</v>
      </c>
      <c r="K170" s="117" t="s">
        <v>2850</v>
      </c>
      <c r="L170" s="117" t="s">
        <v>2850</v>
      </c>
      <c r="M170" s="115" t="s">
        <v>4371</v>
      </c>
      <c r="N170" s="115" t="s">
        <v>4273</v>
      </c>
      <c r="O170" s="115" t="s">
        <v>4476</v>
      </c>
      <c r="P170" s="115" t="s">
        <v>4275</v>
      </c>
      <c r="Q170" s="115" t="s">
        <v>4276</v>
      </c>
    </row>
    <row r="171" spans="1:17" ht="72" customHeight="1">
      <c r="A171" s="115" t="s">
        <v>34</v>
      </c>
      <c r="B171" s="115" t="s">
        <v>542</v>
      </c>
      <c r="C171" s="115">
        <v>5</v>
      </c>
      <c r="D171" s="115" t="s">
        <v>4473</v>
      </c>
      <c r="E171" s="115">
        <v>10</v>
      </c>
      <c r="F171" s="115" t="s">
        <v>4277</v>
      </c>
      <c r="G171" s="115" t="s">
        <v>4393</v>
      </c>
      <c r="H171" s="115" t="s">
        <v>4463</v>
      </c>
      <c r="I171" s="115" t="s">
        <v>4496</v>
      </c>
      <c r="J171" s="115" t="s">
        <v>4497</v>
      </c>
      <c r="K171" s="117" t="s">
        <v>2850</v>
      </c>
      <c r="L171" s="117" t="s">
        <v>2850</v>
      </c>
      <c r="M171" s="115" t="s">
        <v>4373</v>
      </c>
      <c r="N171" s="115" t="s">
        <v>4279</v>
      </c>
      <c r="O171" s="115" t="s">
        <v>4374</v>
      </c>
      <c r="P171" s="115" t="s">
        <v>4375</v>
      </c>
      <c r="Q171" s="115" t="s">
        <v>4376</v>
      </c>
    </row>
    <row r="172" spans="1:17" ht="72" customHeight="1">
      <c r="A172" s="115" t="s">
        <v>34</v>
      </c>
      <c r="B172" s="115" t="s">
        <v>542</v>
      </c>
      <c r="C172" s="115">
        <v>6</v>
      </c>
      <c r="D172" s="115" t="s">
        <v>4477</v>
      </c>
      <c r="E172" s="115">
        <v>11</v>
      </c>
      <c r="F172" s="115" t="s">
        <v>2842</v>
      </c>
      <c r="G172" s="115" t="s">
        <v>4393</v>
      </c>
      <c r="H172" s="115" t="s">
        <v>4463</v>
      </c>
      <c r="I172" s="115" t="s">
        <v>4496</v>
      </c>
      <c r="J172" s="115" t="s">
        <v>4497</v>
      </c>
      <c r="K172" s="117" t="s">
        <v>2850</v>
      </c>
      <c r="L172" s="117" t="s">
        <v>2850</v>
      </c>
      <c r="M172" s="115" t="s">
        <v>4377</v>
      </c>
      <c r="N172" s="115" t="s">
        <v>4273</v>
      </c>
      <c r="O172" s="115" t="s">
        <v>4466</v>
      </c>
      <c r="P172" s="115" t="s">
        <v>4275</v>
      </c>
      <c r="Q172" s="115" t="s">
        <v>4276</v>
      </c>
    </row>
    <row r="173" spans="1:17" ht="72" customHeight="1">
      <c r="A173" s="115" t="s">
        <v>34</v>
      </c>
      <c r="B173" s="115" t="s">
        <v>542</v>
      </c>
      <c r="C173" s="115">
        <v>6</v>
      </c>
      <c r="D173" s="115" t="s">
        <v>4477</v>
      </c>
      <c r="E173" s="115">
        <v>12</v>
      </c>
      <c r="F173" s="115" t="s">
        <v>4277</v>
      </c>
      <c r="G173" s="115" t="s">
        <v>4393</v>
      </c>
      <c r="H173" s="115" t="s">
        <v>4463</v>
      </c>
      <c r="I173" s="115" t="s">
        <v>4496</v>
      </c>
      <c r="J173" s="115" t="s">
        <v>4497</v>
      </c>
      <c r="K173" s="117" t="s">
        <v>2850</v>
      </c>
      <c r="L173" s="117" t="s">
        <v>2850</v>
      </c>
      <c r="M173" s="115" t="s">
        <v>4379</v>
      </c>
      <c r="N173" s="115" t="s">
        <v>4279</v>
      </c>
      <c r="O173" s="115" t="s">
        <v>4380</v>
      </c>
      <c r="P173" s="115" t="s">
        <v>4301</v>
      </c>
      <c r="Q173" s="115" t="s">
        <v>4302</v>
      </c>
    </row>
    <row r="174" spans="1:17" ht="72" customHeight="1">
      <c r="A174" s="115" t="s">
        <v>34</v>
      </c>
      <c r="B174" s="115" t="s">
        <v>542</v>
      </c>
      <c r="C174" s="115">
        <v>7</v>
      </c>
      <c r="D174" s="115" t="s">
        <v>4467</v>
      </c>
      <c r="E174" s="115">
        <v>13</v>
      </c>
      <c r="F174" s="115" t="s">
        <v>2842</v>
      </c>
      <c r="G174" s="115" t="s">
        <v>4393</v>
      </c>
      <c r="H174" s="115" t="s">
        <v>4463</v>
      </c>
      <c r="I174" s="115" t="s">
        <v>4496</v>
      </c>
      <c r="J174" s="115" t="s">
        <v>4497</v>
      </c>
      <c r="K174" s="117" t="s">
        <v>2850</v>
      </c>
      <c r="L174" s="117" t="s">
        <v>2850</v>
      </c>
      <c r="M174" s="115" t="s">
        <v>4468</v>
      </c>
      <c r="N174" s="115" t="s">
        <v>4273</v>
      </c>
      <c r="O174" s="115" t="s">
        <v>4478</v>
      </c>
      <c r="P174" s="115" t="s">
        <v>4275</v>
      </c>
      <c r="Q174" s="115" t="s">
        <v>4276</v>
      </c>
    </row>
    <row r="175" spans="1:17" ht="72" customHeight="1">
      <c r="A175" s="115" t="s">
        <v>34</v>
      </c>
      <c r="B175" s="115" t="s">
        <v>542</v>
      </c>
      <c r="C175" s="115">
        <v>7</v>
      </c>
      <c r="D175" s="115" t="s">
        <v>4467</v>
      </c>
      <c r="E175" s="115">
        <v>14</v>
      </c>
      <c r="F175" s="115" t="s">
        <v>4277</v>
      </c>
      <c r="G175" s="115" t="s">
        <v>4393</v>
      </c>
      <c r="H175" s="115" t="s">
        <v>4463</v>
      </c>
      <c r="I175" s="115" t="s">
        <v>4496</v>
      </c>
      <c r="J175" s="115" t="s">
        <v>4497</v>
      </c>
      <c r="K175" s="117" t="s">
        <v>2850</v>
      </c>
      <c r="L175" s="117" t="s">
        <v>2850</v>
      </c>
      <c r="M175" s="115" t="s">
        <v>4384</v>
      </c>
      <c r="N175" s="115" t="s">
        <v>4279</v>
      </c>
      <c r="O175" s="116" t="s">
        <v>4385</v>
      </c>
      <c r="P175" s="115" t="s">
        <v>4301</v>
      </c>
      <c r="Q175" s="115" t="s">
        <v>4302</v>
      </c>
    </row>
    <row r="176" spans="1:17" ht="72" customHeight="1">
      <c r="A176" s="115" t="s">
        <v>34</v>
      </c>
      <c r="B176" s="115" t="s">
        <v>542</v>
      </c>
      <c r="C176" s="115">
        <v>8</v>
      </c>
      <c r="D176" s="115" t="s">
        <v>4480</v>
      </c>
      <c r="E176" s="115">
        <v>15</v>
      </c>
      <c r="F176" s="115" t="s">
        <v>2842</v>
      </c>
      <c r="G176" s="115" t="s">
        <v>4393</v>
      </c>
      <c r="H176" s="115" t="s">
        <v>4463</v>
      </c>
      <c r="I176" s="115" t="s">
        <v>4496</v>
      </c>
      <c r="J176" s="115" t="s">
        <v>4497</v>
      </c>
      <c r="K176" s="117" t="s">
        <v>2850</v>
      </c>
      <c r="L176" s="117" t="s">
        <v>2850</v>
      </c>
      <c r="M176" s="115" t="s">
        <v>4470</v>
      </c>
      <c r="N176" s="115" t="s">
        <v>4273</v>
      </c>
      <c r="O176" s="115" t="s">
        <v>4479</v>
      </c>
      <c r="P176" s="115" t="s">
        <v>4275</v>
      </c>
      <c r="Q176" s="115" t="s">
        <v>4276</v>
      </c>
    </row>
    <row r="177" spans="1:17" ht="72" customHeight="1">
      <c r="A177" s="115" t="s">
        <v>34</v>
      </c>
      <c r="B177" s="115" t="s">
        <v>542</v>
      </c>
      <c r="C177" s="115">
        <v>8</v>
      </c>
      <c r="D177" s="115" t="s">
        <v>4480</v>
      </c>
      <c r="E177" s="115">
        <v>16</v>
      </c>
      <c r="F177" s="115" t="s">
        <v>4277</v>
      </c>
      <c r="G177" s="115" t="s">
        <v>4393</v>
      </c>
      <c r="H177" s="115" t="s">
        <v>4463</v>
      </c>
      <c r="I177" s="115" t="s">
        <v>4496</v>
      </c>
      <c r="J177" s="115" t="s">
        <v>4497</v>
      </c>
      <c r="K177" s="117" t="s">
        <v>2850</v>
      </c>
      <c r="L177" s="117" t="s">
        <v>2850</v>
      </c>
      <c r="M177" s="115" t="s">
        <v>4388</v>
      </c>
      <c r="N177" s="115" t="s">
        <v>4294</v>
      </c>
      <c r="O177" s="115" t="s">
        <v>4389</v>
      </c>
      <c r="P177" s="115" t="s">
        <v>4390</v>
      </c>
      <c r="Q177" s="115" t="s">
        <v>4391</v>
      </c>
    </row>
    <row r="178" spans="1:17" ht="72" customHeight="1">
      <c r="A178" s="115" t="s">
        <v>34</v>
      </c>
      <c r="B178" s="115" t="s">
        <v>1171</v>
      </c>
      <c r="C178" s="115">
        <v>1</v>
      </c>
      <c r="D178" s="115" t="s">
        <v>4265</v>
      </c>
      <c r="E178" s="115">
        <v>1</v>
      </c>
      <c r="F178" s="115" t="s">
        <v>2842</v>
      </c>
      <c r="G178" s="115" t="s">
        <v>4400</v>
      </c>
      <c r="H178" s="115" t="s">
        <v>4463</v>
      </c>
      <c r="I178" s="115" t="s">
        <v>4498</v>
      </c>
      <c r="J178" s="115" t="s">
        <v>4499</v>
      </c>
      <c r="K178" s="117" t="s">
        <v>2850</v>
      </c>
      <c r="L178" s="117" t="s">
        <v>2850</v>
      </c>
      <c r="M178" s="115" t="s">
        <v>4371</v>
      </c>
      <c r="N178" s="115" t="s">
        <v>4273</v>
      </c>
      <c r="O178" s="115" t="s">
        <v>4476</v>
      </c>
      <c r="P178" s="115" t="s">
        <v>4275</v>
      </c>
      <c r="Q178" s="115" t="s">
        <v>4276</v>
      </c>
    </row>
    <row r="179" spans="1:17" ht="72" customHeight="1">
      <c r="A179" s="115" t="s">
        <v>34</v>
      </c>
      <c r="B179" s="115" t="s">
        <v>1171</v>
      </c>
      <c r="C179" s="115">
        <v>1</v>
      </c>
      <c r="D179" s="115" t="s">
        <v>4265</v>
      </c>
      <c r="E179" s="115">
        <v>2</v>
      </c>
      <c r="F179" s="115" t="s">
        <v>4277</v>
      </c>
      <c r="G179" s="115" t="s">
        <v>4400</v>
      </c>
      <c r="H179" s="115" t="s">
        <v>4463</v>
      </c>
      <c r="I179" s="115" t="s">
        <v>4498</v>
      </c>
      <c r="J179" s="115" t="s">
        <v>4499</v>
      </c>
      <c r="K179" s="117" t="s">
        <v>2850</v>
      </c>
      <c r="L179" s="117" t="s">
        <v>2850</v>
      </c>
      <c r="M179" s="115" t="s">
        <v>4373</v>
      </c>
      <c r="N179" s="115" t="s">
        <v>4279</v>
      </c>
      <c r="O179" s="115" t="s">
        <v>4374</v>
      </c>
      <c r="P179" s="115" t="s">
        <v>4375</v>
      </c>
      <c r="Q179" s="115" t="s">
        <v>4376</v>
      </c>
    </row>
    <row r="180" spans="1:17" ht="72" customHeight="1">
      <c r="A180" s="115" t="s">
        <v>34</v>
      </c>
      <c r="B180" s="115" t="s">
        <v>1171</v>
      </c>
      <c r="C180" s="115">
        <v>2</v>
      </c>
      <c r="D180" s="115" t="s">
        <v>4283</v>
      </c>
      <c r="E180" s="115">
        <v>3</v>
      </c>
      <c r="F180" s="115" t="s">
        <v>2842</v>
      </c>
      <c r="G180" s="115" t="s">
        <v>4400</v>
      </c>
      <c r="H180" s="115" t="s">
        <v>4463</v>
      </c>
      <c r="I180" s="115" t="s">
        <v>4498</v>
      </c>
      <c r="J180" s="115" t="s">
        <v>4499</v>
      </c>
      <c r="K180" s="117" t="s">
        <v>2850</v>
      </c>
      <c r="L180" s="117" t="s">
        <v>2850</v>
      </c>
      <c r="M180" s="115" t="s">
        <v>4377</v>
      </c>
      <c r="N180" s="115" t="s">
        <v>4273</v>
      </c>
      <c r="O180" s="116" t="s">
        <v>4466</v>
      </c>
      <c r="P180" s="115" t="s">
        <v>4275</v>
      </c>
      <c r="Q180" s="115" t="s">
        <v>4276</v>
      </c>
    </row>
    <row r="181" spans="1:17" ht="72" customHeight="1">
      <c r="A181" s="115" t="s">
        <v>34</v>
      </c>
      <c r="B181" s="115" t="s">
        <v>1171</v>
      </c>
      <c r="C181" s="115">
        <v>2</v>
      </c>
      <c r="D181" s="115" t="s">
        <v>4477</v>
      </c>
      <c r="E181" s="115">
        <v>4</v>
      </c>
      <c r="F181" s="115" t="s">
        <v>4277</v>
      </c>
      <c r="G181" s="115" t="s">
        <v>4400</v>
      </c>
      <c r="H181" s="115" t="s">
        <v>4463</v>
      </c>
      <c r="I181" s="115" t="s">
        <v>4498</v>
      </c>
      <c r="J181" s="115" t="s">
        <v>4499</v>
      </c>
      <c r="K181" s="117" t="s">
        <v>2850</v>
      </c>
      <c r="L181" s="117" t="s">
        <v>2850</v>
      </c>
      <c r="M181" s="115" t="s">
        <v>4379</v>
      </c>
      <c r="N181" s="115" t="s">
        <v>4279</v>
      </c>
      <c r="O181" s="116" t="s">
        <v>4380</v>
      </c>
      <c r="P181" s="115" t="s">
        <v>4301</v>
      </c>
      <c r="Q181" s="115" t="s">
        <v>4302</v>
      </c>
    </row>
    <row r="182" spans="1:17" ht="72" customHeight="1">
      <c r="A182" s="115" t="s">
        <v>34</v>
      </c>
      <c r="B182" s="115" t="s">
        <v>1171</v>
      </c>
      <c r="C182" s="115">
        <v>3</v>
      </c>
      <c r="D182" s="115" t="s">
        <v>4290</v>
      </c>
      <c r="E182" s="115">
        <v>5</v>
      </c>
      <c r="F182" s="115" t="s">
        <v>2842</v>
      </c>
      <c r="G182" s="115" t="s">
        <v>4400</v>
      </c>
      <c r="H182" s="115" t="s">
        <v>4463</v>
      </c>
      <c r="I182" s="115" t="s">
        <v>4498</v>
      </c>
      <c r="J182" s="115" t="s">
        <v>4499</v>
      </c>
      <c r="K182" s="117" t="s">
        <v>2850</v>
      </c>
      <c r="L182" s="117" t="s">
        <v>2850</v>
      </c>
      <c r="M182" s="115" t="s">
        <v>4468</v>
      </c>
      <c r="N182" s="115" t="s">
        <v>4273</v>
      </c>
      <c r="O182" s="115" t="s">
        <v>4478</v>
      </c>
      <c r="P182" s="115" t="s">
        <v>4275</v>
      </c>
      <c r="Q182" s="115" t="s">
        <v>4276</v>
      </c>
    </row>
    <row r="183" spans="1:17" ht="72" customHeight="1">
      <c r="A183" s="115" t="s">
        <v>34</v>
      </c>
      <c r="B183" s="115" t="s">
        <v>1171</v>
      </c>
      <c r="C183" s="115">
        <v>3</v>
      </c>
      <c r="D183" s="115" t="s">
        <v>4467</v>
      </c>
      <c r="E183" s="115">
        <v>6</v>
      </c>
      <c r="F183" s="115" t="s">
        <v>4277</v>
      </c>
      <c r="G183" s="115" t="s">
        <v>4400</v>
      </c>
      <c r="H183" s="115" t="s">
        <v>4463</v>
      </c>
      <c r="I183" s="115" t="s">
        <v>4498</v>
      </c>
      <c r="J183" s="115" t="s">
        <v>4499</v>
      </c>
      <c r="K183" s="117" t="s">
        <v>2850</v>
      </c>
      <c r="L183" s="117" t="s">
        <v>2850</v>
      </c>
      <c r="M183" s="115" t="s">
        <v>4384</v>
      </c>
      <c r="N183" s="115" t="s">
        <v>4279</v>
      </c>
      <c r="O183" s="116" t="s">
        <v>4385</v>
      </c>
      <c r="P183" s="115" t="s">
        <v>4301</v>
      </c>
      <c r="Q183" s="115" t="s">
        <v>4302</v>
      </c>
    </row>
    <row r="184" spans="1:17" ht="72" customHeight="1">
      <c r="A184" s="115" t="s">
        <v>34</v>
      </c>
      <c r="B184" s="115" t="s">
        <v>1171</v>
      </c>
      <c r="C184" s="115">
        <v>4</v>
      </c>
      <c r="D184" s="115" t="s">
        <v>4296</v>
      </c>
      <c r="E184" s="115">
        <v>7</v>
      </c>
      <c r="F184" s="115" t="s">
        <v>2842</v>
      </c>
      <c r="G184" s="115" t="s">
        <v>4400</v>
      </c>
      <c r="H184" s="115" t="s">
        <v>4463</v>
      </c>
      <c r="I184" s="115" t="s">
        <v>4498</v>
      </c>
      <c r="J184" s="115" t="s">
        <v>4499</v>
      </c>
      <c r="K184" s="117" t="s">
        <v>2850</v>
      </c>
      <c r="L184" s="117" t="s">
        <v>2850</v>
      </c>
      <c r="M184" s="115" t="s">
        <v>4470</v>
      </c>
      <c r="N184" s="115" t="s">
        <v>4273</v>
      </c>
      <c r="O184" s="115" t="s">
        <v>4479</v>
      </c>
      <c r="P184" s="115" t="s">
        <v>4275</v>
      </c>
      <c r="Q184" s="115" t="s">
        <v>4276</v>
      </c>
    </row>
    <row r="185" spans="1:17" ht="72" customHeight="1">
      <c r="A185" s="115" t="s">
        <v>34</v>
      </c>
      <c r="B185" s="115" t="s">
        <v>1171</v>
      </c>
      <c r="C185" s="115">
        <v>4</v>
      </c>
      <c r="D185" s="115" t="s">
        <v>4495</v>
      </c>
      <c r="E185" s="115">
        <v>8</v>
      </c>
      <c r="F185" s="115" t="s">
        <v>4277</v>
      </c>
      <c r="G185" s="115" t="s">
        <v>4400</v>
      </c>
      <c r="H185" s="115" t="s">
        <v>4463</v>
      </c>
      <c r="I185" s="115" t="s">
        <v>4498</v>
      </c>
      <c r="J185" s="115" t="s">
        <v>4499</v>
      </c>
      <c r="K185" s="117" t="s">
        <v>2850</v>
      </c>
      <c r="L185" s="117" t="s">
        <v>2850</v>
      </c>
      <c r="M185" s="115" t="s">
        <v>4388</v>
      </c>
      <c r="N185" s="115" t="s">
        <v>4294</v>
      </c>
      <c r="O185" s="115" t="s">
        <v>4389</v>
      </c>
      <c r="P185" s="115" t="s">
        <v>4390</v>
      </c>
      <c r="Q185" s="115" t="s">
        <v>4391</v>
      </c>
    </row>
    <row r="186" spans="1:17" ht="72" customHeight="1">
      <c r="A186" s="115" t="s">
        <v>34</v>
      </c>
      <c r="B186" s="115" t="s">
        <v>1171</v>
      </c>
      <c r="C186" s="115">
        <v>5</v>
      </c>
      <c r="D186" s="115" t="s">
        <v>4473</v>
      </c>
      <c r="E186" s="115">
        <v>9</v>
      </c>
      <c r="F186" s="115" t="s">
        <v>2842</v>
      </c>
      <c r="G186" s="115" t="s">
        <v>4410</v>
      </c>
      <c r="H186" s="115" t="s">
        <v>4463</v>
      </c>
      <c r="I186" s="115" t="s">
        <v>4498</v>
      </c>
      <c r="J186" s="115" t="s">
        <v>4499</v>
      </c>
      <c r="K186" s="117" t="s">
        <v>2850</v>
      </c>
      <c r="L186" s="117" t="s">
        <v>2850</v>
      </c>
      <c r="M186" s="115" t="s">
        <v>4371</v>
      </c>
      <c r="N186" s="115" t="s">
        <v>4273</v>
      </c>
      <c r="O186" s="115" t="s">
        <v>4476</v>
      </c>
      <c r="P186" s="115" t="s">
        <v>4275</v>
      </c>
      <c r="Q186" s="115" t="s">
        <v>4276</v>
      </c>
    </row>
    <row r="187" spans="1:17" ht="72" customHeight="1">
      <c r="A187" s="115" t="s">
        <v>34</v>
      </c>
      <c r="B187" s="115" t="s">
        <v>1171</v>
      </c>
      <c r="C187" s="115">
        <v>5</v>
      </c>
      <c r="D187" s="115" t="s">
        <v>4473</v>
      </c>
      <c r="E187" s="115">
        <v>10</v>
      </c>
      <c r="F187" s="115" t="s">
        <v>4277</v>
      </c>
      <c r="G187" s="115" t="s">
        <v>4410</v>
      </c>
      <c r="H187" s="115" t="s">
        <v>4463</v>
      </c>
      <c r="I187" s="115" t="s">
        <v>4498</v>
      </c>
      <c r="J187" s="115" t="s">
        <v>4499</v>
      </c>
      <c r="K187" s="117" t="s">
        <v>2850</v>
      </c>
      <c r="L187" s="117" t="s">
        <v>2850</v>
      </c>
      <c r="M187" s="115" t="s">
        <v>4373</v>
      </c>
      <c r="N187" s="115" t="s">
        <v>4279</v>
      </c>
      <c r="O187" s="115" t="s">
        <v>4374</v>
      </c>
      <c r="P187" s="115" t="s">
        <v>4375</v>
      </c>
      <c r="Q187" s="115" t="s">
        <v>4376</v>
      </c>
    </row>
    <row r="188" spans="1:17" ht="72" customHeight="1">
      <c r="A188" s="115" t="s">
        <v>34</v>
      </c>
      <c r="B188" s="115" t="s">
        <v>1171</v>
      </c>
      <c r="C188" s="115">
        <v>6</v>
      </c>
      <c r="D188" s="115" t="s">
        <v>4283</v>
      </c>
      <c r="E188" s="115">
        <v>11</v>
      </c>
      <c r="F188" s="115" t="s">
        <v>2842</v>
      </c>
      <c r="G188" s="115" t="s">
        <v>4410</v>
      </c>
      <c r="H188" s="115" t="s">
        <v>4463</v>
      </c>
      <c r="I188" s="115" t="s">
        <v>4498</v>
      </c>
      <c r="J188" s="115" t="s">
        <v>4499</v>
      </c>
      <c r="K188" s="117" t="s">
        <v>2850</v>
      </c>
      <c r="L188" s="117" t="s">
        <v>2850</v>
      </c>
      <c r="M188" s="115" t="s">
        <v>4377</v>
      </c>
      <c r="N188" s="115" t="s">
        <v>4273</v>
      </c>
      <c r="O188" s="116" t="s">
        <v>4466</v>
      </c>
      <c r="P188" s="115" t="s">
        <v>4275</v>
      </c>
      <c r="Q188" s="115" t="s">
        <v>4276</v>
      </c>
    </row>
    <row r="189" spans="1:17" ht="72" customHeight="1">
      <c r="A189" s="115" t="s">
        <v>34</v>
      </c>
      <c r="B189" s="115" t="s">
        <v>1171</v>
      </c>
      <c r="C189" s="115">
        <v>6</v>
      </c>
      <c r="D189" s="115" t="s">
        <v>4477</v>
      </c>
      <c r="E189" s="115">
        <v>12</v>
      </c>
      <c r="F189" s="115" t="s">
        <v>4277</v>
      </c>
      <c r="G189" s="115" t="s">
        <v>4410</v>
      </c>
      <c r="H189" s="115" t="s">
        <v>4463</v>
      </c>
      <c r="I189" s="115" t="s">
        <v>4498</v>
      </c>
      <c r="J189" s="115" t="s">
        <v>4499</v>
      </c>
      <c r="K189" s="117" t="s">
        <v>2850</v>
      </c>
      <c r="L189" s="117" t="s">
        <v>2850</v>
      </c>
      <c r="M189" s="115" t="s">
        <v>4379</v>
      </c>
      <c r="N189" s="115" t="s">
        <v>4279</v>
      </c>
      <c r="O189" s="116" t="s">
        <v>4380</v>
      </c>
      <c r="P189" s="115" t="s">
        <v>4301</v>
      </c>
      <c r="Q189" s="115" t="s">
        <v>4302</v>
      </c>
    </row>
    <row r="190" spans="1:17" ht="72" customHeight="1">
      <c r="A190" s="115" t="s">
        <v>34</v>
      </c>
      <c r="B190" s="115" t="s">
        <v>1171</v>
      </c>
      <c r="C190" s="115">
        <v>7</v>
      </c>
      <c r="D190" s="115" t="s">
        <v>4314</v>
      </c>
      <c r="E190" s="115">
        <v>13</v>
      </c>
      <c r="F190" s="115" t="s">
        <v>2842</v>
      </c>
      <c r="G190" s="115" t="s">
        <v>4410</v>
      </c>
      <c r="H190" s="115" t="s">
        <v>4463</v>
      </c>
      <c r="I190" s="115" t="s">
        <v>4498</v>
      </c>
      <c r="J190" s="115" t="s">
        <v>4499</v>
      </c>
      <c r="K190" s="117" t="s">
        <v>2850</v>
      </c>
      <c r="L190" s="117" t="s">
        <v>2850</v>
      </c>
      <c r="M190" s="115" t="s">
        <v>4468</v>
      </c>
      <c r="N190" s="115" t="s">
        <v>4273</v>
      </c>
      <c r="O190" s="115" t="s">
        <v>4478</v>
      </c>
      <c r="P190" s="115" t="s">
        <v>4275</v>
      </c>
      <c r="Q190" s="115" t="s">
        <v>4276</v>
      </c>
    </row>
    <row r="191" spans="1:17" ht="72" customHeight="1">
      <c r="A191" s="115" t="s">
        <v>34</v>
      </c>
      <c r="B191" s="115" t="s">
        <v>1171</v>
      </c>
      <c r="C191" s="115">
        <v>7</v>
      </c>
      <c r="D191" s="115" t="s">
        <v>4467</v>
      </c>
      <c r="E191" s="115">
        <v>14</v>
      </c>
      <c r="F191" s="115" t="s">
        <v>4277</v>
      </c>
      <c r="G191" s="115" t="s">
        <v>4410</v>
      </c>
      <c r="H191" s="115" t="s">
        <v>4463</v>
      </c>
      <c r="I191" s="115" t="s">
        <v>4498</v>
      </c>
      <c r="J191" s="115" t="s">
        <v>4499</v>
      </c>
      <c r="K191" s="117" t="s">
        <v>2850</v>
      </c>
      <c r="L191" s="117" t="s">
        <v>2850</v>
      </c>
      <c r="M191" s="115" t="s">
        <v>4384</v>
      </c>
      <c r="N191" s="115" t="s">
        <v>4279</v>
      </c>
      <c r="O191" s="116" t="s">
        <v>4385</v>
      </c>
      <c r="P191" s="115" t="s">
        <v>4301</v>
      </c>
      <c r="Q191" s="115" t="s">
        <v>4302</v>
      </c>
    </row>
    <row r="192" spans="1:17" ht="72" customHeight="1">
      <c r="A192" s="115" t="s">
        <v>34</v>
      </c>
      <c r="B192" s="115" t="s">
        <v>1171</v>
      </c>
      <c r="C192" s="115">
        <v>8</v>
      </c>
      <c r="D192" s="115" t="s">
        <v>4319</v>
      </c>
      <c r="E192" s="115">
        <v>15</v>
      </c>
      <c r="F192" s="115" t="s">
        <v>4277</v>
      </c>
      <c r="G192" s="115" t="s">
        <v>4410</v>
      </c>
      <c r="H192" s="115" t="s">
        <v>4463</v>
      </c>
      <c r="I192" s="115" t="s">
        <v>4498</v>
      </c>
      <c r="J192" s="115" t="s">
        <v>4499</v>
      </c>
      <c r="K192" s="117" t="s">
        <v>2850</v>
      </c>
      <c r="L192" s="117" t="s">
        <v>2850</v>
      </c>
      <c r="M192" s="115" t="s">
        <v>4388</v>
      </c>
      <c r="N192" s="115" t="s">
        <v>4294</v>
      </c>
      <c r="O192" s="115" t="s">
        <v>4389</v>
      </c>
      <c r="P192" s="115" t="s">
        <v>4390</v>
      </c>
      <c r="Q192" s="115" t="s">
        <v>4391</v>
      </c>
    </row>
    <row r="193" spans="1:17" ht="72" customHeight="1">
      <c r="A193" s="115" t="s">
        <v>34</v>
      </c>
      <c r="B193" s="115" t="s">
        <v>1171</v>
      </c>
      <c r="C193" s="115">
        <v>8</v>
      </c>
      <c r="D193" s="115" t="s">
        <v>4480</v>
      </c>
      <c r="E193" s="115">
        <v>16</v>
      </c>
      <c r="F193" s="115" t="s">
        <v>2842</v>
      </c>
      <c r="G193" s="115" t="s">
        <v>4410</v>
      </c>
      <c r="H193" s="115" t="s">
        <v>4463</v>
      </c>
      <c r="I193" s="115" t="s">
        <v>4498</v>
      </c>
      <c r="J193" s="115" t="s">
        <v>4499</v>
      </c>
      <c r="K193" s="117" t="s">
        <v>2850</v>
      </c>
      <c r="L193" s="117" t="s">
        <v>2850</v>
      </c>
      <c r="M193" s="115" t="s">
        <v>4413</v>
      </c>
      <c r="N193" s="115" t="s">
        <v>4279</v>
      </c>
      <c r="O193" s="115" t="s">
        <v>4414</v>
      </c>
      <c r="P193" s="115" t="s">
        <v>4275</v>
      </c>
      <c r="Q193" s="115" t="s">
        <v>4276</v>
      </c>
    </row>
  </sheetData>
  <autoFilter ref="A1:Q193"/>
  <dataValidations count="1">
    <dataValidation type="list" allowBlank="1" showErrorMessage="1" sqref="N2:N193">
      <formula1>"Leia SP,Redação Paulista,N/A"</formula1>
    </dataValidation>
  </dataValidations>
  <pageMargins left="0.511811024" right="0.511811024" top="0.78740157499999996" bottom="0.78740157499999996" header="0.31496062000000002" footer="0.31496062000000002"/>
  <legacyDrawing r:id="rId1"/>
</worksheet>
</file>

<file path=xl/worksheets/sheet20.xml><?xml version="1.0" encoding="utf-8"?>
<worksheet xmlns="http://schemas.openxmlformats.org/spreadsheetml/2006/main" xmlns:r="http://schemas.openxmlformats.org/officeDocument/2006/relationships">
  <sheetPr>
    <tabColor rgb="FFFFBFFC"/>
  </sheetPr>
  <dimension ref="A1:M57"/>
  <sheetViews>
    <sheetView workbookViewId="0">
      <pane ySplit="1" topLeftCell="A2" activePane="bottomLeft" state="frozen"/>
      <selection pane="bottomLeft" activeCell="B3" sqref="B3"/>
    </sheetView>
  </sheetViews>
  <sheetFormatPr defaultColWidth="12.5703125" defaultRowHeight="15" customHeight="1"/>
  <cols>
    <col min="1" max="1" width="19" customWidth="1"/>
    <col min="2" max="2" width="9.140625" customWidth="1"/>
    <col min="3" max="3" width="8.42578125" customWidth="1"/>
    <col min="4" max="4" width="12.140625" customWidth="1"/>
    <col min="5" max="5" width="11.140625" customWidth="1"/>
    <col min="6" max="6" width="9.42578125" customWidth="1"/>
    <col min="7" max="7" width="25.5703125" customWidth="1"/>
    <col min="8" max="8" width="38.42578125" customWidth="1"/>
    <col min="9" max="9" width="30" customWidth="1"/>
    <col min="10" max="10" width="27.7109375" customWidth="1"/>
    <col min="11" max="11" width="34.140625" customWidth="1"/>
    <col min="12" max="12" width="43.85546875" customWidth="1"/>
    <col min="13" max="13" width="43.85546875" hidden="1" customWidth="1"/>
  </cols>
  <sheetData>
    <row r="1" spans="1:13" ht="27" customHeight="1">
      <c r="A1" s="13" t="s">
        <v>20</v>
      </c>
      <c r="B1" s="14" t="s">
        <v>21</v>
      </c>
      <c r="C1" s="13" t="s">
        <v>22</v>
      </c>
      <c r="D1" s="14" t="s">
        <v>23</v>
      </c>
      <c r="E1" s="14" t="s">
        <v>3224</v>
      </c>
      <c r="F1" s="14" t="s">
        <v>4500</v>
      </c>
      <c r="G1" s="14" t="s">
        <v>4501</v>
      </c>
      <c r="H1" s="14" t="s">
        <v>4502</v>
      </c>
      <c r="I1" s="118" t="s">
        <v>835</v>
      </c>
      <c r="J1" s="119" t="s">
        <v>1464</v>
      </c>
      <c r="K1" s="118" t="s">
        <v>30</v>
      </c>
      <c r="L1" s="118" t="s">
        <v>31</v>
      </c>
      <c r="M1" s="118" t="s">
        <v>4503</v>
      </c>
    </row>
    <row r="2" spans="1:13" ht="76.5">
      <c r="A2" s="9"/>
      <c r="B2" s="17" t="s">
        <v>33</v>
      </c>
      <c r="C2" s="9" t="s">
        <v>1658</v>
      </c>
      <c r="D2" s="9" t="s">
        <v>1070</v>
      </c>
      <c r="E2" s="9">
        <v>1</v>
      </c>
      <c r="F2" s="9" t="s">
        <v>4504</v>
      </c>
      <c r="G2" s="9" t="s">
        <v>4505</v>
      </c>
      <c r="H2" s="9" t="s">
        <v>4506</v>
      </c>
      <c r="I2" s="9" t="s">
        <v>4507</v>
      </c>
      <c r="J2" s="9" t="s">
        <v>4508</v>
      </c>
      <c r="K2" s="9" t="s">
        <v>4509</v>
      </c>
      <c r="L2" s="9" t="s">
        <v>4510</v>
      </c>
      <c r="M2" s="9"/>
    </row>
    <row r="3" spans="1:13" ht="76.5">
      <c r="A3" s="9"/>
      <c r="B3" s="17" t="s">
        <v>33</v>
      </c>
      <c r="C3" s="9" t="s">
        <v>1658</v>
      </c>
      <c r="D3" s="9" t="s">
        <v>1070</v>
      </c>
      <c r="E3" s="9">
        <v>2</v>
      </c>
      <c r="F3" s="9" t="s">
        <v>4511</v>
      </c>
      <c r="G3" s="9" t="s">
        <v>4512</v>
      </c>
      <c r="H3" s="9" t="s">
        <v>4513</v>
      </c>
      <c r="I3" s="9" t="s">
        <v>4507</v>
      </c>
      <c r="J3" s="9" t="s">
        <v>4514</v>
      </c>
      <c r="K3" s="9" t="s">
        <v>4515</v>
      </c>
      <c r="L3" s="9" t="s">
        <v>4516</v>
      </c>
      <c r="M3" s="9"/>
    </row>
    <row r="4" spans="1:13" ht="76.5">
      <c r="A4" s="9"/>
      <c r="B4" s="17" t="s">
        <v>33</v>
      </c>
      <c r="C4" s="9" t="s">
        <v>1658</v>
      </c>
      <c r="D4" s="9" t="s">
        <v>1070</v>
      </c>
      <c r="E4" s="9">
        <v>3</v>
      </c>
      <c r="F4" s="9" t="s">
        <v>4517</v>
      </c>
      <c r="G4" s="9" t="s">
        <v>4518</v>
      </c>
      <c r="H4" s="9" t="s">
        <v>4519</v>
      </c>
      <c r="I4" s="9" t="s">
        <v>4520</v>
      </c>
      <c r="J4" s="9" t="s">
        <v>4521</v>
      </c>
      <c r="K4" s="9" t="s">
        <v>4522</v>
      </c>
      <c r="L4" s="9" t="s">
        <v>4523</v>
      </c>
      <c r="M4" s="9"/>
    </row>
    <row r="5" spans="1:13" ht="63.75">
      <c r="A5" s="9"/>
      <c r="B5" s="17" t="s">
        <v>33</v>
      </c>
      <c r="C5" s="9" t="s">
        <v>1658</v>
      </c>
      <c r="D5" s="9" t="s">
        <v>1070</v>
      </c>
      <c r="E5" s="9">
        <v>4</v>
      </c>
      <c r="F5" s="9" t="s">
        <v>4524</v>
      </c>
      <c r="G5" s="9" t="s">
        <v>4525</v>
      </c>
      <c r="H5" s="9" t="s">
        <v>4526</v>
      </c>
      <c r="I5" s="9" t="s">
        <v>4527</v>
      </c>
      <c r="J5" s="9" t="s">
        <v>4528</v>
      </c>
      <c r="K5" s="9" t="s">
        <v>4529</v>
      </c>
      <c r="L5" s="9" t="s">
        <v>4530</v>
      </c>
      <c r="M5" s="9"/>
    </row>
    <row r="6" spans="1:13" ht="89.25">
      <c r="A6" s="9"/>
      <c r="B6" s="17" t="s">
        <v>33</v>
      </c>
      <c r="C6" s="9" t="s">
        <v>1658</v>
      </c>
      <c r="D6" s="9" t="s">
        <v>1070</v>
      </c>
      <c r="E6" s="9">
        <v>5</v>
      </c>
      <c r="F6" s="9" t="s">
        <v>3294</v>
      </c>
      <c r="G6" s="9" t="s">
        <v>4518</v>
      </c>
      <c r="H6" s="9" t="s">
        <v>4519</v>
      </c>
      <c r="I6" s="9" t="s">
        <v>4531</v>
      </c>
      <c r="J6" s="9" t="s">
        <v>4532</v>
      </c>
      <c r="K6" s="9" t="s">
        <v>4533</v>
      </c>
      <c r="L6" s="9" t="s">
        <v>4534</v>
      </c>
      <c r="M6" s="9"/>
    </row>
    <row r="7" spans="1:13" ht="102">
      <c r="A7" s="9"/>
      <c r="B7" s="17" t="s">
        <v>33</v>
      </c>
      <c r="C7" s="9" t="s">
        <v>1658</v>
      </c>
      <c r="D7" s="9" t="s">
        <v>1070</v>
      </c>
      <c r="E7" s="9">
        <v>6</v>
      </c>
      <c r="F7" s="9" t="s">
        <v>4535</v>
      </c>
      <c r="G7" s="9" t="s">
        <v>4536</v>
      </c>
      <c r="H7" s="9" t="s">
        <v>4537</v>
      </c>
      <c r="I7" s="9" t="s">
        <v>4538</v>
      </c>
      <c r="J7" s="9" t="s">
        <v>4539</v>
      </c>
      <c r="K7" s="9" t="s">
        <v>4540</v>
      </c>
      <c r="L7" s="9" t="s">
        <v>4541</v>
      </c>
      <c r="M7" s="9"/>
    </row>
    <row r="8" spans="1:13" ht="114.75">
      <c r="A8" s="9"/>
      <c r="B8" s="17" t="s">
        <v>33</v>
      </c>
      <c r="C8" s="9" t="s">
        <v>1658</v>
      </c>
      <c r="D8" s="9" t="s">
        <v>1070</v>
      </c>
      <c r="E8" s="9">
        <v>7</v>
      </c>
      <c r="F8" s="9" t="s">
        <v>4542</v>
      </c>
      <c r="G8" s="9" t="s">
        <v>4512</v>
      </c>
      <c r="H8" s="9" t="s">
        <v>4513</v>
      </c>
      <c r="I8" s="9" t="s">
        <v>4543</v>
      </c>
      <c r="J8" s="9" t="s">
        <v>4544</v>
      </c>
      <c r="K8" s="9" t="s">
        <v>4545</v>
      </c>
      <c r="L8" s="9" t="s">
        <v>4546</v>
      </c>
      <c r="M8" s="9"/>
    </row>
    <row r="9" spans="1:13" ht="165.75">
      <c r="A9" s="9"/>
      <c r="B9" s="17" t="s">
        <v>33</v>
      </c>
      <c r="C9" s="9" t="s">
        <v>1658</v>
      </c>
      <c r="D9" s="9" t="s">
        <v>1106</v>
      </c>
      <c r="E9" s="9">
        <v>1</v>
      </c>
      <c r="F9" s="9" t="s">
        <v>4504</v>
      </c>
      <c r="G9" s="9" t="s">
        <v>4547</v>
      </c>
      <c r="H9" s="9" t="s">
        <v>4548</v>
      </c>
      <c r="I9" s="9" t="s">
        <v>4549</v>
      </c>
      <c r="J9" s="9" t="s">
        <v>4550</v>
      </c>
      <c r="K9" s="9" t="s">
        <v>4551</v>
      </c>
      <c r="L9" s="9" t="s">
        <v>4552</v>
      </c>
      <c r="M9" s="9"/>
    </row>
    <row r="10" spans="1:13" ht="102">
      <c r="A10" s="9"/>
      <c r="B10" s="17" t="s">
        <v>33</v>
      </c>
      <c r="C10" s="9" t="s">
        <v>1658</v>
      </c>
      <c r="D10" s="9" t="s">
        <v>1106</v>
      </c>
      <c r="E10" s="9">
        <v>2</v>
      </c>
      <c r="F10" s="9" t="s">
        <v>4511</v>
      </c>
      <c r="G10" s="9" t="s">
        <v>4547</v>
      </c>
      <c r="H10" s="9" t="s">
        <v>4548</v>
      </c>
      <c r="I10" s="9" t="s">
        <v>4553</v>
      </c>
      <c r="J10" s="9" t="s">
        <v>4554</v>
      </c>
      <c r="K10" s="9" t="s">
        <v>4555</v>
      </c>
      <c r="L10" s="9" t="s">
        <v>4556</v>
      </c>
      <c r="M10" s="9"/>
    </row>
    <row r="11" spans="1:13" ht="114.75">
      <c r="A11" s="9"/>
      <c r="B11" s="17" t="s">
        <v>33</v>
      </c>
      <c r="C11" s="9" t="s">
        <v>1658</v>
      </c>
      <c r="D11" s="9" t="s">
        <v>1106</v>
      </c>
      <c r="E11" s="9">
        <v>3</v>
      </c>
      <c r="F11" s="9" t="s">
        <v>4517</v>
      </c>
      <c r="G11" s="9" t="s">
        <v>4547</v>
      </c>
      <c r="H11" s="9" t="s">
        <v>4548</v>
      </c>
      <c r="I11" s="9" t="s">
        <v>4553</v>
      </c>
      <c r="J11" s="9" t="s">
        <v>4557</v>
      </c>
      <c r="K11" s="9" t="s">
        <v>4558</v>
      </c>
      <c r="L11" s="9" t="s">
        <v>4559</v>
      </c>
      <c r="M11" s="9"/>
    </row>
    <row r="12" spans="1:13" ht="114.75">
      <c r="A12" s="9"/>
      <c r="B12" s="17" t="s">
        <v>33</v>
      </c>
      <c r="C12" s="9" t="s">
        <v>1658</v>
      </c>
      <c r="D12" s="9" t="s">
        <v>1106</v>
      </c>
      <c r="E12" s="9">
        <v>4</v>
      </c>
      <c r="F12" s="9" t="s">
        <v>4524</v>
      </c>
      <c r="G12" s="9" t="s">
        <v>4547</v>
      </c>
      <c r="H12" s="9" t="s">
        <v>4548</v>
      </c>
      <c r="I12" s="9" t="s">
        <v>4553</v>
      </c>
      <c r="J12" s="9" t="s">
        <v>4560</v>
      </c>
      <c r="K12" s="9" t="s">
        <v>4561</v>
      </c>
      <c r="L12" s="9" t="s">
        <v>4562</v>
      </c>
      <c r="M12" s="9"/>
    </row>
    <row r="13" spans="1:13" ht="89.25">
      <c r="A13" s="9"/>
      <c r="B13" s="17" t="s">
        <v>33</v>
      </c>
      <c r="C13" s="9" t="s">
        <v>1658</v>
      </c>
      <c r="D13" s="9" t="s">
        <v>1106</v>
      </c>
      <c r="E13" s="9">
        <v>5</v>
      </c>
      <c r="F13" s="9" t="s">
        <v>3294</v>
      </c>
      <c r="G13" s="9" t="s">
        <v>4547</v>
      </c>
      <c r="H13" s="9" t="s">
        <v>4548</v>
      </c>
      <c r="I13" s="9" t="s">
        <v>4563</v>
      </c>
      <c r="J13" s="9" t="s">
        <v>4564</v>
      </c>
      <c r="K13" s="9" t="s">
        <v>4565</v>
      </c>
      <c r="L13" s="9" t="s">
        <v>4566</v>
      </c>
      <c r="M13" s="9"/>
    </row>
    <row r="14" spans="1:13" ht="102">
      <c r="A14" s="9"/>
      <c r="B14" s="17" t="s">
        <v>33</v>
      </c>
      <c r="C14" s="9" t="s">
        <v>1658</v>
      </c>
      <c r="D14" s="9" t="s">
        <v>1106</v>
      </c>
      <c r="E14" s="9">
        <v>6</v>
      </c>
      <c r="F14" s="9" t="s">
        <v>4535</v>
      </c>
      <c r="G14" s="9" t="s">
        <v>4547</v>
      </c>
      <c r="H14" s="9" t="s">
        <v>4548</v>
      </c>
      <c r="I14" s="9" t="s">
        <v>4567</v>
      </c>
      <c r="J14" s="9" t="s">
        <v>4568</v>
      </c>
      <c r="K14" s="9" t="s">
        <v>4569</v>
      </c>
      <c r="L14" s="9" t="s">
        <v>4570</v>
      </c>
      <c r="M14" s="9"/>
    </row>
    <row r="15" spans="1:13" ht="63.75">
      <c r="A15" s="9"/>
      <c r="B15" s="17" t="s">
        <v>33</v>
      </c>
      <c r="C15" s="9" t="s">
        <v>1658</v>
      </c>
      <c r="D15" s="9" t="s">
        <v>1106</v>
      </c>
      <c r="E15" s="9">
        <v>7</v>
      </c>
      <c r="F15" s="9" t="s">
        <v>4542</v>
      </c>
      <c r="G15" s="9" t="s">
        <v>4547</v>
      </c>
      <c r="H15" s="9" t="s">
        <v>4548</v>
      </c>
      <c r="I15" s="9" t="s">
        <v>4567</v>
      </c>
      <c r="J15" s="9" t="s">
        <v>4571</v>
      </c>
      <c r="K15" s="9" t="s">
        <v>4572</v>
      </c>
      <c r="L15" s="9" t="s">
        <v>4573</v>
      </c>
      <c r="M15" s="9"/>
    </row>
    <row r="16" spans="1:13" ht="140.25">
      <c r="A16" s="9"/>
      <c r="B16" s="17" t="s">
        <v>33</v>
      </c>
      <c r="C16" s="9" t="s">
        <v>4574</v>
      </c>
      <c r="D16" s="9" t="s">
        <v>1070</v>
      </c>
      <c r="E16" s="9">
        <v>1</v>
      </c>
      <c r="F16" s="9" t="s">
        <v>4504</v>
      </c>
      <c r="G16" s="9" t="s">
        <v>4575</v>
      </c>
      <c r="H16" s="9" t="s">
        <v>4576</v>
      </c>
      <c r="I16" s="9" t="s">
        <v>4577</v>
      </c>
      <c r="J16" s="9" t="s">
        <v>4578</v>
      </c>
      <c r="K16" s="9" t="s">
        <v>4579</v>
      </c>
      <c r="L16" s="9" t="s">
        <v>4580</v>
      </c>
      <c r="M16" s="9"/>
    </row>
    <row r="17" spans="1:13" ht="127.5">
      <c r="A17" s="9"/>
      <c r="B17" s="17" t="s">
        <v>33</v>
      </c>
      <c r="C17" s="9" t="s">
        <v>4574</v>
      </c>
      <c r="D17" s="9" t="s">
        <v>1070</v>
      </c>
      <c r="E17" s="9">
        <v>2</v>
      </c>
      <c r="F17" s="9" t="s">
        <v>4511</v>
      </c>
      <c r="G17" s="9" t="s">
        <v>4581</v>
      </c>
      <c r="H17" s="9" t="s">
        <v>4582</v>
      </c>
      <c r="I17" s="9" t="s">
        <v>4583</v>
      </c>
      <c r="J17" s="9" t="s">
        <v>4584</v>
      </c>
      <c r="K17" s="43" t="s">
        <v>4585</v>
      </c>
      <c r="L17" s="9" t="s">
        <v>4586</v>
      </c>
      <c r="M17" s="9"/>
    </row>
    <row r="18" spans="1:13" ht="127.5">
      <c r="A18" s="9"/>
      <c r="B18" s="17" t="s">
        <v>33</v>
      </c>
      <c r="C18" s="9" t="s">
        <v>4574</v>
      </c>
      <c r="D18" s="9" t="s">
        <v>1070</v>
      </c>
      <c r="E18" s="9">
        <v>3</v>
      </c>
      <c r="F18" s="9" t="s">
        <v>4517</v>
      </c>
      <c r="G18" s="9" t="s">
        <v>4581</v>
      </c>
      <c r="H18" s="9" t="s">
        <v>4582</v>
      </c>
      <c r="I18" s="9" t="s">
        <v>4587</v>
      </c>
      <c r="J18" s="9" t="s">
        <v>4588</v>
      </c>
      <c r="K18" s="9" t="s">
        <v>4589</v>
      </c>
      <c r="L18" s="9" t="s">
        <v>4590</v>
      </c>
      <c r="M18" s="9"/>
    </row>
    <row r="19" spans="1:13" ht="153">
      <c r="A19" s="9"/>
      <c r="B19" s="17" t="s">
        <v>33</v>
      </c>
      <c r="C19" s="9" t="s">
        <v>4574</v>
      </c>
      <c r="D19" s="9" t="s">
        <v>1070</v>
      </c>
      <c r="E19" s="9">
        <v>4</v>
      </c>
      <c r="F19" s="9" t="s">
        <v>4524</v>
      </c>
      <c r="G19" s="9" t="s">
        <v>4591</v>
      </c>
      <c r="H19" s="9" t="s">
        <v>4592</v>
      </c>
      <c r="I19" s="9" t="s">
        <v>4593</v>
      </c>
      <c r="J19" s="9" t="s">
        <v>4594</v>
      </c>
      <c r="K19" s="43" t="s">
        <v>4595</v>
      </c>
      <c r="L19" s="9" t="s">
        <v>4596</v>
      </c>
      <c r="M19" s="9"/>
    </row>
    <row r="20" spans="1:13" ht="140.25">
      <c r="A20" s="9"/>
      <c r="B20" s="17" t="s">
        <v>33</v>
      </c>
      <c r="C20" s="9" t="s">
        <v>4574</v>
      </c>
      <c r="D20" s="9" t="s">
        <v>1070</v>
      </c>
      <c r="E20" s="9">
        <v>5</v>
      </c>
      <c r="F20" s="9" t="s">
        <v>3294</v>
      </c>
      <c r="G20" s="9" t="s">
        <v>4575</v>
      </c>
      <c r="H20" s="9" t="s">
        <v>4576</v>
      </c>
      <c r="I20" s="9" t="s">
        <v>4597</v>
      </c>
      <c r="J20" s="9" t="s">
        <v>4598</v>
      </c>
      <c r="K20" s="9" t="s">
        <v>4599</v>
      </c>
      <c r="L20" s="9" t="s">
        <v>4600</v>
      </c>
      <c r="M20" s="9"/>
    </row>
    <row r="21" spans="1:13" ht="140.25">
      <c r="A21" s="9"/>
      <c r="B21" s="17" t="s">
        <v>33</v>
      </c>
      <c r="C21" s="9" t="s">
        <v>4574</v>
      </c>
      <c r="D21" s="9" t="s">
        <v>1070</v>
      </c>
      <c r="E21" s="9">
        <v>6</v>
      </c>
      <c r="F21" s="9" t="s">
        <v>4535</v>
      </c>
      <c r="G21" s="9" t="s">
        <v>4575</v>
      </c>
      <c r="H21" s="9" t="s">
        <v>4576</v>
      </c>
      <c r="I21" s="9" t="s">
        <v>4597</v>
      </c>
      <c r="J21" s="9" t="s">
        <v>4601</v>
      </c>
      <c r="K21" s="9" t="s">
        <v>4602</v>
      </c>
      <c r="L21" s="9" t="s">
        <v>4603</v>
      </c>
      <c r="M21" s="9"/>
    </row>
    <row r="22" spans="1:13" ht="140.25">
      <c r="A22" s="9"/>
      <c r="B22" s="17" t="s">
        <v>33</v>
      </c>
      <c r="C22" s="9" t="s">
        <v>4574</v>
      </c>
      <c r="D22" s="9" t="s">
        <v>1070</v>
      </c>
      <c r="E22" s="9">
        <v>7</v>
      </c>
      <c r="F22" s="9" t="s">
        <v>4542</v>
      </c>
      <c r="G22" s="9" t="s">
        <v>4575</v>
      </c>
      <c r="H22" s="9" t="s">
        <v>4576</v>
      </c>
      <c r="I22" s="9" t="s">
        <v>4604</v>
      </c>
      <c r="J22" s="9" t="s">
        <v>4605</v>
      </c>
      <c r="K22" s="9" t="s">
        <v>4606</v>
      </c>
      <c r="L22" s="9" t="s">
        <v>4607</v>
      </c>
      <c r="M22" s="9"/>
    </row>
    <row r="23" spans="1:13" ht="102">
      <c r="A23" s="9"/>
      <c r="B23" s="17" t="s">
        <v>33</v>
      </c>
      <c r="C23" s="9" t="s">
        <v>4574</v>
      </c>
      <c r="D23" s="9" t="s">
        <v>1106</v>
      </c>
      <c r="E23" s="9">
        <v>1</v>
      </c>
      <c r="F23" s="9" t="s">
        <v>4504</v>
      </c>
      <c r="G23" s="9" t="s">
        <v>4608</v>
      </c>
      <c r="H23" s="9" t="s">
        <v>4609</v>
      </c>
      <c r="I23" s="73" t="s">
        <v>4610</v>
      </c>
      <c r="J23" s="73" t="s">
        <v>4611</v>
      </c>
      <c r="K23" s="73" t="s">
        <v>4612</v>
      </c>
      <c r="L23" s="73" t="s">
        <v>4613</v>
      </c>
      <c r="M23" s="73" t="s">
        <v>4614</v>
      </c>
    </row>
    <row r="24" spans="1:13" ht="102">
      <c r="A24" s="9"/>
      <c r="B24" s="17" t="s">
        <v>33</v>
      </c>
      <c r="C24" s="9" t="s">
        <v>4574</v>
      </c>
      <c r="D24" s="9" t="s">
        <v>1106</v>
      </c>
      <c r="E24" s="9">
        <v>2</v>
      </c>
      <c r="F24" s="9" t="s">
        <v>4511</v>
      </c>
      <c r="G24" s="9" t="s">
        <v>4608</v>
      </c>
      <c r="H24" s="9" t="s">
        <v>4609</v>
      </c>
      <c r="I24" s="73" t="s">
        <v>4615</v>
      </c>
      <c r="J24" s="73" t="s">
        <v>4616</v>
      </c>
      <c r="K24" s="73" t="s">
        <v>4617</v>
      </c>
      <c r="L24" s="73" t="s">
        <v>4618</v>
      </c>
      <c r="M24" s="120" t="s">
        <v>4619</v>
      </c>
    </row>
    <row r="25" spans="1:13" ht="102">
      <c r="A25" s="9"/>
      <c r="B25" s="17" t="s">
        <v>33</v>
      </c>
      <c r="C25" s="9" t="s">
        <v>4574</v>
      </c>
      <c r="D25" s="9" t="s">
        <v>1106</v>
      </c>
      <c r="E25" s="9">
        <v>3</v>
      </c>
      <c r="F25" s="9" t="s">
        <v>4517</v>
      </c>
      <c r="G25" s="9" t="s">
        <v>4608</v>
      </c>
      <c r="H25" s="9" t="s">
        <v>4609</v>
      </c>
      <c r="I25" s="73" t="s">
        <v>4615</v>
      </c>
      <c r="J25" s="73" t="s">
        <v>4620</v>
      </c>
      <c r="K25" s="73" t="s">
        <v>4621</v>
      </c>
      <c r="L25" s="73" t="s">
        <v>4622</v>
      </c>
      <c r="M25" s="120" t="s">
        <v>4623</v>
      </c>
    </row>
    <row r="26" spans="1:13" ht="102">
      <c r="A26" s="9"/>
      <c r="B26" s="17" t="s">
        <v>33</v>
      </c>
      <c r="C26" s="9" t="s">
        <v>4574</v>
      </c>
      <c r="D26" s="9" t="s">
        <v>1106</v>
      </c>
      <c r="E26" s="9">
        <v>4</v>
      </c>
      <c r="F26" s="9" t="s">
        <v>4524</v>
      </c>
      <c r="G26" s="9" t="s">
        <v>4608</v>
      </c>
      <c r="H26" s="9" t="s">
        <v>4609</v>
      </c>
      <c r="I26" s="73" t="s">
        <v>4624</v>
      </c>
      <c r="J26" s="73" t="s">
        <v>4625</v>
      </c>
      <c r="K26" s="73" t="s">
        <v>4626</v>
      </c>
      <c r="L26" s="73" t="s">
        <v>4627</v>
      </c>
      <c r="M26" s="120" t="s">
        <v>4628</v>
      </c>
    </row>
    <row r="27" spans="1:13" ht="102">
      <c r="A27" s="9"/>
      <c r="B27" s="17" t="s">
        <v>33</v>
      </c>
      <c r="C27" s="9" t="s">
        <v>4574</v>
      </c>
      <c r="D27" s="9" t="s">
        <v>1106</v>
      </c>
      <c r="E27" s="9">
        <v>5</v>
      </c>
      <c r="F27" s="9" t="s">
        <v>3294</v>
      </c>
      <c r="G27" s="9" t="s">
        <v>4608</v>
      </c>
      <c r="H27" s="9" t="s">
        <v>4609</v>
      </c>
      <c r="I27" s="73" t="s">
        <v>4629</v>
      </c>
      <c r="J27" s="73" t="s">
        <v>4630</v>
      </c>
      <c r="K27" s="73" t="s">
        <v>4631</v>
      </c>
      <c r="L27" s="73" t="s">
        <v>4632</v>
      </c>
      <c r="M27" s="120" t="s">
        <v>4633</v>
      </c>
    </row>
    <row r="28" spans="1:13" ht="102">
      <c r="A28" s="9"/>
      <c r="B28" s="17" t="s">
        <v>33</v>
      </c>
      <c r="C28" s="9" t="s">
        <v>4574</v>
      </c>
      <c r="D28" s="9" t="s">
        <v>1106</v>
      </c>
      <c r="E28" s="9">
        <v>6</v>
      </c>
      <c r="F28" s="9" t="s">
        <v>4535</v>
      </c>
      <c r="G28" s="9" t="s">
        <v>4608</v>
      </c>
      <c r="H28" s="9" t="s">
        <v>4609</v>
      </c>
      <c r="I28" s="73" t="s">
        <v>4604</v>
      </c>
      <c r="J28" s="73" t="s">
        <v>4634</v>
      </c>
      <c r="K28" s="73" t="s">
        <v>4635</v>
      </c>
      <c r="L28" s="73" t="s">
        <v>4636</v>
      </c>
      <c r="M28" s="120" t="s">
        <v>4637</v>
      </c>
    </row>
    <row r="29" spans="1:13" ht="102">
      <c r="A29" s="9"/>
      <c r="B29" s="17" t="s">
        <v>33</v>
      </c>
      <c r="C29" s="9" t="s">
        <v>4574</v>
      </c>
      <c r="D29" s="9" t="s">
        <v>1106</v>
      </c>
      <c r="E29" s="9">
        <v>7</v>
      </c>
      <c r="F29" s="9" t="s">
        <v>4542</v>
      </c>
      <c r="G29" s="9" t="s">
        <v>4608</v>
      </c>
      <c r="H29" s="9" t="s">
        <v>4609</v>
      </c>
      <c r="I29" s="73" t="s">
        <v>4604</v>
      </c>
      <c r="J29" s="73" t="s">
        <v>4638</v>
      </c>
      <c r="K29" s="73" t="s">
        <v>4639</v>
      </c>
      <c r="L29" s="73" t="s">
        <v>4640</v>
      </c>
      <c r="M29" s="120" t="s">
        <v>4641</v>
      </c>
    </row>
    <row r="30" spans="1:13" ht="63.75">
      <c r="A30" s="9"/>
      <c r="B30" s="17" t="s">
        <v>33</v>
      </c>
      <c r="C30" s="17" t="s">
        <v>1658</v>
      </c>
      <c r="D30" s="17" t="s">
        <v>542</v>
      </c>
      <c r="E30" s="17">
        <v>1</v>
      </c>
      <c r="F30" s="17" t="s">
        <v>4504</v>
      </c>
      <c r="G30" s="17" t="s">
        <v>4642</v>
      </c>
      <c r="H30" s="17" t="s">
        <v>4643</v>
      </c>
      <c r="I30" s="121" t="s">
        <v>4644</v>
      </c>
      <c r="J30" s="121" t="s">
        <v>4645</v>
      </c>
      <c r="K30" s="121" t="s">
        <v>4646</v>
      </c>
      <c r="L30" s="121" t="s">
        <v>4647</v>
      </c>
      <c r="M30" s="107"/>
    </row>
    <row r="31" spans="1:13" ht="63.75">
      <c r="A31" s="9"/>
      <c r="B31" s="17" t="s">
        <v>33</v>
      </c>
      <c r="C31" s="17" t="s">
        <v>1658</v>
      </c>
      <c r="D31" s="17" t="s">
        <v>542</v>
      </c>
      <c r="E31" s="17">
        <v>2</v>
      </c>
      <c r="F31" s="17" t="s">
        <v>4511</v>
      </c>
      <c r="G31" s="17" t="s">
        <v>4642</v>
      </c>
      <c r="H31" s="17" t="s">
        <v>4643</v>
      </c>
      <c r="I31" s="121" t="s">
        <v>4648</v>
      </c>
      <c r="J31" s="121" t="s">
        <v>4649</v>
      </c>
      <c r="K31" s="121" t="s">
        <v>4650</v>
      </c>
      <c r="L31" s="121" t="s">
        <v>4651</v>
      </c>
      <c r="M31" s="107"/>
    </row>
    <row r="32" spans="1:13" ht="63.75">
      <c r="A32" s="9"/>
      <c r="B32" s="17" t="s">
        <v>33</v>
      </c>
      <c r="C32" s="17" t="s">
        <v>1658</v>
      </c>
      <c r="D32" s="17" t="s">
        <v>542</v>
      </c>
      <c r="E32" s="17">
        <v>3</v>
      </c>
      <c r="F32" s="17" t="s">
        <v>4517</v>
      </c>
      <c r="G32" s="17" t="s">
        <v>4642</v>
      </c>
      <c r="H32" s="17" t="s">
        <v>4643</v>
      </c>
      <c r="I32" s="121" t="s">
        <v>4652</v>
      </c>
      <c r="J32" s="121" t="s">
        <v>4653</v>
      </c>
      <c r="K32" s="121" t="s">
        <v>4654</v>
      </c>
      <c r="L32" s="121" t="s">
        <v>4655</v>
      </c>
      <c r="M32" s="107"/>
    </row>
    <row r="33" spans="1:13" ht="63.75">
      <c r="A33" s="9"/>
      <c r="B33" s="17" t="s">
        <v>33</v>
      </c>
      <c r="C33" s="17" t="s">
        <v>1658</v>
      </c>
      <c r="D33" s="17" t="s">
        <v>542</v>
      </c>
      <c r="E33" s="17">
        <v>4</v>
      </c>
      <c r="F33" s="17" t="s">
        <v>4524</v>
      </c>
      <c r="G33" s="17" t="s">
        <v>4642</v>
      </c>
      <c r="H33" s="17" t="s">
        <v>4643</v>
      </c>
      <c r="I33" s="121" t="s">
        <v>4656</v>
      </c>
      <c r="J33" s="121" t="s">
        <v>4657</v>
      </c>
      <c r="K33" s="121" t="s">
        <v>4658</v>
      </c>
      <c r="L33" s="121" t="s">
        <v>4659</v>
      </c>
      <c r="M33" s="107"/>
    </row>
    <row r="34" spans="1:13" ht="63.75">
      <c r="A34" s="9"/>
      <c r="B34" s="17" t="s">
        <v>33</v>
      </c>
      <c r="C34" s="17" t="s">
        <v>1658</v>
      </c>
      <c r="D34" s="17" t="s">
        <v>542</v>
      </c>
      <c r="E34" s="17">
        <v>5</v>
      </c>
      <c r="F34" s="17" t="s">
        <v>3294</v>
      </c>
      <c r="G34" s="17" t="s">
        <v>4642</v>
      </c>
      <c r="H34" s="17" t="s">
        <v>4643</v>
      </c>
      <c r="I34" s="121" t="s">
        <v>4660</v>
      </c>
      <c r="J34" s="121" t="s">
        <v>4661</v>
      </c>
      <c r="K34" s="121" t="s">
        <v>4662</v>
      </c>
      <c r="L34" s="121" t="s">
        <v>4663</v>
      </c>
      <c r="M34" s="107"/>
    </row>
    <row r="35" spans="1:13" ht="63.75">
      <c r="A35" s="9"/>
      <c r="B35" s="17" t="s">
        <v>33</v>
      </c>
      <c r="C35" s="17" t="s">
        <v>1658</v>
      </c>
      <c r="D35" s="17" t="s">
        <v>542</v>
      </c>
      <c r="E35" s="17">
        <v>6</v>
      </c>
      <c r="F35" s="17" t="s">
        <v>4535</v>
      </c>
      <c r="G35" s="17" t="s">
        <v>4642</v>
      </c>
      <c r="H35" s="17" t="s">
        <v>4643</v>
      </c>
      <c r="I35" s="121" t="s">
        <v>4664</v>
      </c>
      <c r="J35" s="121" t="s">
        <v>4665</v>
      </c>
      <c r="K35" s="121" t="s">
        <v>4666</v>
      </c>
      <c r="L35" s="121" t="s">
        <v>4667</v>
      </c>
      <c r="M35" s="107"/>
    </row>
    <row r="36" spans="1:13" ht="25.5">
      <c r="A36" s="9"/>
      <c r="B36" s="17" t="s">
        <v>33</v>
      </c>
      <c r="C36" s="17" t="s">
        <v>1658</v>
      </c>
      <c r="D36" s="17" t="s">
        <v>542</v>
      </c>
      <c r="E36" s="17">
        <v>7</v>
      </c>
      <c r="F36" s="17" t="s">
        <v>4542</v>
      </c>
      <c r="G36" s="17" t="s">
        <v>4642</v>
      </c>
      <c r="H36" s="9"/>
      <c r="I36" s="121" t="s">
        <v>4664</v>
      </c>
      <c r="J36" s="121" t="s">
        <v>4668</v>
      </c>
      <c r="K36" s="121" t="s">
        <v>4669</v>
      </c>
      <c r="L36" s="121" t="s">
        <v>4667</v>
      </c>
      <c r="M36" s="107"/>
    </row>
    <row r="37" spans="1:13" ht="25.5">
      <c r="A37" s="9"/>
      <c r="B37" s="17" t="s">
        <v>33</v>
      </c>
      <c r="C37" s="17" t="s">
        <v>1658</v>
      </c>
      <c r="D37" s="17" t="s">
        <v>1171</v>
      </c>
      <c r="E37" s="17">
        <v>1</v>
      </c>
      <c r="F37" s="17" t="s">
        <v>4504</v>
      </c>
      <c r="G37" s="9"/>
      <c r="H37" s="9"/>
      <c r="I37" s="121" t="s">
        <v>4670</v>
      </c>
      <c r="J37" s="121" t="s">
        <v>4671</v>
      </c>
      <c r="K37" s="121" t="s">
        <v>4672</v>
      </c>
      <c r="L37" s="121" t="s">
        <v>4673</v>
      </c>
      <c r="M37" s="107"/>
    </row>
    <row r="38" spans="1:13" ht="25.5">
      <c r="A38" s="9"/>
      <c r="B38" s="17" t="s">
        <v>33</v>
      </c>
      <c r="C38" s="17" t="s">
        <v>1658</v>
      </c>
      <c r="D38" s="17" t="s">
        <v>1171</v>
      </c>
      <c r="E38" s="17">
        <v>2</v>
      </c>
      <c r="F38" s="17" t="s">
        <v>4511</v>
      </c>
      <c r="G38" s="9"/>
      <c r="H38" s="9"/>
      <c r="I38" s="121" t="s">
        <v>4674</v>
      </c>
      <c r="J38" s="121" t="s">
        <v>4675</v>
      </c>
      <c r="K38" s="121" t="s">
        <v>4676</v>
      </c>
      <c r="L38" s="121" t="s">
        <v>4677</v>
      </c>
      <c r="M38" s="107"/>
    </row>
    <row r="39" spans="1:13" ht="25.5">
      <c r="A39" s="9"/>
      <c r="B39" s="17" t="s">
        <v>33</v>
      </c>
      <c r="C39" s="17" t="s">
        <v>1658</v>
      </c>
      <c r="D39" s="17" t="s">
        <v>1171</v>
      </c>
      <c r="E39" s="17">
        <v>3</v>
      </c>
      <c r="F39" s="17" t="s">
        <v>4517</v>
      </c>
      <c r="G39" s="9"/>
      <c r="H39" s="9"/>
      <c r="I39" s="121" t="s">
        <v>4678</v>
      </c>
      <c r="J39" s="121" t="s">
        <v>4679</v>
      </c>
      <c r="K39" s="121" t="s">
        <v>4680</v>
      </c>
      <c r="L39" s="121" t="s">
        <v>4681</v>
      </c>
      <c r="M39" s="107"/>
    </row>
    <row r="40" spans="1:13" ht="25.5">
      <c r="A40" s="9"/>
      <c r="B40" s="17" t="s">
        <v>33</v>
      </c>
      <c r="C40" s="17" t="s">
        <v>1658</v>
      </c>
      <c r="D40" s="17" t="s">
        <v>1171</v>
      </c>
      <c r="E40" s="17">
        <v>4</v>
      </c>
      <c r="F40" s="17" t="s">
        <v>4524</v>
      </c>
      <c r="G40" s="9"/>
      <c r="H40" s="9"/>
      <c r="I40" s="121" t="s">
        <v>4682</v>
      </c>
      <c r="J40" s="121" t="s">
        <v>4683</v>
      </c>
      <c r="K40" s="121" t="s">
        <v>4684</v>
      </c>
      <c r="L40" s="121" t="s">
        <v>4685</v>
      </c>
      <c r="M40" s="107"/>
    </row>
    <row r="41" spans="1:13" ht="25.5">
      <c r="A41" s="9"/>
      <c r="B41" s="17" t="s">
        <v>33</v>
      </c>
      <c r="C41" s="17" t="s">
        <v>1658</v>
      </c>
      <c r="D41" s="17" t="s">
        <v>1171</v>
      </c>
      <c r="E41" s="17">
        <v>5</v>
      </c>
      <c r="F41" s="17" t="s">
        <v>3294</v>
      </c>
      <c r="G41" s="9"/>
      <c r="H41" s="9"/>
      <c r="I41" s="121" t="s">
        <v>4682</v>
      </c>
      <c r="J41" s="121" t="s">
        <v>4686</v>
      </c>
      <c r="K41" s="121" t="s">
        <v>4687</v>
      </c>
      <c r="L41" s="121" t="s">
        <v>4688</v>
      </c>
      <c r="M41" s="107"/>
    </row>
    <row r="42" spans="1:13" ht="25.5">
      <c r="A42" s="9"/>
      <c r="B42" s="17" t="s">
        <v>33</v>
      </c>
      <c r="C42" s="17" t="s">
        <v>1658</v>
      </c>
      <c r="D42" s="17" t="s">
        <v>1171</v>
      </c>
      <c r="E42" s="17">
        <v>6</v>
      </c>
      <c r="F42" s="17" t="s">
        <v>4535</v>
      </c>
      <c r="G42" s="9"/>
      <c r="H42" s="9"/>
      <c r="I42" s="121" t="s">
        <v>4689</v>
      </c>
      <c r="J42" s="121" t="s">
        <v>4690</v>
      </c>
      <c r="K42" s="121" t="s">
        <v>4691</v>
      </c>
      <c r="L42" s="121" t="s">
        <v>4692</v>
      </c>
      <c r="M42" s="107"/>
    </row>
    <row r="43" spans="1:13" ht="25.5">
      <c r="A43" s="9"/>
      <c r="B43" s="17" t="s">
        <v>33</v>
      </c>
      <c r="C43" s="17" t="s">
        <v>1658</v>
      </c>
      <c r="D43" s="17" t="s">
        <v>1171</v>
      </c>
      <c r="E43" s="17">
        <v>7</v>
      </c>
      <c r="F43" s="17" t="s">
        <v>4542</v>
      </c>
      <c r="G43" s="9"/>
      <c r="H43" s="9"/>
      <c r="I43" s="121" t="s">
        <v>4693</v>
      </c>
      <c r="J43" s="121" t="s">
        <v>4694</v>
      </c>
      <c r="K43" s="121" t="s">
        <v>4695</v>
      </c>
      <c r="L43" s="121" t="s">
        <v>4696</v>
      </c>
      <c r="M43" s="107"/>
    </row>
    <row r="44" spans="1:13" ht="114.75">
      <c r="A44" s="9"/>
      <c r="B44" s="17" t="s">
        <v>33</v>
      </c>
      <c r="C44" s="17" t="s">
        <v>4574</v>
      </c>
      <c r="D44" s="17" t="s">
        <v>542</v>
      </c>
      <c r="E44" s="17">
        <v>1</v>
      </c>
      <c r="F44" s="17" t="s">
        <v>4504</v>
      </c>
      <c r="G44" s="17" t="s">
        <v>4697</v>
      </c>
      <c r="H44" s="17" t="s">
        <v>4698</v>
      </c>
      <c r="I44" s="121" t="s">
        <v>4699</v>
      </c>
      <c r="J44" s="121" t="s">
        <v>4700</v>
      </c>
      <c r="K44" s="121" t="s">
        <v>4701</v>
      </c>
      <c r="L44" s="121" t="s">
        <v>4702</v>
      </c>
      <c r="M44" s="107"/>
    </row>
    <row r="45" spans="1:13" ht="114.75">
      <c r="A45" s="9"/>
      <c r="B45" s="17" t="s">
        <v>33</v>
      </c>
      <c r="C45" s="17" t="s">
        <v>4574</v>
      </c>
      <c r="D45" s="17" t="s">
        <v>542</v>
      </c>
      <c r="E45" s="17">
        <v>2</v>
      </c>
      <c r="F45" s="17" t="s">
        <v>4511</v>
      </c>
      <c r="G45" s="17" t="s">
        <v>4697</v>
      </c>
      <c r="H45" s="17" t="s">
        <v>4698</v>
      </c>
      <c r="I45" s="121" t="s">
        <v>4703</v>
      </c>
      <c r="J45" s="121" t="s">
        <v>4704</v>
      </c>
      <c r="K45" s="121" t="s">
        <v>4705</v>
      </c>
      <c r="L45" s="107"/>
      <c r="M45" s="107"/>
    </row>
    <row r="46" spans="1:13" ht="114.75">
      <c r="A46" s="9"/>
      <c r="B46" s="17" t="s">
        <v>33</v>
      </c>
      <c r="C46" s="17" t="s">
        <v>4574</v>
      </c>
      <c r="D46" s="17" t="s">
        <v>542</v>
      </c>
      <c r="E46" s="17">
        <v>3</v>
      </c>
      <c r="F46" s="17" t="s">
        <v>4517</v>
      </c>
      <c r="G46" s="17" t="s">
        <v>4697</v>
      </c>
      <c r="H46" s="17" t="s">
        <v>4698</v>
      </c>
      <c r="I46" s="121" t="s">
        <v>4706</v>
      </c>
      <c r="J46" s="121" t="s">
        <v>4707</v>
      </c>
      <c r="K46" s="121" t="s">
        <v>4708</v>
      </c>
      <c r="L46" s="121" t="s">
        <v>4709</v>
      </c>
      <c r="M46" s="107"/>
    </row>
    <row r="47" spans="1:13" ht="114.75">
      <c r="A47" s="9"/>
      <c r="B47" s="17" t="s">
        <v>33</v>
      </c>
      <c r="C47" s="17" t="s">
        <v>4574</v>
      </c>
      <c r="D47" s="17" t="s">
        <v>542</v>
      </c>
      <c r="E47" s="17">
        <v>4</v>
      </c>
      <c r="F47" s="17" t="s">
        <v>4524</v>
      </c>
      <c r="G47" s="17" t="s">
        <v>4697</v>
      </c>
      <c r="H47" s="17" t="s">
        <v>4698</v>
      </c>
      <c r="I47" s="121" t="s">
        <v>4710</v>
      </c>
      <c r="J47" s="121" t="s">
        <v>4711</v>
      </c>
      <c r="K47" s="121" t="s">
        <v>4712</v>
      </c>
      <c r="L47" s="121" t="s">
        <v>4713</v>
      </c>
      <c r="M47" s="107"/>
    </row>
    <row r="48" spans="1:13" ht="114.75">
      <c r="A48" s="9"/>
      <c r="B48" s="17" t="s">
        <v>33</v>
      </c>
      <c r="C48" s="17" t="s">
        <v>4574</v>
      </c>
      <c r="D48" s="17" t="s">
        <v>542</v>
      </c>
      <c r="E48" s="17">
        <v>5</v>
      </c>
      <c r="F48" s="17" t="s">
        <v>3294</v>
      </c>
      <c r="G48" s="17" t="s">
        <v>4697</v>
      </c>
      <c r="H48" s="17" t="s">
        <v>4698</v>
      </c>
      <c r="I48" s="121" t="s">
        <v>4714</v>
      </c>
      <c r="J48" s="121" t="s">
        <v>4715</v>
      </c>
      <c r="K48" s="121" t="s">
        <v>4716</v>
      </c>
      <c r="L48" s="121" t="s">
        <v>4717</v>
      </c>
      <c r="M48" s="107"/>
    </row>
    <row r="49" spans="1:13" ht="114.75">
      <c r="A49" s="9"/>
      <c r="B49" s="17" t="s">
        <v>33</v>
      </c>
      <c r="C49" s="17" t="s">
        <v>4574</v>
      </c>
      <c r="D49" s="17" t="s">
        <v>542</v>
      </c>
      <c r="E49" s="17">
        <v>6</v>
      </c>
      <c r="F49" s="17" t="s">
        <v>4535</v>
      </c>
      <c r="G49" s="17" t="s">
        <v>4697</v>
      </c>
      <c r="H49" s="17" t="s">
        <v>4698</v>
      </c>
      <c r="I49" s="121" t="s">
        <v>4718</v>
      </c>
      <c r="J49" s="121" t="s">
        <v>4719</v>
      </c>
      <c r="K49" s="121" t="s">
        <v>4720</v>
      </c>
      <c r="L49" s="121" t="s">
        <v>4721</v>
      </c>
      <c r="M49" s="107"/>
    </row>
    <row r="50" spans="1:13" ht="114.75">
      <c r="A50" s="9"/>
      <c r="B50" s="17" t="s">
        <v>33</v>
      </c>
      <c r="C50" s="17" t="s">
        <v>4574</v>
      </c>
      <c r="D50" s="17" t="s">
        <v>542</v>
      </c>
      <c r="E50" s="17">
        <v>7</v>
      </c>
      <c r="F50" s="17" t="s">
        <v>4542</v>
      </c>
      <c r="G50" s="17" t="s">
        <v>4697</v>
      </c>
      <c r="H50" s="17" t="s">
        <v>4698</v>
      </c>
      <c r="I50" s="121" t="s">
        <v>4722</v>
      </c>
      <c r="J50" s="121" t="s">
        <v>4723</v>
      </c>
      <c r="K50" s="121" t="s">
        <v>4724</v>
      </c>
      <c r="L50" s="121" t="s">
        <v>4725</v>
      </c>
      <c r="M50" s="107"/>
    </row>
    <row r="51" spans="1:13" ht="140.25">
      <c r="A51" s="9"/>
      <c r="B51" s="17" t="s">
        <v>33</v>
      </c>
      <c r="C51" s="17" t="s">
        <v>4574</v>
      </c>
      <c r="D51" s="17" t="s">
        <v>1171</v>
      </c>
      <c r="E51" s="17">
        <v>1</v>
      </c>
      <c r="F51" s="17" t="s">
        <v>4504</v>
      </c>
      <c r="G51" s="17" t="s">
        <v>4608</v>
      </c>
      <c r="H51" s="17" t="s">
        <v>4726</v>
      </c>
      <c r="I51" s="121" t="s">
        <v>4710</v>
      </c>
      <c r="J51" s="121" t="s">
        <v>4727</v>
      </c>
      <c r="K51" s="121" t="s">
        <v>4728</v>
      </c>
      <c r="L51" s="121" t="s">
        <v>4729</v>
      </c>
      <c r="M51" s="107"/>
    </row>
    <row r="52" spans="1:13" ht="140.25">
      <c r="A52" s="9"/>
      <c r="B52" s="17" t="s">
        <v>33</v>
      </c>
      <c r="C52" s="17" t="s">
        <v>4574</v>
      </c>
      <c r="D52" s="17" t="s">
        <v>1171</v>
      </c>
      <c r="E52" s="17">
        <v>2</v>
      </c>
      <c r="F52" s="17" t="s">
        <v>4511</v>
      </c>
      <c r="G52" s="17" t="s">
        <v>4608</v>
      </c>
      <c r="H52" s="17" t="s">
        <v>4726</v>
      </c>
      <c r="I52" s="121" t="s">
        <v>4730</v>
      </c>
      <c r="J52" s="121" t="s">
        <v>4731</v>
      </c>
      <c r="K52" s="121" t="s">
        <v>4732</v>
      </c>
      <c r="L52" s="121" t="s">
        <v>4733</v>
      </c>
      <c r="M52" s="107"/>
    </row>
    <row r="53" spans="1:13" ht="140.25">
      <c r="A53" s="9"/>
      <c r="B53" s="17" t="s">
        <v>33</v>
      </c>
      <c r="C53" s="17" t="s">
        <v>4574</v>
      </c>
      <c r="D53" s="17" t="s">
        <v>1171</v>
      </c>
      <c r="E53" s="17">
        <v>3</v>
      </c>
      <c r="F53" s="17" t="s">
        <v>4517</v>
      </c>
      <c r="G53" s="17" t="s">
        <v>4608</v>
      </c>
      <c r="H53" s="17" t="s">
        <v>4726</v>
      </c>
      <c r="I53" s="121" t="s">
        <v>4734</v>
      </c>
      <c r="J53" s="121" t="s">
        <v>4735</v>
      </c>
      <c r="K53" s="121" t="s">
        <v>4736</v>
      </c>
      <c r="L53" s="121" t="s">
        <v>4737</v>
      </c>
      <c r="M53" s="107"/>
    </row>
    <row r="54" spans="1:13" ht="140.25">
      <c r="A54" s="9"/>
      <c r="B54" s="17" t="s">
        <v>33</v>
      </c>
      <c r="C54" s="17" t="s">
        <v>4574</v>
      </c>
      <c r="D54" s="17" t="s">
        <v>1171</v>
      </c>
      <c r="E54" s="17">
        <v>4</v>
      </c>
      <c r="F54" s="17" t="s">
        <v>4524</v>
      </c>
      <c r="G54" s="17" t="s">
        <v>4608</v>
      </c>
      <c r="H54" s="17" t="s">
        <v>4726</v>
      </c>
      <c r="I54" s="121" t="s">
        <v>4738</v>
      </c>
      <c r="J54" s="121" t="s">
        <v>4739</v>
      </c>
      <c r="K54" s="121" t="s">
        <v>4740</v>
      </c>
      <c r="L54" s="121" t="s">
        <v>4741</v>
      </c>
      <c r="M54" s="107"/>
    </row>
    <row r="55" spans="1:13" ht="140.25">
      <c r="A55" s="9"/>
      <c r="B55" s="17" t="s">
        <v>33</v>
      </c>
      <c r="C55" s="17" t="s">
        <v>4574</v>
      </c>
      <c r="D55" s="17" t="s">
        <v>1171</v>
      </c>
      <c r="E55" s="17">
        <v>5</v>
      </c>
      <c r="F55" s="17" t="s">
        <v>3294</v>
      </c>
      <c r="G55" s="17" t="s">
        <v>4608</v>
      </c>
      <c r="H55" s="17" t="s">
        <v>4726</v>
      </c>
      <c r="I55" s="121" t="s">
        <v>4742</v>
      </c>
      <c r="J55" s="121" t="s">
        <v>4743</v>
      </c>
      <c r="K55" s="121" t="s">
        <v>4744</v>
      </c>
      <c r="L55" s="121" t="s">
        <v>4745</v>
      </c>
      <c r="M55" s="107"/>
    </row>
    <row r="56" spans="1:13" ht="140.25">
      <c r="A56" s="9"/>
      <c r="B56" s="17" t="s">
        <v>33</v>
      </c>
      <c r="C56" s="17" t="s">
        <v>4574</v>
      </c>
      <c r="D56" s="17" t="s">
        <v>1171</v>
      </c>
      <c r="E56" s="17">
        <v>6</v>
      </c>
      <c r="F56" s="17" t="s">
        <v>4535</v>
      </c>
      <c r="G56" s="17" t="s">
        <v>4608</v>
      </c>
      <c r="H56" s="17" t="s">
        <v>4726</v>
      </c>
      <c r="I56" s="121" t="s">
        <v>4718</v>
      </c>
      <c r="J56" s="121" t="s">
        <v>4746</v>
      </c>
      <c r="K56" s="121" t="s">
        <v>4747</v>
      </c>
      <c r="L56" s="121" t="s">
        <v>4748</v>
      </c>
      <c r="M56" s="107"/>
    </row>
    <row r="57" spans="1:13" ht="140.25">
      <c r="A57" s="9"/>
      <c r="B57" s="17" t="s">
        <v>33</v>
      </c>
      <c r="C57" s="17" t="s">
        <v>4574</v>
      </c>
      <c r="D57" s="17" t="s">
        <v>1171</v>
      </c>
      <c r="E57" s="17">
        <v>7</v>
      </c>
      <c r="F57" s="17" t="s">
        <v>4542</v>
      </c>
      <c r="G57" s="17" t="s">
        <v>4608</v>
      </c>
      <c r="H57" s="17" t="s">
        <v>4726</v>
      </c>
      <c r="I57" s="121" t="s">
        <v>4722</v>
      </c>
      <c r="J57" s="121" t="s">
        <v>4749</v>
      </c>
      <c r="K57" s="121" t="s">
        <v>4750</v>
      </c>
      <c r="L57" s="121" t="s">
        <v>4751</v>
      </c>
      <c r="M57" s="107"/>
    </row>
  </sheetData>
  <autoFilter ref="A1:M57"/>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sheetPr>
    <outlinePr summaryBelow="0" summaryRight="0"/>
  </sheetPr>
  <dimension ref="A1:Z1000"/>
  <sheetViews>
    <sheetView showGridLines="0" workbookViewId="0"/>
  </sheetViews>
  <sheetFormatPr defaultColWidth="12.5703125" defaultRowHeight="15" customHeight="1"/>
  <cols>
    <col min="1" max="1" width="50.85546875" customWidth="1"/>
    <col min="2" max="26" width="12.42578125" customWidth="1"/>
  </cols>
  <sheetData>
    <row r="1" spans="1:26" ht="15.75" customHeight="1">
      <c r="A1" s="122" t="s">
        <v>26</v>
      </c>
      <c r="B1" s="123" t="s">
        <v>4752</v>
      </c>
      <c r="C1" s="123"/>
      <c r="D1" s="123"/>
      <c r="E1" s="123"/>
      <c r="F1" s="123"/>
      <c r="G1" s="123"/>
      <c r="H1" s="123"/>
      <c r="I1" s="123"/>
      <c r="J1" s="123"/>
      <c r="K1" s="123"/>
      <c r="L1" s="123"/>
      <c r="M1" s="123"/>
      <c r="N1" s="123"/>
      <c r="O1" s="123"/>
      <c r="P1" s="123"/>
      <c r="Q1" s="123"/>
      <c r="R1" s="123"/>
      <c r="S1" s="123"/>
      <c r="T1" s="123"/>
      <c r="U1" s="123"/>
      <c r="V1" s="123"/>
      <c r="W1" s="123"/>
      <c r="X1" s="123"/>
      <c r="Y1" s="123"/>
      <c r="Z1" s="123"/>
    </row>
    <row r="2" spans="1:26" ht="15.75" customHeight="1">
      <c r="A2" s="124" t="str">
        <f>UPPER("GEOMETRIA")</f>
        <v>GEOMETRIA</v>
      </c>
      <c r="B2" s="123" t="e">
        <f>COUNTIF('[1]Matemática 2025'!C:C,A2)</f>
        <v>#VALUE!</v>
      </c>
      <c r="C2" s="123"/>
      <c r="D2" s="123"/>
      <c r="E2" s="123"/>
      <c r="F2" s="123"/>
      <c r="G2" s="123"/>
      <c r="H2" s="123"/>
      <c r="I2" s="123"/>
      <c r="J2" s="123"/>
      <c r="K2" s="123"/>
      <c r="L2" s="123"/>
      <c r="M2" s="123"/>
      <c r="N2" s="123"/>
      <c r="O2" s="123"/>
      <c r="P2" s="123"/>
      <c r="Q2" s="123"/>
      <c r="R2" s="123"/>
      <c r="S2" s="123"/>
      <c r="T2" s="123"/>
      <c r="U2" s="123"/>
      <c r="V2" s="123"/>
      <c r="W2" s="123"/>
      <c r="X2" s="123"/>
      <c r="Y2" s="123"/>
      <c r="Z2" s="123"/>
    </row>
    <row r="3" spans="1:26" ht="15.75" customHeight="1">
      <c r="A3" s="125" t="s">
        <v>4753</v>
      </c>
      <c r="B3" s="123" t="e">
        <f t="shared" ref="B3:B15" si="0">COUNTIF('[1]Matemática 2025'!F:F,A3)</f>
        <v>#VALUE!</v>
      </c>
      <c r="C3" s="123"/>
      <c r="D3" s="123"/>
      <c r="E3" s="123"/>
      <c r="F3" s="123"/>
      <c r="G3" s="123"/>
      <c r="H3" s="123"/>
      <c r="I3" s="123"/>
      <c r="J3" s="123"/>
      <c r="K3" s="123"/>
      <c r="L3" s="123"/>
      <c r="M3" s="123"/>
      <c r="N3" s="123"/>
      <c r="O3" s="123"/>
      <c r="P3" s="123"/>
      <c r="Q3" s="123"/>
      <c r="R3" s="123"/>
      <c r="S3" s="123"/>
      <c r="T3" s="123"/>
      <c r="U3" s="123"/>
      <c r="V3" s="123"/>
      <c r="W3" s="123"/>
      <c r="X3" s="123"/>
      <c r="Y3" s="123"/>
      <c r="Z3" s="123"/>
    </row>
    <row r="4" spans="1:26" ht="15.75" customHeight="1">
      <c r="A4" s="125" t="s">
        <v>4754</v>
      </c>
      <c r="B4" s="123" t="e">
        <f t="shared" si="0"/>
        <v>#VALUE!</v>
      </c>
      <c r="C4" s="123"/>
      <c r="D4" s="123"/>
      <c r="E4" s="123"/>
      <c r="F4" s="123"/>
      <c r="G4" s="123"/>
      <c r="H4" s="123"/>
      <c r="I4" s="123"/>
      <c r="J4" s="123"/>
      <c r="K4" s="123"/>
      <c r="L4" s="123"/>
      <c r="M4" s="123"/>
      <c r="N4" s="123"/>
      <c r="O4" s="123"/>
      <c r="P4" s="123"/>
      <c r="Q4" s="123"/>
      <c r="R4" s="123"/>
      <c r="S4" s="123"/>
      <c r="T4" s="123"/>
      <c r="U4" s="123"/>
      <c r="V4" s="123"/>
      <c r="W4" s="123"/>
      <c r="X4" s="123"/>
      <c r="Y4" s="123"/>
      <c r="Z4" s="123"/>
    </row>
    <row r="5" spans="1:26" ht="15.75" customHeight="1">
      <c r="A5" s="125" t="s">
        <v>4755</v>
      </c>
      <c r="B5" s="123" t="e">
        <f t="shared" si="0"/>
        <v>#VALUE!</v>
      </c>
      <c r="C5" s="123"/>
      <c r="D5" s="123"/>
      <c r="E5" s="123"/>
      <c r="F5" s="123"/>
      <c r="G5" s="123"/>
      <c r="H5" s="123"/>
      <c r="I5" s="123"/>
      <c r="J5" s="123"/>
      <c r="K5" s="123"/>
      <c r="L5" s="123"/>
      <c r="M5" s="123"/>
      <c r="N5" s="123"/>
      <c r="O5" s="123"/>
      <c r="P5" s="123"/>
      <c r="Q5" s="123"/>
      <c r="R5" s="123"/>
      <c r="S5" s="123"/>
      <c r="T5" s="123"/>
      <c r="U5" s="123"/>
      <c r="V5" s="123"/>
      <c r="W5" s="123"/>
      <c r="X5" s="123"/>
      <c r="Y5" s="123"/>
      <c r="Z5" s="123"/>
    </row>
    <row r="6" spans="1:26" ht="15.75" customHeight="1">
      <c r="A6" s="125" t="s">
        <v>4756</v>
      </c>
      <c r="B6" s="123" t="e">
        <f t="shared" si="0"/>
        <v>#VALUE!</v>
      </c>
      <c r="C6" s="123"/>
      <c r="D6" s="123"/>
      <c r="E6" s="123"/>
      <c r="F6" s="123"/>
      <c r="G6" s="123"/>
      <c r="H6" s="123"/>
      <c r="I6" s="123"/>
      <c r="J6" s="123"/>
      <c r="K6" s="123"/>
      <c r="L6" s="123"/>
      <c r="M6" s="123"/>
      <c r="N6" s="123"/>
      <c r="O6" s="123"/>
      <c r="P6" s="123"/>
      <c r="Q6" s="123"/>
      <c r="R6" s="123"/>
      <c r="S6" s="123"/>
      <c r="T6" s="123"/>
      <c r="U6" s="123"/>
      <c r="V6" s="123"/>
      <c r="W6" s="123"/>
      <c r="X6" s="123"/>
      <c r="Y6" s="123"/>
      <c r="Z6" s="123"/>
    </row>
    <row r="7" spans="1:26" ht="15.75" customHeight="1">
      <c r="A7" s="125" t="s">
        <v>4757</v>
      </c>
      <c r="B7" s="123" t="e">
        <f t="shared" si="0"/>
        <v>#VALUE!</v>
      </c>
      <c r="C7" s="123"/>
      <c r="D7" s="123"/>
      <c r="E7" s="123"/>
      <c r="F7" s="123"/>
      <c r="G7" s="123"/>
      <c r="H7" s="123"/>
      <c r="I7" s="123"/>
      <c r="J7" s="123"/>
      <c r="K7" s="123"/>
      <c r="L7" s="123"/>
      <c r="M7" s="123"/>
      <c r="N7" s="123"/>
      <c r="O7" s="123"/>
      <c r="P7" s="123"/>
      <c r="Q7" s="123"/>
      <c r="R7" s="123"/>
      <c r="S7" s="123"/>
      <c r="T7" s="123"/>
      <c r="U7" s="123"/>
      <c r="V7" s="123"/>
      <c r="W7" s="123"/>
      <c r="X7" s="123"/>
      <c r="Y7" s="123"/>
      <c r="Z7" s="123"/>
    </row>
    <row r="8" spans="1:26" ht="15.75" customHeight="1">
      <c r="A8" s="125" t="s">
        <v>4758</v>
      </c>
      <c r="B8" s="123" t="e">
        <f t="shared" si="0"/>
        <v>#VALUE!</v>
      </c>
      <c r="C8" s="123"/>
      <c r="D8" s="123"/>
      <c r="E8" s="123"/>
      <c r="F8" s="123"/>
      <c r="G8" s="123"/>
      <c r="H8" s="123"/>
      <c r="I8" s="123"/>
      <c r="J8" s="123"/>
      <c r="K8" s="123"/>
      <c r="L8" s="123"/>
      <c r="M8" s="123"/>
      <c r="N8" s="123"/>
      <c r="O8" s="123"/>
      <c r="P8" s="123"/>
      <c r="Q8" s="123"/>
      <c r="R8" s="123"/>
      <c r="S8" s="123"/>
      <c r="T8" s="123"/>
      <c r="U8" s="123"/>
      <c r="V8" s="123"/>
      <c r="W8" s="123"/>
      <c r="X8" s="123"/>
      <c r="Y8" s="123"/>
      <c r="Z8" s="123"/>
    </row>
    <row r="9" spans="1:26" ht="15.75" customHeight="1">
      <c r="A9" s="125" t="s">
        <v>4759</v>
      </c>
      <c r="B9" s="123" t="e">
        <f t="shared" si="0"/>
        <v>#VALUE!</v>
      </c>
      <c r="C9" s="123"/>
      <c r="D9" s="123"/>
      <c r="E9" s="123"/>
      <c r="F9" s="123"/>
      <c r="G9" s="123"/>
      <c r="H9" s="123"/>
      <c r="I9" s="123"/>
      <c r="J9" s="123"/>
      <c r="K9" s="123"/>
      <c r="L9" s="123"/>
      <c r="M9" s="123"/>
      <c r="N9" s="123"/>
      <c r="O9" s="123"/>
      <c r="P9" s="123"/>
      <c r="Q9" s="123"/>
      <c r="R9" s="123"/>
      <c r="S9" s="123"/>
      <c r="T9" s="123"/>
      <c r="U9" s="123"/>
      <c r="V9" s="123"/>
      <c r="W9" s="123"/>
      <c r="X9" s="123"/>
      <c r="Y9" s="123"/>
      <c r="Z9" s="123"/>
    </row>
    <row r="10" spans="1:26" ht="15.75" customHeight="1">
      <c r="A10" s="125" t="s">
        <v>4760</v>
      </c>
      <c r="B10" s="123" t="e">
        <f t="shared" si="0"/>
        <v>#VALUE!</v>
      </c>
      <c r="C10" s="123"/>
      <c r="D10" s="123"/>
      <c r="E10" s="123"/>
      <c r="F10" s="123"/>
      <c r="G10" s="123"/>
      <c r="H10" s="123"/>
      <c r="I10" s="123"/>
      <c r="J10" s="123"/>
      <c r="K10" s="123"/>
      <c r="L10" s="123"/>
      <c r="M10" s="123"/>
      <c r="N10" s="123"/>
      <c r="O10" s="123"/>
      <c r="P10" s="123"/>
      <c r="Q10" s="123"/>
      <c r="R10" s="123"/>
      <c r="S10" s="123"/>
      <c r="T10" s="123"/>
      <c r="U10" s="123"/>
      <c r="V10" s="123"/>
      <c r="W10" s="123"/>
      <c r="X10" s="123"/>
      <c r="Y10" s="123"/>
      <c r="Z10" s="123"/>
    </row>
    <row r="11" spans="1:26" ht="15.75" customHeight="1">
      <c r="A11" s="125" t="s">
        <v>4761</v>
      </c>
      <c r="B11" s="123" t="e">
        <f t="shared" si="0"/>
        <v>#VALUE!</v>
      </c>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row>
    <row r="12" spans="1:26" ht="15.75" customHeight="1">
      <c r="A12" s="125" t="s">
        <v>4762</v>
      </c>
      <c r="B12" s="123" t="e">
        <f t="shared" si="0"/>
        <v>#VALUE!</v>
      </c>
      <c r="C12" s="123"/>
      <c r="D12" s="123"/>
      <c r="E12" s="123"/>
      <c r="F12" s="123"/>
      <c r="G12" s="123"/>
      <c r="H12" s="123"/>
      <c r="I12" s="123"/>
      <c r="J12" s="123"/>
      <c r="K12" s="123"/>
      <c r="L12" s="123"/>
      <c r="M12" s="123"/>
      <c r="N12" s="123"/>
      <c r="O12" s="123"/>
      <c r="P12" s="123"/>
      <c r="Q12" s="123"/>
      <c r="R12" s="123"/>
      <c r="S12" s="123"/>
      <c r="T12" s="123"/>
      <c r="U12" s="123"/>
      <c r="V12" s="123"/>
      <c r="W12" s="123"/>
      <c r="X12" s="123"/>
      <c r="Y12" s="123"/>
      <c r="Z12" s="123"/>
    </row>
    <row r="13" spans="1:26" ht="15.75" customHeight="1">
      <c r="A13" s="125" t="s">
        <v>4763</v>
      </c>
      <c r="B13" s="123" t="e">
        <f t="shared" si="0"/>
        <v>#VALUE!</v>
      </c>
      <c r="C13" s="123"/>
      <c r="D13" s="123"/>
      <c r="E13" s="123"/>
      <c r="F13" s="123"/>
      <c r="G13" s="123"/>
      <c r="H13" s="123"/>
      <c r="I13" s="123"/>
      <c r="J13" s="123"/>
      <c r="K13" s="123"/>
      <c r="L13" s="123"/>
      <c r="M13" s="123"/>
      <c r="N13" s="123"/>
      <c r="O13" s="123"/>
      <c r="P13" s="123"/>
      <c r="Q13" s="123"/>
      <c r="R13" s="123"/>
      <c r="S13" s="123"/>
      <c r="T13" s="123"/>
      <c r="U13" s="123"/>
      <c r="V13" s="123"/>
      <c r="W13" s="123"/>
      <c r="X13" s="123"/>
      <c r="Y13" s="123"/>
      <c r="Z13" s="123"/>
    </row>
    <row r="14" spans="1:26" ht="15.75" customHeight="1">
      <c r="A14" s="125" t="s">
        <v>4764</v>
      </c>
      <c r="B14" s="123" t="e">
        <f t="shared" si="0"/>
        <v>#VALUE!</v>
      </c>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row>
    <row r="15" spans="1:26" ht="15.75" customHeight="1">
      <c r="A15" s="125" t="s">
        <v>4765</v>
      </c>
      <c r="B15" s="123" t="e">
        <f t="shared" si="0"/>
        <v>#VALUE!</v>
      </c>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row>
    <row r="16" spans="1:26" ht="16.5" customHeight="1">
      <c r="A16" s="126" t="str">
        <f>UPPER("Plataforma")</f>
        <v>PLATAFORMA</v>
      </c>
      <c r="B16" s="123" t="e">
        <f t="shared" ref="B16:B17" si="1">COUNTIF('[1]Matemática 2025'!C:C,A16)</f>
        <v>#VALUE!</v>
      </c>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row>
    <row r="17" spans="1:26" ht="15.75" customHeight="1">
      <c r="A17" s="127" t="str">
        <f>UPPER("Álgebra")</f>
        <v>ÁLGEBRA</v>
      </c>
      <c r="B17" s="123" t="e">
        <f t="shared" si="1"/>
        <v>#VALUE!</v>
      </c>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row>
    <row r="18" spans="1:26" ht="15.75" customHeight="1">
      <c r="A18" s="128" t="s">
        <v>4766</v>
      </c>
      <c r="B18" s="123" t="e">
        <f t="shared" ref="B18:B26" si="2">COUNTIF('[1]Matemática 2025'!F:F,A18)</f>
        <v>#VALUE!</v>
      </c>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row>
    <row r="19" spans="1:26" ht="15.75" customHeight="1">
      <c r="A19" s="128" t="s">
        <v>4767</v>
      </c>
      <c r="B19" s="123" t="e">
        <f t="shared" si="2"/>
        <v>#VALUE!</v>
      </c>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row>
    <row r="20" spans="1:26" ht="15.75" customHeight="1">
      <c r="A20" s="128" t="s">
        <v>4768</v>
      </c>
      <c r="B20" s="123" t="e">
        <f t="shared" si="2"/>
        <v>#VALUE!</v>
      </c>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23"/>
    </row>
    <row r="21" spans="1:26" ht="15.75" customHeight="1">
      <c r="A21" s="128" t="s">
        <v>4769</v>
      </c>
      <c r="B21" s="123" t="e">
        <f t="shared" si="2"/>
        <v>#VALUE!</v>
      </c>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3"/>
    </row>
    <row r="22" spans="1:26" ht="15.75" customHeight="1">
      <c r="A22" s="128" t="s">
        <v>4770</v>
      </c>
      <c r="B22" s="123" t="e">
        <f t="shared" si="2"/>
        <v>#VALUE!</v>
      </c>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row>
    <row r="23" spans="1:26" ht="15.75" customHeight="1">
      <c r="A23" s="128" t="s">
        <v>4771</v>
      </c>
      <c r="B23" s="123" t="e">
        <f t="shared" si="2"/>
        <v>#VALUE!</v>
      </c>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3"/>
    </row>
    <row r="24" spans="1:26" ht="15.75" customHeight="1">
      <c r="A24" s="128" t="s">
        <v>4772</v>
      </c>
      <c r="B24" s="123" t="e">
        <f t="shared" si="2"/>
        <v>#VALUE!</v>
      </c>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row>
    <row r="25" spans="1:26" ht="15.75" customHeight="1">
      <c r="A25" s="128" t="s">
        <v>4773</v>
      </c>
      <c r="B25" s="123" t="e">
        <f t="shared" si="2"/>
        <v>#VALUE!</v>
      </c>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row>
    <row r="26" spans="1:26" ht="15.75" customHeight="1">
      <c r="A26" s="128" t="s">
        <v>4765</v>
      </c>
      <c r="B26" s="123" t="e">
        <f t="shared" si="2"/>
        <v>#VALUE!</v>
      </c>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row>
    <row r="27" spans="1:26" ht="15.75" customHeight="1">
      <c r="A27" s="129" t="str">
        <f>UPPER("Probab. e estatística")</f>
        <v>PROBAB. E ESTATÍSTICA</v>
      </c>
      <c r="B27" s="123" t="e">
        <f>COUNTIF('[1]Matemática 2025'!C:C,A27)</f>
        <v>#VALUE!</v>
      </c>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row>
    <row r="28" spans="1:26" ht="15.75" customHeight="1">
      <c r="A28" s="128" t="s">
        <v>4774</v>
      </c>
      <c r="B28" s="123" t="e">
        <f t="shared" ref="B28:B36" si="3">COUNTIF('[1]Matemática 2025'!F:F,A28)</f>
        <v>#VALUE!</v>
      </c>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3"/>
    </row>
    <row r="29" spans="1:26" ht="15.75" customHeight="1">
      <c r="A29" s="128" t="s">
        <v>4775</v>
      </c>
      <c r="B29" s="123" t="e">
        <f t="shared" si="3"/>
        <v>#VALUE!</v>
      </c>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row>
    <row r="30" spans="1:26" ht="15.75" customHeight="1">
      <c r="A30" s="128" t="s">
        <v>4776</v>
      </c>
      <c r="B30" s="123" t="e">
        <f t="shared" si="3"/>
        <v>#VALUE!</v>
      </c>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row>
    <row r="31" spans="1:26" ht="15.75" customHeight="1">
      <c r="A31" s="128" t="s">
        <v>4777</v>
      </c>
      <c r="B31" s="123" t="e">
        <f t="shared" si="3"/>
        <v>#VALUE!</v>
      </c>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row>
    <row r="32" spans="1:26" ht="15.75" customHeight="1">
      <c r="A32" s="128" t="s">
        <v>4778</v>
      </c>
      <c r="B32" s="123" t="e">
        <f t="shared" si="3"/>
        <v>#VALUE!</v>
      </c>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row>
    <row r="33" spans="1:26" ht="15.75" customHeight="1">
      <c r="A33" s="128" t="s">
        <v>4779</v>
      </c>
      <c r="B33" s="123" t="e">
        <f t="shared" si="3"/>
        <v>#VALUE!</v>
      </c>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row>
    <row r="34" spans="1:26" ht="15.75" customHeight="1">
      <c r="A34" s="128" t="s">
        <v>4780</v>
      </c>
      <c r="B34" s="123" t="e">
        <f t="shared" si="3"/>
        <v>#VALUE!</v>
      </c>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row>
    <row r="35" spans="1:26" ht="15.75" customHeight="1">
      <c r="A35" s="128" t="s">
        <v>4781</v>
      </c>
      <c r="B35" s="123" t="e">
        <f t="shared" si="3"/>
        <v>#VALUE!</v>
      </c>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3"/>
    </row>
    <row r="36" spans="1:26" ht="15.75" customHeight="1">
      <c r="A36" s="128" t="s">
        <v>4765</v>
      </c>
      <c r="B36" s="123" t="e">
        <f t="shared" si="3"/>
        <v>#VALUE!</v>
      </c>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row>
    <row r="37" spans="1:26" ht="15.75" customHeight="1">
      <c r="A37" s="127" t="s">
        <v>4782</v>
      </c>
      <c r="B37" s="123" t="e">
        <f>COUNTIF('[1]Matemática 2025'!C:C,A37)</f>
        <v>#VALUE!</v>
      </c>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row>
    <row r="38" spans="1:26" ht="15.75" customHeight="1">
      <c r="A38" s="130" t="s">
        <v>4783</v>
      </c>
      <c r="B38" s="123" t="e">
        <f t="shared" ref="B38:B48" si="4">COUNTIF('[1]Matemática 2025'!F:F,A38)</f>
        <v>#VALUE!</v>
      </c>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row>
    <row r="39" spans="1:26" ht="15.75" customHeight="1">
      <c r="A39" s="128" t="s">
        <v>4784</v>
      </c>
      <c r="B39" s="123" t="e">
        <f t="shared" si="4"/>
        <v>#VALUE!</v>
      </c>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row>
    <row r="40" spans="1:26" ht="15.75" customHeight="1">
      <c r="A40" s="128" t="s">
        <v>4785</v>
      </c>
      <c r="B40" s="123" t="e">
        <f t="shared" si="4"/>
        <v>#VALUE!</v>
      </c>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row>
    <row r="41" spans="1:26" ht="15.75" customHeight="1">
      <c r="A41" s="128" t="s">
        <v>4786</v>
      </c>
      <c r="B41" s="123" t="e">
        <f t="shared" si="4"/>
        <v>#VALUE!</v>
      </c>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row>
    <row r="42" spans="1:26" ht="15.75" customHeight="1">
      <c r="A42" s="128" t="s">
        <v>4787</v>
      </c>
      <c r="B42" s="123" t="e">
        <f t="shared" si="4"/>
        <v>#VALUE!</v>
      </c>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row>
    <row r="43" spans="1:26" ht="15.75" customHeight="1">
      <c r="A43" s="128" t="s">
        <v>4788</v>
      </c>
      <c r="B43" s="123" t="e">
        <f t="shared" si="4"/>
        <v>#VALUE!</v>
      </c>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row>
    <row r="44" spans="1:26" ht="15.75" customHeight="1">
      <c r="A44" s="128" t="s">
        <v>4789</v>
      </c>
      <c r="B44" s="123" t="e">
        <f t="shared" si="4"/>
        <v>#VALUE!</v>
      </c>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row>
    <row r="45" spans="1:26" ht="15.75" customHeight="1">
      <c r="A45" s="128" t="s">
        <v>4790</v>
      </c>
      <c r="B45" s="123" t="e">
        <f t="shared" si="4"/>
        <v>#VALUE!</v>
      </c>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row>
    <row r="46" spans="1:26" ht="15.75" customHeight="1">
      <c r="A46" s="128" t="s">
        <v>4791</v>
      </c>
      <c r="B46" s="123" t="e">
        <f t="shared" si="4"/>
        <v>#VALUE!</v>
      </c>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3"/>
    </row>
    <row r="47" spans="1:26" ht="15.75" customHeight="1">
      <c r="A47" s="128" t="s">
        <v>4792</v>
      </c>
      <c r="B47" s="123" t="e">
        <f t="shared" si="4"/>
        <v>#VALUE!</v>
      </c>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row>
    <row r="48" spans="1:26" ht="15.75" customHeight="1">
      <c r="A48" s="130" t="s">
        <v>4765</v>
      </c>
      <c r="B48" s="123" t="e">
        <f t="shared" si="4"/>
        <v>#VALUE!</v>
      </c>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row>
    <row r="49" spans="1:26" ht="15.75" customHeight="1">
      <c r="A49" s="127" t="s">
        <v>4793</v>
      </c>
      <c r="B49" s="131" t="e">
        <f>COUNTIF('[1]Matemática 2025'!C:C,A49)</f>
        <v>#VALUE!</v>
      </c>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row>
    <row r="50" spans="1:26" ht="15.75" customHeight="1">
      <c r="A50" s="128" t="s">
        <v>4794</v>
      </c>
      <c r="B50" s="123" t="e">
        <f>COUNTIF('[1]Matemática 2025'!F:F,A50)</f>
        <v>#VALUE!</v>
      </c>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row>
    <row r="51" spans="1:26" ht="15.75" customHeight="1">
      <c r="A51" s="128"/>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row>
    <row r="52" spans="1:26" ht="15.75" customHeight="1">
      <c r="A52" s="128"/>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spans="1:26" ht="15.75" customHeight="1">
      <c r="A53" s="128"/>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spans="1:26" ht="15.75" customHeight="1">
      <c r="A54" s="130"/>
      <c r="B54" s="130"/>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spans="1:26" ht="15.75" customHeight="1">
      <c r="A55" s="133"/>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spans="1:26" ht="15.75" customHeight="1">
      <c r="A56" s="130"/>
      <c r="B56" s="130"/>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spans="1:26" ht="15.75" customHeight="1">
      <c r="A57" s="134"/>
      <c r="B57" s="130"/>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spans="1:26" ht="15.75" customHeight="1">
      <c r="A58" s="135"/>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spans="1:26" ht="15.75" customHeight="1">
      <c r="A59" s="135"/>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spans="1:26" ht="15.75" customHeight="1">
      <c r="A60" s="136"/>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spans="1:26" ht="15.75" customHeight="1">
      <c r="A61" s="137"/>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spans="1:26" ht="15.75" customHeight="1">
      <c r="A62" s="135"/>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spans="1:26" ht="15.75" customHeight="1">
      <c r="A63" s="138"/>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spans="1:26" ht="15.75" customHeight="1">
      <c r="A64" s="138"/>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spans="1:26" ht="15.75" customHeight="1">
      <c r="A65" s="136"/>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spans="1:26" ht="15.75" customHeight="1">
      <c r="A66" s="138"/>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spans="1:26" ht="15.75" customHeight="1">
      <c r="A67" s="136"/>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spans="1:26" ht="15.75" customHeight="1">
      <c r="A68" s="130"/>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spans="1:26" ht="15.75" customHeight="1">
      <c r="A69" s="130"/>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spans="1:26" ht="15.75" customHeight="1">
      <c r="A70" s="130"/>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spans="1:26" ht="15.75" customHeight="1">
      <c r="A71" s="130"/>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spans="1:26" ht="15.75" customHeight="1">
      <c r="A72" s="130"/>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spans="1:26" ht="15.75" customHeight="1">
      <c r="A73" s="130"/>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row>
    <row r="74" spans="1:26" ht="15.75" customHeight="1">
      <c r="A74" s="130"/>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row>
    <row r="75" spans="1:26" ht="15.75" customHeight="1">
      <c r="A75" s="130"/>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row>
    <row r="76" spans="1:26" ht="15.75" customHeight="1">
      <c r="A76" s="130"/>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row>
    <row r="77" spans="1:26" ht="15.75" customHeight="1">
      <c r="A77" s="130"/>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row>
    <row r="78" spans="1:26" ht="15.75" customHeight="1">
      <c r="A78" s="130"/>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row>
    <row r="79" spans="1:26" ht="15.75" customHeight="1">
      <c r="A79" s="130"/>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row>
    <row r="80" spans="1:26" ht="15.75" customHeight="1">
      <c r="A80" s="130"/>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row>
    <row r="81" spans="1:26" ht="15.75" customHeight="1">
      <c r="A81" s="130"/>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row>
    <row r="82" spans="1:26" ht="15.75" customHeight="1">
      <c r="A82" s="130"/>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row>
    <row r="83" spans="1:26" ht="15.75" customHeight="1">
      <c r="A83" s="130"/>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row>
    <row r="84" spans="1:26" ht="15.75" customHeight="1">
      <c r="A84" s="130"/>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row>
    <row r="85" spans="1:26" ht="15.75" customHeight="1">
      <c r="A85" s="130"/>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row>
    <row r="86" spans="1:26" ht="15.75" customHeight="1">
      <c r="A86" s="130"/>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row>
    <row r="87" spans="1:26" ht="15.75" customHeight="1">
      <c r="A87" s="130"/>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row>
    <row r="88" spans="1:26" ht="15.75" customHeight="1">
      <c r="A88" s="130"/>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row>
    <row r="89" spans="1:26" ht="15.75" customHeight="1">
      <c r="A89" s="130"/>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row>
    <row r="90" spans="1:26" ht="15.75" customHeight="1">
      <c r="A90" s="130"/>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row>
    <row r="91" spans="1:26" ht="15.75" customHeight="1">
      <c r="A91" s="130"/>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row>
    <row r="92" spans="1:26" ht="15.75" customHeight="1">
      <c r="A92" s="130"/>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row>
    <row r="93" spans="1:26" ht="15.75" customHeight="1">
      <c r="A93" s="130"/>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row>
    <row r="94" spans="1:26" ht="15.75" customHeight="1">
      <c r="A94" s="130"/>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row>
    <row r="95" spans="1:26" ht="15.75" customHeight="1">
      <c r="A95" s="130"/>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row>
    <row r="96" spans="1:26" ht="15.75" customHeight="1">
      <c r="A96" s="130"/>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row>
    <row r="97" spans="1:26" ht="15.75" customHeight="1">
      <c r="A97" s="130"/>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row>
    <row r="98" spans="1:26" ht="15.75" customHeight="1">
      <c r="A98" s="139"/>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row>
    <row r="99" spans="1:26" ht="15.75" customHeight="1">
      <c r="A99" s="140"/>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row>
    <row r="100" spans="1:26" ht="15.75" customHeight="1">
      <c r="A100" s="139"/>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spans="1:26" ht="15.75" customHeight="1">
      <c r="A101" s="140"/>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spans="1:26" ht="15.75" customHeight="1">
      <c r="A102" s="141"/>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spans="1:26" ht="15.75" customHeight="1">
      <c r="A103" s="140"/>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spans="1:26" ht="15.75" customHeight="1">
      <c r="A104" s="139"/>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spans="1:26" ht="15.75" customHeight="1">
      <c r="A105" s="13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spans="1:26" ht="15.75" customHeight="1">
      <c r="A106" s="140"/>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spans="1:26" ht="15.75" customHeight="1">
      <c r="A107" s="13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spans="1:26" ht="15.75" customHeight="1">
      <c r="A108" s="140"/>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spans="1:26" ht="15.75" customHeight="1">
      <c r="A109" s="13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spans="1:26" ht="15.75" customHeight="1">
      <c r="A110" s="140"/>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spans="1:26" ht="15.75" customHeight="1">
      <c r="A111" s="141"/>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spans="1:26" ht="15.75" customHeight="1">
      <c r="A112" s="140"/>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spans="1:26" ht="15.75" customHeight="1">
      <c r="A113" s="141"/>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spans="1:26" ht="15.75" customHeight="1">
      <c r="A114" s="140"/>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spans="1:26" ht="15.75" customHeight="1">
      <c r="A115" s="141"/>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spans="1:26" ht="15.75" customHeight="1">
      <c r="A116" s="140"/>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spans="1:26" ht="15.75" customHeight="1">
      <c r="A117" s="13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spans="1:26" ht="15.75" customHeight="1">
      <c r="A118" s="140"/>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spans="1:26" ht="15.75" customHeight="1">
      <c r="A119" s="13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spans="1:26" ht="15.75" customHeight="1">
      <c r="A120" s="140"/>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spans="1:26" ht="15.75" customHeight="1">
      <c r="A121" s="13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spans="1:26" ht="15.75" customHeight="1">
      <c r="A122" s="13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spans="1:26" ht="15.75" customHeight="1">
      <c r="A123" s="140"/>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spans="1:26" ht="15.75" customHeight="1">
      <c r="A124" s="13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spans="1:26" ht="15.75" customHeight="1">
      <c r="A125" s="140"/>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spans="1:26" ht="15.75" customHeight="1">
      <c r="A126" s="130"/>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spans="1:26" ht="15.75" customHeight="1">
      <c r="A127" s="130"/>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spans="1:26" ht="15.75" customHeight="1">
      <c r="A128" s="130"/>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spans="1:26" ht="15.75" customHeight="1">
      <c r="A129" s="130"/>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spans="1:26" ht="15.75" customHeight="1">
      <c r="A130" s="130"/>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spans="1:26" ht="15.75" customHeight="1">
      <c r="A131" s="130"/>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spans="1:26" ht="15.75" customHeight="1">
      <c r="A132" s="130"/>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spans="1:26" ht="15.75" customHeight="1">
      <c r="A133" s="130"/>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spans="1:26" ht="15.75" customHeight="1">
      <c r="A134" s="130"/>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spans="1:26" ht="15.75" customHeight="1">
      <c r="A135" s="130"/>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spans="1:26" ht="15.75" customHeight="1">
      <c r="A136" s="130"/>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spans="1:26" ht="15.75" customHeight="1">
      <c r="A137" s="130"/>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spans="1:26" ht="15.75" customHeight="1">
      <c r="A138" s="130"/>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spans="1:26" ht="15.75" customHeight="1">
      <c r="A139" s="130"/>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spans="1:26" ht="15.75" customHeight="1">
      <c r="A140" s="130"/>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spans="1:26" ht="15.75" customHeight="1">
      <c r="A141" s="130"/>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spans="1:26" ht="15.75" customHeight="1">
      <c r="A142" s="130"/>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spans="1:26" ht="15.75" customHeight="1">
      <c r="A143" s="130"/>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spans="1:26" ht="15.75" customHeight="1">
      <c r="A144" s="130"/>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spans="1:26" ht="15.75" customHeight="1">
      <c r="A145" s="130"/>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spans="1:26" ht="15.75" customHeight="1">
      <c r="A146" s="130"/>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spans="1:26" ht="15.75" customHeight="1">
      <c r="A147" s="130"/>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spans="1:26" ht="15.75" customHeight="1">
      <c r="A148" s="130"/>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spans="1:26" ht="15.75" customHeight="1">
      <c r="A149" s="130"/>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spans="1:26" ht="15.75" customHeight="1">
      <c r="A150" s="130"/>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spans="1:26" ht="15.75" customHeight="1">
      <c r="A151" s="130"/>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spans="1:26" ht="15.75" customHeight="1">
      <c r="A152" s="130"/>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spans="1:26" ht="15.75" customHeight="1">
      <c r="A153" s="130"/>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spans="1:26" ht="15.75" customHeight="1">
      <c r="A154" s="130"/>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spans="1:26" ht="15.75" customHeight="1">
      <c r="A155" s="130"/>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spans="1:26" ht="15.75" customHeight="1">
      <c r="A156" s="130"/>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spans="1:26" ht="15.75" customHeight="1">
      <c r="A157" s="130"/>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spans="1:26" ht="15.75" customHeight="1">
      <c r="A158" s="130"/>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spans="1:26" ht="15.75" customHeight="1">
      <c r="A159" s="130"/>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spans="1:26" ht="15.75" customHeight="1">
      <c r="A160" s="130"/>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spans="1:26" ht="15.75" customHeight="1">
      <c r="A161" s="130"/>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spans="1:26" ht="15.75" customHeight="1">
      <c r="A162" s="130"/>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spans="1:26" ht="15.75" customHeight="1">
      <c r="A163" s="130"/>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spans="1:26" ht="15.75" customHeight="1">
      <c r="A164" s="130"/>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spans="1:26" ht="15.75" customHeight="1">
      <c r="A165" s="130"/>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spans="1:26" ht="15.75" customHeight="1">
      <c r="A166" s="130"/>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spans="1:26" ht="15.75" customHeight="1">
      <c r="A167" s="130"/>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spans="1:26" ht="15.75" customHeight="1">
      <c r="A168" s="130"/>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spans="1:26" ht="15.75" customHeight="1">
      <c r="A169" s="130"/>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spans="1:26" ht="15.75" customHeight="1">
      <c r="A170" s="130"/>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spans="1:26" ht="15.75" customHeight="1">
      <c r="A171" s="130"/>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spans="1:26" ht="15.75" customHeight="1">
      <c r="A172" s="130"/>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spans="1:26" ht="15.75" customHeight="1">
      <c r="A173" s="130"/>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spans="1:26" ht="15.75" customHeight="1">
      <c r="A174" s="130"/>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spans="1:26" ht="15.75" customHeight="1">
      <c r="A175" s="130"/>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spans="1:26" ht="15.75" customHeight="1">
      <c r="A176" s="130"/>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spans="1:26" ht="15.75" customHeight="1">
      <c r="A177" s="130"/>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spans="1:26" ht="15.75" customHeight="1">
      <c r="A178" s="130"/>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spans="1:26" ht="15.75" customHeight="1">
      <c r="A179" s="130"/>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spans="1:26" ht="15.75" customHeight="1">
      <c r="A180" s="130"/>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spans="1:26" ht="15.75" customHeight="1">
      <c r="A181" s="130"/>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spans="1:26" ht="15.75" customHeight="1">
      <c r="A182" s="130"/>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spans="1:26" ht="15.75" customHeight="1">
      <c r="A183" s="130"/>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spans="1:26" ht="15.75" customHeight="1">
      <c r="A184" s="130"/>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spans="1:26" ht="15.75" customHeight="1">
      <c r="A185" s="130"/>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spans="1:26" ht="15.75" customHeight="1">
      <c r="A186" s="130"/>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spans="1:26" ht="15.75" customHeight="1">
      <c r="A187" s="130"/>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spans="1:26" ht="15.75" customHeight="1">
      <c r="A188" s="130"/>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spans="1:26" ht="15.75" customHeight="1">
      <c r="A189" s="130"/>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spans="1:26" ht="15.75" customHeight="1">
      <c r="A190" s="130"/>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spans="1:26" ht="15.75" customHeight="1">
      <c r="A191" s="130"/>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spans="1:26" ht="15.75" customHeight="1">
      <c r="A192" s="130"/>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spans="1:26" ht="15.75" customHeight="1">
      <c r="A193" s="130"/>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spans="1:26" ht="15.75" customHeight="1">
      <c r="A194" s="130"/>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spans="1:26" ht="15.75" customHeight="1">
      <c r="A195" s="130"/>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spans="1:26" ht="15.75" customHeight="1">
      <c r="A196" s="130"/>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spans="1:26" ht="15.75" customHeight="1">
      <c r="A197" s="130"/>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spans="1:26" ht="15.75" customHeight="1">
      <c r="A198" s="130"/>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spans="1:26" ht="15.75" customHeight="1">
      <c r="A199" s="130"/>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spans="1:26" ht="15.75" customHeight="1">
      <c r="A200" s="130"/>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spans="1:26" ht="15.75" customHeight="1">
      <c r="A201" s="130"/>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spans="1:26" ht="15.75" customHeight="1">
      <c r="A202" s="130"/>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spans="1:26" ht="15.75" customHeight="1">
      <c r="A203" s="130"/>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spans="1:26" ht="15.75" customHeight="1">
      <c r="A204" s="130"/>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spans="1:26" ht="15.75" customHeight="1">
      <c r="A205" s="130"/>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spans="1:26" ht="15.75" customHeight="1">
      <c r="A206" s="130"/>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spans="1:26" ht="15.75" customHeight="1">
      <c r="A207" s="130"/>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spans="1:26" ht="15.75" customHeight="1">
      <c r="A208" s="130"/>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spans="1:26" ht="15.75" customHeight="1">
      <c r="A209" s="130"/>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spans="1:26" ht="15.75" customHeight="1">
      <c r="A210" s="130"/>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spans="1:26" ht="15.75" customHeight="1">
      <c r="A211" s="130"/>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spans="1:26" ht="15.75" customHeight="1">
      <c r="A212" s="130"/>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spans="1:26" ht="15.75" customHeight="1">
      <c r="A213" s="130"/>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spans="1:26" ht="15.75" customHeight="1">
      <c r="A214" s="130"/>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spans="1:26" ht="15.75" customHeight="1">
      <c r="A215" s="130"/>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spans="1:26" ht="15.75" customHeight="1">
      <c r="A216" s="130"/>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spans="1:26" ht="15.75" customHeight="1">
      <c r="A217" s="130"/>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spans="1:26" ht="15.75" customHeight="1">
      <c r="A218" s="130"/>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spans="1:26" ht="15.75" customHeight="1">
      <c r="A219" s="130"/>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spans="1:26" ht="15.75" customHeight="1">
      <c r="A220" s="130"/>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spans="1:26" ht="15.75" customHeight="1">
      <c r="A221" s="130"/>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spans="1:26" ht="15.75" customHeight="1">
      <c r="A222" s="130"/>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spans="1:26" ht="15.75" customHeight="1">
      <c r="A223" s="130"/>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spans="1:26" ht="15.75" customHeight="1">
      <c r="A224" s="130"/>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spans="1:26" ht="15.75" customHeight="1">
      <c r="A225" s="130"/>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spans="1:26" ht="15.75" customHeight="1">
      <c r="A226" s="130"/>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spans="1:26" ht="15.75" customHeight="1">
      <c r="A227" s="130"/>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spans="1:26" ht="15.75" customHeight="1">
      <c r="A228" s="130"/>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spans="1:26" ht="15.75" customHeight="1">
      <c r="A229" s="130"/>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spans="1:26" ht="15.75" customHeight="1">
      <c r="A230" s="130"/>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spans="1:26" ht="15.75" customHeight="1">
      <c r="A231" s="130"/>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spans="1:26" ht="15.75" customHeight="1">
      <c r="A232" s="130"/>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spans="1:26" ht="15.75" customHeight="1">
      <c r="A233" s="130"/>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spans="1:26" ht="15.75" customHeight="1">
      <c r="A234" s="130"/>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spans="1:26" ht="15.75" customHeight="1">
      <c r="A235" s="130"/>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spans="1:26" ht="15.75" customHeight="1">
      <c r="A236" s="130"/>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spans="1:26" ht="15.75" customHeight="1">
      <c r="A237" s="130"/>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spans="1:26" ht="15.75" customHeight="1">
      <c r="A238" s="130"/>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spans="1:26" ht="15.75" customHeight="1">
      <c r="A239" s="130"/>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spans="1:26" ht="15.75" customHeight="1">
      <c r="A240" s="130"/>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spans="1:26" ht="15.75" customHeight="1">
      <c r="A241" s="130"/>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spans="1:26" ht="15.75" customHeight="1">
      <c r="A242" s="130"/>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spans="1:26" ht="15.75" customHeight="1">
      <c r="A243" s="130"/>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spans="1:26" ht="15.75" customHeight="1">
      <c r="A244" s="130"/>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spans="1:26" ht="15.75" customHeight="1">
      <c r="A245" s="130"/>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spans="1:26" ht="15.75" customHeight="1">
      <c r="A246" s="130"/>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spans="1:26" ht="15.75" customHeight="1">
      <c r="A247" s="130"/>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spans="1:26" ht="15.75" customHeight="1">
      <c r="A248" s="130"/>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spans="1:26" ht="15.75" customHeight="1">
      <c r="A249" s="130"/>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spans="1:26" ht="15.75" customHeight="1">
      <c r="A250" s="130"/>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drawing r:id="rId1"/>
</worksheet>
</file>

<file path=xl/worksheets/sheet22.xml><?xml version="1.0" encoding="utf-8"?>
<worksheet xmlns="http://schemas.openxmlformats.org/spreadsheetml/2006/main" xmlns:r="http://schemas.openxmlformats.org/officeDocument/2006/relationships">
  <sheetPr>
    <tabColor rgb="FF3D85C6"/>
    <outlinePr summaryBelow="0" summaryRight="0"/>
  </sheetPr>
  <dimension ref="A1:J1000"/>
  <sheetViews>
    <sheetView workbookViewId="0">
      <pane ySplit="2" topLeftCell="A3" activePane="bottomLeft" state="frozen"/>
      <selection pane="bottomLeft" activeCell="B4" sqref="B4"/>
    </sheetView>
  </sheetViews>
  <sheetFormatPr defaultColWidth="12.5703125" defaultRowHeight="15" customHeight="1"/>
  <cols>
    <col min="1" max="1" width="10.85546875" customWidth="1"/>
    <col min="2" max="2" width="6.5703125" customWidth="1"/>
    <col min="3" max="3" width="19.5703125" customWidth="1"/>
    <col min="4" max="4" width="12.85546875" customWidth="1"/>
    <col min="5" max="5" width="21.42578125" customWidth="1"/>
    <col min="6" max="6" width="27.42578125" customWidth="1"/>
    <col min="7" max="7" width="12" customWidth="1"/>
    <col min="8" max="8" width="21.42578125" customWidth="1"/>
    <col min="9" max="9" width="20.42578125" customWidth="1"/>
    <col min="10" max="10" width="30" customWidth="1"/>
    <col min="11" max="26" width="12.42578125" customWidth="1"/>
  </cols>
  <sheetData>
    <row r="1" spans="1:10" ht="15.75" customHeight="1">
      <c r="A1" s="268" t="s">
        <v>4795</v>
      </c>
      <c r="B1" s="269"/>
      <c r="C1" s="269"/>
      <c r="D1" s="269"/>
      <c r="E1" s="269"/>
      <c r="F1" s="269"/>
      <c r="G1" s="269"/>
      <c r="H1" s="269"/>
      <c r="I1" s="269"/>
      <c r="J1" s="270"/>
    </row>
    <row r="2" spans="1:10" ht="15.75" customHeight="1">
      <c r="A2" s="142" t="s">
        <v>23</v>
      </c>
      <c r="B2" s="142" t="s">
        <v>24</v>
      </c>
      <c r="C2" s="142" t="s">
        <v>4796</v>
      </c>
      <c r="D2" s="143" t="s">
        <v>27</v>
      </c>
      <c r="E2" s="142" t="s">
        <v>4797</v>
      </c>
      <c r="F2" s="142" t="s">
        <v>835</v>
      </c>
      <c r="G2" s="142" t="s">
        <v>4798</v>
      </c>
      <c r="H2" s="144" t="s">
        <v>30</v>
      </c>
      <c r="I2" s="145" t="s">
        <v>4799</v>
      </c>
      <c r="J2" s="142" t="s">
        <v>4800</v>
      </c>
    </row>
    <row r="3" spans="1:10" ht="15.75" customHeight="1">
      <c r="A3" s="146" t="s">
        <v>35</v>
      </c>
      <c r="B3" s="147">
        <v>1</v>
      </c>
      <c r="C3" s="148"/>
      <c r="D3" s="149"/>
      <c r="E3" s="147"/>
      <c r="F3" s="147"/>
      <c r="G3" s="147"/>
      <c r="H3" s="150"/>
      <c r="I3" s="151"/>
      <c r="J3" s="152"/>
    </row>
    <row r="4" spans="1:10" ht="15.75" customHeight="1">
      <c r="A4" s="146" t="s">
        <v>35</v>
      </c>
      <c r="B4" s="147">
        <v>2</v>
      </c>
      <c r="C4" s="148"/>
      <c r="D4" s="149"/>
      <c r="E4" s="147"/>
      <c r="F4" s="147"/>
      <c r="G4" s="147"/>
      <c r="H4" s="150"/>
      <c r="I4" s="151"/>
      <c r="J4" s="152"/>
    </row>
    <row r="5" spans="1:10" ht="15.75" customHeight="1">
      <c r="A5" s="146" t="s">
        <v>35</v>
      </c>
      <c r="B5" s="147">
        <v>3</v>
      </c>
      <c r="C5" s="148"/>
      <c r="D5" s="149"/>
      <c r="E5" s="147"/>
      <c r="F5" s="147"/>
      <c r="G5" s="147"/>
      <c r="H5" s="150"/>
      <c r="I5" s="151"/>
      <c r="J5" s="153"/>
    </row>
    <row r="6" spans="1:10" ht="15.75" customHeight="1">
      <c r="A6" s="146" t="s">
        <v>35</v>
      </c>
      <c r="B6" s="147">
        <v>4</v>
      </c>
      <c r="C6" s="148"/>
      <c r="D6" s="149"/>
      <c r="E6" s="147"/>
      <c r="F6" s="147"/>
      <c r="G6" s="147"/>
      <c r="H6" s="150"/>
      <c r="I6" s="151"/>
      <c r="J6" s="153"/>
    </row>
    <row r="7" spans="1:10" ht="15.75" customHeight="1">
      <c r="A7" s="146" t="s">
        <v>35</v>
      </c>
      <c r="B7" s="147">
        <v>5</v>
      </c>
      <c r="C7" s="148"/>
      <c r="D7" s="149"/>
      <c r="E7" s="147"/>
      <c r="F7" s="147"/>
      <c r="G7" s="147"/>
      <c r="H7" s="150"/>
      <c r="I7" s="151"/>
      <c r="J7" s="153"/>
    </row>
    <row r="8" spans="1:10" ht="15.75" customHeight="1">
      <c r="A8" s="146" t="s">
        <v>35</v>
      </c>
      <c r="B8" s="147">
        <v>6</v>
      </c>
      <c r="C8" s="148"/>
      <c r="D8" s="149"/>
      <c r="E8" s="147"/>
      <c r="F8" s="147"/>
      <c r="G8" s="147"/>
      <c r="H8" s="150"/>
      <c r="I8" s="151"/>
      <c r="J8" s="153"/>
    </row>
    <row r="9" spans="1:10" ht="15.75" customHeight="1">
      <c r="A9" s="154" t="s">
        <v>35</v>
      </c>
      <c r="B9" s="152">
        <v>7</v>
      </c>
      <c r="C9" s="152"/>
      <c r="D9" s="152"/>
      <c r="E9" s="152"/>
      <c r="F9" s="152"/>
      <c r="G9" s="152"/>
      <c r="H9" s="155"/>
      <c r="I9" s="151"/>
      <c r="J9" s="152"/>
    </row>
    <row r="10" spans="1:10" ht="15.75" customHeight="1">
      <c r="A10" s="154" t="s">
        <v>35</v>
      </c>
      <c r="B10" s="152">
        <v>8</v>
      </c>
      <c r="C10" s="152"/>
      <c r="D10" s="152"/>
      <c r="E10" s="152"/>
      <c r="F10" s="152"/>
      <c r="G10" s="152"/>
      <c r="H10" s="155"/>
      <c r="I10" s="151"/>
      <c r="J10" s="152"/>
    </row>
    <row r="11" spans="1:10" ht="15.75" customHeight="1">
      <c r="A11" s="154" t="s">
        <v>35</v>
      </c>
      <c r="B11" s="152">
        <v>9</v>
      </c>
      <c r="C11" s="156"/>
      <c r="D11" s="153"/>
      <c r="E11" s="152"/>
      <c r="F11" s="152"/>
      <c r="G11" s="152"/>
      <c r="H11" s="155"/>
      <c r="I11" s="151"/>
      <c r="J11" s="153"/>
    </row>
    <row r="12" spans="1:10" ht="15.75" customHeight="1">
      <c r="A12" s="154" t="s">
        <v>35</v>
      </c>
      <c r="B12" s="152">
        <v>10</v>
      </c>
      <c r="C12" s="156"/>
      <c r="D12" s="153"/>
      <c r="E12" s="152"/>
      <c r="F12" s="152"/>
      <c r="G12" s="152"/>
      <c r="H12" s="155"/>
      <c r="I12" s="151"/>
      <c r="J12" s="153"/>
    </row>
    <row r="13" spans="1:10" ht="15.75" customHeight="1">
      <c r="A13" s="154" t="s">
        <v>35</v>
      </c>
      <c r="B13" s="152">
        <v>11</v>
      </c>
      <c r="C13" s="156"/>
      <c r="D13" s="153"/>
      <c r="E13" s="152"/>
      <c r="F13" s="152"/>
      <c r="G13" s="152"/>
      <c r="H13" s="155"/>
      <c r="I13" s="151"/>
      <c r="J13" s="153"/>
    </row>
    <row r="14" spans="1:10" ht="15.75" customHeight="1">
      <c r="A14" s="154" t="s">
        <v>35</v>
      </c>
      <c r="B14" s="152">
        <v>12</v>
      </c>
      <c r="C14" s="156"/>
      <c r="D14" s="153"/>
      <c r="E14" s="152"/>
      <c r="F14" s="152"/>
      <c r="G14" s="152"/>
      <c r="H14" s="155"/>
      <c r="I14" s="151"/>
      <c r="J14" s="153"/>
    </row>
    <row r="15" spans="1:10" ht="15.75" customHeight="1">
      <c r="A15" s="154" t="s">
        <v>35</v>
      </c>
      <c r="B15" s="152">
        <v>13</v>
      </c>
      <c r="C15" s="156"/>
      <c r="D15" s="153"/>
      <c r="E15" s="152"/>
      <c r="F15" s="152"/>
      <c r="G15" s="152"/>
      <c r="H15" s="155"/>
      <c r="I15" s="151"/>
      <c r="J15" s="153"/>
    </row>
    <row r="16" spans="1:10" ht="15.75" customHeight="1">
      <c r="A16" s="154" t="s">
        <v>35</v>
      </c>
      <c r="B16" s="152">
        <v>14</v>
      </c>
      <c r="C16" s="156"/>
      <c r="D16" s="153"/>
      <c r="E16" s="152"/>
      <c r="F16" s="152"/>
      <c r="G16" s="152"/>
      <c r="H16" s="155"/>
      <c r="I16" s="151"/>
      <c r="J16" s="153"/>
    </row>
    <row r="17" spans="1:10" ht="15.75" customHeight="1">
      <c r="A17" s="154" t="s">
        <v>35</v>
      </c>
      <c r="B17" s="152">
        <v>15</v>
      </c>
      <c r="C17" s="156"/>
      <c r="D17" s="153"/>
      <c r="E17" s="152"/>
      <c r="F17" s="152"/>
      <c r="G17" s="152"/>
      <c r="H17" s="155"/>
      <c r="I17" s="151"/>
      <c r="J17" s="152"/>
    </row>
    <row r="18" spans="1:10" ht="15.75" customHeight="1">
      <c r="A18" s="154" t="s">
        <v>35</v>
      </c>
      <c r="B18" s="152">
        <v>16</v>
      </c>
      <c r="C18" s="156"/>
      <c r="D18" s="153"/>
      <c r="E18" s="152"/>
      <c r="F18" s="152"/>
      <c r="G18" s="152"/>
      <c r="H18" s="155"/>
      <c r="I18" s="151"/>
      <c r="J18" s="152"/>
    </row>
    <row r="19" spans="1:10" ht="15.75" customHeight="1">
      <c r="A19" s="154" t="s">
        <v>35</v>
      </c>
      <c r="B19" s="152">
        <v>17</v>
      </c>
      <c r="C19" s="152"/>
      <c r="D19" s="152"/>
      <c r="E19" s="152"/>
      <c r="F19" s="152"/>
      <c r="G19" s="152"/>
      <c r="H19" s="155"/>
      <c r="I19" s="151"/>
      <c r="J19" s="152"/>
    </row>
    <row r="20" spans="1:10" ht="15.75" customHeight="1">
      <c r="A20" s="154" t="s">
        <v>35</v>
      </c>
      <c r="B20" s="152">
        <v>18</v>
      </c>
      <c r="C20" s="152"/>
      <c r="D20" s="152"/>
      <c r="E20" s="152"/>
      <c r="F20" s="152"/>
      <c r="G20" s="152"/>
      <c r="H20" s="155"/>
      <c r="I20" s="151"/>
      <c r="J20" s="152"/>
    </row>
    <row r="21" spans="1:10" ht="15.75" customHeight="1">
      <c r="A21" s="154" t="s">
        <v>35</v>
      </c>
      <c r="B21" s="152">
        <v>19</v>
      </c>
      <c r="C21" s="155"/>
      <c r="D21" s="153"/>
      <c r="E21" s="152"/>
      <c r="F21" s="152"/>
      <c r="G21" s="152"/>
      <c r="H21" s="155"/>
      <c r="I21" s="151"/>
      <c r="J21" s="152"/>
    </row>
    <row r="22" spans="1:10" ht="15.75" customHeight="1">
      <c r="A22" s="154" t="s">
        <v>35</v>
      </c>
      <c r="B22" s="152">
        <v>20</v>
      </c>
      <c r="C22" s="155"/>
      <c r="D22" s="153"/>
      <c r="E22" s="152"/>
      <c r="F22" s="152"/>
      <c r="G22" s="152"/>
      <c r="H22" s="155"/>
      <c r="I22" s="151"/>
      <c r="J22" s="152"/>
    </row>
    <row r="23" spans="1:10" ht="15.75" customHeight="1">
      <c r="A23" s="154" t="s">
        <v>35</v>
      </c>
      <c r="B23" s="152">
        <v>21</v>
      </c>
      <c r="C23" s="156"/>
      <c r="D23" s="153"/>
      <c r="E23" s="152"/>
      <c r="F23" s="152"/>
      <c r="G23" s="152"/>
      <c r="H23" s="157"/>
      <c r="I23" s="151"/>
      <c r="J23" s="152"/>
    </row>
    <row r="24" spans="1:10" ht="15.75" customHeight="1">
      <c r="A24" s="154" t="s">
        <v>35</v>
      </c>
      <c r="B24" s="152">
        <v>22</v>
      </c>
      <c r="C24" s="156"/>
      <c r="D24" s="153"/>
      <c r="E24" s="152"/>
      <c r="F24" s="152"/>
      <c r="G24" s="152"/>
      <c r="H24" s="157"/>
      <c r="I24" s="151"/>
      <c r="J24" s="152"/>
    </row>
    <row r="25" spans="1:10" ht="15.75" customHeight="1">
      <c r="A25" s="154" t="s">
        <v>35</v>
      </c>
      <c r="B25" s="152">
        <v>23</v>
      </c>
      <c r="C25" s="155"/>
      <c r="D25" s="153"/>
      <c r="E25" s="152"/>
      <c r="F25" s="152"/>
      <c r="G25" s="152"/>
      <c r="H25" s="155"/>
      <c r="I25" s="151"/>
      <c r="J25" s="152"/>
    </row>
    <row r="26" spans="1:10" ht="15.75" customHeight="1">
      <c r="A26" s="154" t="s">
        <v>35</v>
      </c>
      <c r="B26" s="152">
        <v>24</v>
      </c>
      <c r="C26" s="155"/>
      <c r="D26" s="153"/>
      <c r="E26" s="152"/>
      <c r="F26" s="152"/>
      <c r="G26" s="152"/>
      <c r="H26" s="155"/>
      <c r="I26" s="151"/>
      <c r="J26" s="152"/>
    </row>
    <row r="27" spans="1:10" ht="15.75" customHeight="1">
      <c r="A27" s="158"/>
      <c r="B27" s="159"/>
      <c r="C27" s="159"/>
      <c r="D27" s="160"/>
      <c r="E27" s="159"/>
      <c r="F27" s="159"/>
      <c r="G27" s="159"/>
      <c r="H27" s="161"/>
      <c r="I27" s="162"/>
      <c r="J27" s="159"/>
    </row>
    <row r="28" spans="1:10" ht="15.75" customHeight="1">
      <c r="A28" s="146" t="s">
        <v>90</v>
      </c>
      <c r="B28" s="147">
        <v>1</v>
      </c>
      <c r="C28" s="148"/>
      <c r="D28" s="149"/>
      <c r="E28" s="147"/>
      <c r="F28" s="147"/>
      <c r="G28" s="147"/>
      <c r="H28" s="150"/>
      <c r="I28" s="163"/>
    </row>
    <row r="29" spans="1:10" ht="15.75" customHeight="1">
      <c r="A29" s="146" t="s">
        <v>90</v>
      </c>
      <c r="B29" s="147">
        <v>3</v>
      </c>
      <c r="C29" s="148"/>
      <c r="D29" s="149"/>
      <c r="E29" s="147"/>
      <c r="F29" s="147"/>
      <c r="G29" s="147"/>
      <c r="H29" s="150"/>
      <c r="I29" s="164"/>
      <c r="J29" s="147"/>
    </row>
    <row r="30" spans="1:10" ht="15.75" customHeight="1">
      <c r="A30" s="146" t="s">
        <v>90</v>
      </c>
      <c r="B30" s="147">
        <v>4</v>
      </c>
      <c r="C30" s="148"/>
      <c r="D30" s="149"/>
      <c r="E30" s="147"/>
      <c r="F30" s="147"/>
      <c r="G30" s="147"/>
      <c r="H30" s="150"/>
      <c r="I30" s="164"/>
      <c r="J30" s="147"/>
    </row>
    <row r="31" spans="1:10" ht="15.75" customHeight="1">
      <c r="A31" s="146" t="s">
        <v>90</v>
      </c>
      <c r="B31" s="147">
        <v>5</v>
      </c>
      <c r="C31" s="148"/>
      <c r="D31" s="149"/>
      <c r="E31" s="147"/>
      <c r="F31" s="147"/>
      <c r="G31" s="147"/>
      <c r="H31" s="150"/>
      <c r="I31" s="164"/>
      <c r="J31" s="147"/>
    </row>
    <row r="32" spans="1:10" ht="15.75" customHeight="1">
      <c r="A32" s="146" t="s">
        <v>90</v>
      </c>
      <c r="B32" s="147">
        <v>6</v>
      </c>
      <c r="C32" s="148"/>
      <c r="D32" s="149"/>
      <c r="E32" s="147"/>
      <c r="F32" s="147"/>
      <c r="G32" s="147"/>
      <c r="H32" s="150"/>
      <c r="I32" s="164"/>
      <c r="J32" s="147"/>
    </row>
    <row r="33" spans="1:10" ht="15.75" customHeight="1">
      <c r="A33" s="146" t="s">
        <v>90</v>
      </c>
      <c r="B33" s="147">
        <v>7</v>
      </c>
      <c r="C33" s="147"/>
      <c r="D33" s="149"/>
      <c r="E33" s="147"/>
      <c r="F33" s="147"/>
      <c r="G33" s="147"/>
      <c r="H33" s="150"/>
      <c r="I33" s="164"/>
      <c r="J33" s="147"/>
    </row>
    <row r="34" spans="1:10" ht="15.75" customHeight="1">
      <c r="A34" s="146" t="s">
        <v>90</v>
      </c>
      <c r="B34" s="147">
        <v>8</v>
      </c>
      <c r="C34" s="147"/>
      <c r="D34" s="149"/>
      <c r="E34" s="147"/>
      <c r="F34" s="147"/>
      <c r="G34" s="147"/>
      <c r="H34" s="150"/>
      <c r="I34" s="164"/>
      <c r="J34" s="147"/>
    </row>
    <row r="35" spans="1:10" ht="15.75" customHeight="1">
      <c r="A35" s="146" t="s">
        <v>90</v>
      </c>
      <c r="B35" s="147">
        <v>9</v>
      </c>
      <c r="C35" s="147"/>
      <c r="D35" s="149"/>
      <c r="E35" s="147"/>
      <c r="F35" s="147"/>
      <c r="G35" s="147"/>
      <c r="H35" s="150"/>
      <c r="I35" s="164"/>
      <c r="J35" s="147"/>
    </row>
    <row r="36" spans="1:10" ht="15.75" customHeight="1">
      <c r="A36" s="146" t="s">
        <v>90</v>
      </c>
      <c r="B36" s="147">
        <v>10</v>
      </c>
      <c r="C36" s="147"/>
      <c r="D36" s="149"/>
      <c r="E36" s="147"/>
      <c r="F36" s="147"/>
      <c r="G36" s="147"/>
      <c r="H36" s="150"/>
      <c r="I36" s="164"/>
      <c r="J36" s="147"/>
    </row>
    <row r="37" spans="1:10" ht="15.75" customHeight="1">
      <c r="A37" s="146" t="s">
        <v>90</v>
      </c>
      <c r="B37" s="147">
        <v>11</v>
      </c>
      <c r="C37" s="147"/>
      <c r="D37" s="149"/>
      <c r="E37" s="147"/>
      <c r="F37" s="147"/>
      <c r="G37" s="147"/>
      <c r="H37" s="150"/>
      <c r="I37" s="164"/>
      <c r="J37" s="147"/>
    </row>
    <row r="38" spans="1:10" ht="15.75" customHeight="1">
      <c r="A38" s="146" t="s">
        <v>90</v>
      </c>
      <c r="B38" s="147">
        <v>12</v>
      </c>
      <c r="C38" s="147"/>
      <c r="D38" s="149"/>
      <c r="E38" s="147"/>
      <c r="F38" s="147"/>
      <c r="G38" s="147"/>
      <c r="H38" s="150"/>
      <c r="I38" s="164"/>
      <c r="J38" s="147"/>
    </row>
    <row r="39" spans="1:10" ht="15.75" customHeight="1">
      <c r="A39" s="146" t="s">
        <v>90</v>
      </c>
      <c r="B39" s="147">
        <v>13</v>
      </c>
      <c r="C39" s="147"/>
      <c r="D39" s="149"/>
      <c r="E39" s="147"/>
      <c r="F39" s="147"/>
      <c r="G39" s="147"/>
      <c r="H39" s="150"/>
      <c r="I39" s="164"/>
      <c r="J39" s="147"/>
    </row>
    <row r="40" spans="1:10" ht="15.75" customHeight="1">
      <c r="A40" s="146" t="s">
        <v>90</v>
      </c>
      <c r="B40" s="147">
        <v>14</v>
      </c>
      <c r="C40" s="147"/>
      <c r="D40" s="149"/>
      <c r="E40" s="147"/>
      <c r="F40" s="147"/>
      <c r="G40" s="147"/>
      <c r="H40" s="150"/>
      <c r="I40" s="164"/>
      <c r="J40" s="147"/>
    </row>
    <row r="41" spans="1:10" ht="15.75" customHeight="1">
      <c r="A41" s="146" t="s">
        <v>90</v>
      </c>
      <c r="B41" s="147">
        <v>15</v>
      </c>
      <c r="C41" s="147"/>
      <c r="D41" s="149"/>
      <c r="E41" s="147"/>
      <c r="F41" s="147"/>
      <c r="G41" s="147"/>
      <c r="H41" s="150"/>
      <c r="I41" s="164"/>
      <c r="J41" s="147"/>
    </row>
    <row r="42" spans="1:10" ht="15.75" customHeight="1">
      <c r="A42" s="146" t="s">
        <v>90</v>
      </c>
      <c r="B42" s="147">
        <v>16</v>
      </c>
      <c r="C42" s="147"/>
      <c r="D42" s="149"/>
      <c r="E42" s="147"/>
      <c r="F42" s="147"/>
      <c r="G42" s="147"/>
      <c r="H42" s="150"/>
      <c r="I42" s="164"/>
      <c r="J42" s="147"/>
    </row>
    <row r="43" spans="1:10" ht="15.75" customHeight="1">
      <c r="A43" s="146" t="s">
        <v>90</v>
      </c>
      <c r="B43" s="147">
        <v>17</v>
      </c>
      <c r="C43" s="147"/>
      <c r="D43" s="149"/>
      <c r="E43" s="147"/>
      <c r="F43" s="147"/>
      <c r="G43" s="147"/>
      <c r="H43" s="150"/>
      <c r="I43" s="163"/>
    </row>
    <row r="44" spans="1:10" ht="15.75" customHeight="1">
      <c r="A44" s="146" t="s">
        <v>90</v>
      </c>
      <c r="B44" s="147">
        <v>18</v>
      </c>
      <c r="C44" s="147"/>
      <c r="D44" s="149"/>
      <c r="E44" s="147"/>
      <c r="F44" s="147"/>
      <c r="G44" s="147"/>
      <c r="H44" s="150"/>
      <c r="I44" s="163"/>
      <c r="J44" s="147"/>
    </row>
    <row r="45" spans="1:10" ht="15.75" customHeight="1">
      <c r="A45" s="146" t="s">
        <v>90</v>
      </c>
      <c r="B45" s="147">
        <v>19</v>
      </c>
      <c r="C45" s="147"/>
      <c r="D45" s="149"/>
      <c r="E45" s="147"/>
      <c r="F45" s="147"/>
      <c r="G45" s="147"/>
      <c r="H45" s="150"/>
      <c r="I45" s="164"/>
      <c r="J45" s="147"/>
    </row>
    <row r="46" spans="1:10" ht="15.75" customHeight="1">
      <c r="A46" s="146" t="s">
        <v>90</v>
      </c>
      <c r="B46" s="147">
        <v>20</v>
      </c>
      <c r="C46" s="147"/>
      <c r="D46" s="149"/>
      <c r="E46" s="147"/>
      <c r="F46" s="147"/>
      <c r="G46" s="147"/>
      <c r="H46" s="150"/>
      <c r="I46" s="164"/>
      <c r="J46" s="147"/>
    </row>
    <row r="47" spans="1:10" ht="15.75" customHeight="1">
      <c r="A47" s="146" t="s">
        <v>90</v>
      </c>
      <c r="B47" s="147">
        <v>21</v>
      </c>
      <c r="C47" s="147"/>
      <c r="D47" s="149"/>
      <c r="E47" s="147"/>
      <c r="F47" s="147"/>
      <c r="G47" s="147"/>
      <c r="H47" s="150"/>
      <c r="I47" s="163"/>
      <c r="J47" s="147"/>
    </row>
    <row r="48" spans="1:10" ht="15.75" customHeight="1">
      <c r="A48" s="146" t="s">
        <v>90</v>
      </c>
      <c r="B48" s="147">
        <v>22</v>
      </c>
      <c r="C48" s="147"/>
      <c r="D48" s="149"/>
      <c r="E48" s="147"/>
      <c r="F48" s="147"/>
      <c r="G48" s="147"/>
      <c r="H48" s="150"/>
      <c r="I48" s="163"/>
      <c r="J48" s="147"/>
    </row>
    <row r="49" spans="1:10" ht="15.75" customHeight="1">
      <c r="A49" s="146" t="s">
        <v>90</v>
      </c>
      <c r="B49" s="147">
        <v>23</v>
      </c>
      <c r="C49" s="147"/>
      <c r="D49" s="149"/>
      <c r="E49" s="147"/>
      <c r="F49" s="147"/>
      <c r="G49" s="147"/>
      <c r="H49" s="150"/>
      <c r="I49" s="164"/>
      <c r="J49" s="147"/>
    </row>
    <row r="50" spans="1:10" ht="15.75" customHeight="1">
      <c r="A50" s="146" t="s">
        <v>90</v>
      </c>
      <c r="B50" s="147">
        <v>24</v>
      </c>
      <c r="C50" s="147"/>
      <c r="D50" s="149"/>
      <c r="E50" s="147"/>
      <c r="F50" s="147"/>
      <c r="G50" s="147"/>
      <c r="H50" s="150"/>
      <c r="I50" s="164"/>
      <c r="J50" s="147"/>
    </row>
    <row r="51" spans="1:10" ht="15.75" customHeight="1">
      <c r="A51" s="158"/>
      <c r="B51" s="159"/>
      <c r="C51" s="159"/>
      <c r="D51" s="160"/>
      <c r="E51" s="159"/>
      <c r="F51" s="159"/>
      <c r="G51" s="159"/>
      <c r="H51" s="161"/>
      <c r="I51" s="162"/>
      <c r="J51" s="159"/>
    </row>
    <row r="52" spans="1:10" ht="15.75" customHeight="1">
      <c r="A52" s="146" t="s">
        <v>144</v>
      </c>
      <c r="B52" s="147">
        <v>1</v>
      </c>
      <c r="C52" s="148"/>
      <c r="D52" s="149"/>
      <c r="E52" s="147"/>
      <c r="F52" s="147"/>
      <c r="G52" s="147"/>
      <c r="H52" s="150"/>
      <c r="I52" s="164"/>
      <c r="J52" s="147"/>
    </row>
    <row r="53" spans="1:10" ht="15.75" customHeight="1">
      <c r="A53" s="146" t="s">
        <v>144</v>
      </c>
      <c r="B53" s="147">
        <v>2</v>
      </c>
      <c r="C53" s="148"/>
      <c r="D53" s="149"/>
      <c r="E53" s="147"/>
      <c r="F53" s="147"/>
      <c r="G53" s="147"/>
      <c r="H53" s="150"/>
      <c r="I53" s="164"/>
      <c r="J53" s="147"/>
    </row>
    <row r="54" spans="1:10" ht="15.75" customHeight="1">
      <c r="A54" s="146" t="s">
        <v>144</v>
      </c>
      <c r="B54" s="147">
        <v>3</v>
      </c>
      <c r="C54" s="148"/>
      <c r="D54" s="149"/>
      <c r="E54" s="147"/>
      <c r="F54" s="147"/>
      <c r="G54" s="147"/>
      <c r="H54" s="150"/>
      <c r="I54" s="164"/>
      <c r="J54" s="147"/>
    </row>
    <row r="55" spans="1:10" ht="15.75" customHeight="1">
      <c r="A55" s="146" t="s">
        <v>144</v>
      </c>
      <c r="B55" s="147">
        <v>4</v>
      </c>
      <c r="C55" s="148"/>
      <c r="D55" s="149"/>
      <c r="E55" s="147"/>
      <c r="F55" s="147"/>
      <c r="G55" s="147"/>
      <c r="H55" s="150"/>
      <c r="I55" s="164"/>
      <c r="J55" s="147"/>
    </row>
    <row r="56" spans="1:10" ht="15.75" customHeight="1">
      <c r="A56" s="146" t="s">
        <v>144</v>
      </c>
      <c r="B56" s="147">
        <v>5</v>
      </c>
      <c r="C56" s="148"/>
      <c r="D56" s="149"/>
      <c r="E56" s="147"/>
      <c r="F56" s="147"/>
      <c r="G56" s="147"/>
      <c r="H56" s="150"/>
      <c r="I56" s="164"/>
      <c r="J56" s="147"/>
    </row>
    <row r="57" spans="1:10" ht="15.75" customHeight="1">
      <c r="A57" s="146" t="s">
        <v>144</v>
      </c>
      <c r="B57" s="147">
        <v>6</v>
      </c>
      <c r="C57" s="148"/>
      <c r="D57" s="149"/>
      <c r="E57" s="147"/>
      <c r="F57" s="147"/>
      <c r="G57" s="147"/>
      <c r="H57" s="150"/>
      <c r="I57" s="164"/>
      <c r="J57" s="147"/>
    </row>
    <row r="58" spans="1:10" ht="15.75" customHeight="1">
      <c r="A58" s="146" t="s">
        <v>144</v>
      </c>
      <c r="B58" s="147">
        <v>7</v>
      </c>
      <c r="C58" s="148"/>
      <c r="D58" s="149"/>
      <c r="E58" s="147"/>
      <c r="F58" s="147"/>
      <c r="G58" s="147"/>
      <c r="H58" s="150"/>
      <c r="I58" s="164"/>
      <c r="J58" s="147"/>
    </row>
    <row r="59" spans="1:10" ht="15.75" customHeight="1">
      <c r="A59" s="146" t="s">
        <v>144</v>
      </c>
      <c r="B59" s="147">
        <v>8</v>
      </c>
      <c r="C59" s="148"/>
      <c r="D59" s="149"/>
      <c r="E59" s="147"/>
      <c r="F59" s="147"/>
      <c r="G59" s="147"/>
      <c r="H59" s="150"/>
      <c r="I59" s="164"/>
      <c r="J59" s="147"/>
    </row>
    <row r="60" spans="1:10" ht="15.75" customHeight="1">
      <c r="A60" s="146" t="s">
        <v>144</v>
      </c>
      <c r="B60" s="147">
        <v>9</v>
      </c>
      <c r="C60" s="148"/>
      <c r="D60" s="149"/>
      <c r="E60" s="147"/>
      <c r="F60" s="147"/>
      <c r="G60" s="147"/>
      <c r="H60" s="150"/>
      <c r="I60" s="164"/>
      <c r="J60" s="147"/>
    </row>
    <row r="61" spans="1:10" ht="15.75" customHeight="1">
      <c r="A61" s="146" t="s">
        <v>144</v>
      </c>
      <c r="B61" s="147">
        <v>10</v>
      </c>
      <c r="C61" s="148"/>
      <c r="D61" s="149"/>
      <c r="E61" s="147"/>
      <c r="F61" s="147"/>
      <c r="G61" s="147"/>
      <c r="H61" s="150"/>
      <c r="I61" s="164"/>
      <c r="J61" s="147"/>
    </row>
    <row r="62" spans="1:10" ht="15.75" customHeight="1">
      <c r="A62" s="146" t="s">
        <v>144</v>
      </c>
      <c r="B62" s="147">
        <v>11</v>
      </c>
      <c r="C62" s="148"/>
      <c r="D62" s="149"/>
      <c r="E62" s="147"/>
      <c r="F62" s="147"/>
      <c r="G62" s="147"/>
      <c r="H62" s="150"/>
      <c r="I62" s="164"/>
      <c r="J62" s="147"/>
    </row>
    <row r="63" spans="1:10" ht="15.75" customHeight="1">
      <c r="A63" s="146" t="s">
        <v>144</v>
      </c>
      <c r="B63" s="147">
        <v>12</v>
      </c>
      <c r="C63" s="148"/>
      <c r="D63" s="149"/>
      <c r="E63" s="147"/>
      <c r="F63" s="147"/>
      <c r="G63" s="147"/>
      <c r="H63" s="150"/>
      <c r="I63" s="164"/>
      <c r="J63" s="147"/>
    </row>
    <row r="64" spans="1:10" ht="15.75" customHeight="1">
      <c r="A64" s="146" t="s">
        <v>144</v>
      </c>
      <c r="B64" s="147">
        <v>13</v>
      </c>
      <c r="C64" s="148"/>
      <c r="D64" s="149"/>
      <c r="E64" s="147"/>
      <c r="F64" s="147"/>
      <c r="G64" s="147"/>
      <c r="H64" s="150"/>
      <c r="I64" s="164"/>
      <c r="J64" s="147"/>
    </row>
    <row r="65" spans="1:10" ht="15.75" customHeight="1">
      <c r="A65" s="146" t="s">
        <v>144</v>
      </c>
      <c r="B65" s="147">
        <v>14</v>
      </c>
      <c r="C65" s="148"/>
      <c r="D65" s="149"/>
      <c r="E65" s="147"/>
      <c r="F65" s="147"/>
      <c r="G65" s="147"/>
      <c r="H65" s="150"/>
      <c r="I65" s="164"/>
      <c r="J65" s="147"/>
    </row>
    <row r="66" spans="1:10" ht="15.75" customHeight="1">
      <c r="A66" s="146" t="s">
        <v>144</v>
      </c>
      <c r="B66" s="147">
        <v>15</v>
      </c>
      <c r="C66" s="148"/>
      <c r="D66" s="149"/>
      <c r="E66" s="147"/>
      <c r="F66" s="147"/>
      <c r="G66" s="147"/>
      <c r="H66" s="150"/>
      <c r="I66" s="164"/>
      <c r="J66" s="147"/>
    </row>
    <row r="67" spans="1:10" ht="15.75" customHeight="1">
      <c r="A67" s="146" t="s">
        <v>144</v>
      </c>
      <c r="B67" s="147">
        <v>16</v>
      </c>
      <c r="C67" s="148"/>
      <c r="D67" s="149"/>
      <c r="E67" s="147"/>
      <c r="F67" s="147"/>
      <c r="G67" s="147"/>
      <c r="H67" s="150"/>
      <c r="I67" s="164"/>
      <c r="J67" s="147"/>
    </row>
    <row r="68" spans="1:10" ht="15.75" customHeight="1">
      <c r="A68" s="146" t="s">
        <v>144</v>
      </c>
      <c r="B68" s="147">
        <v>17</v>
      </c>
      <c r="C68" s="148"/>
      <c r="D68" s="149"/>
      <c r="E68" s="147"/>
      <c r="F68" s="147"/>
      <c r="G68" s="147"/>
      <c r="H68" s="150"/>
      <c r="I68" s="164"/>
      <c r="J68" s="147"/>
    </row>
    <row r="69" spans="1:10" ht="15.75" customHeight="1">
      <c r="A69" s="146" t="s">
        <v>144</v>
      </c>
      <c r="B69" s="147">
        <v>18</v>
      </c>
      <c r="C69" s="148"/>
      <c r="D69" s="149"/>
      <c r="E69" s="147"/>
      <c r="F69" s="147"/>
      <c r="G69" s="147"/>
      <c r="H69" s="150"/>
      <c r="I69" s="164"/>
      <c r="J69" s="147"/>
    </row>
    <row r="70" spans="1:10" ht="15.75" customHeight="1">
      <c r="A70" s="146" t="s">
        <v>144</v>
      </c>
      <c r="B70" s="147">
        <v>19</v>
      </c>
      <c r="C70" s="148"/>
      <c r="D70" s="149"/>
      <c r="E70" s="147"/>
      <c r="F70" s="147"/>
      <c r="G70" s="147"/>
      <c r="H70" s="150"/>
      <c r="I70" s="164"/>
      <c r="J70" s="147"/>
    </row>
    <row r="71" spans="1:10" ht="15.75" customHeight="1">
      <c r="A71" s="146" t="s">
        <v>144</v>
      </c>
      <c r="B71" s="147">
        <v>20</v>
      </c>
      <c r="C71" s="148"/>
      <c r="D71" s="149"/>
      <c r="E71" s="147"/>
      <c r="F71" s="147"/>
      <c r="G71" s="147"/>
      <c r="H71" s="150"/>
      <c r="I71" s="164"/>
      <c r="J71" s="147"/>
    </row>
    <row r="72" spans="1:10" ht="15.75" customHeight="1">
      <c r="A72" s="146" t="s">
        <v>144</v>
      </c>
      <c r="B72" s="147">
        <v>21</v>
      </c>
      <c r="C72" s="148"/>
      <c r="D72" s="149"/>
      <c r="E72" s="147"/>
      <c r="F72" s="147"/>
      <c r="G72" s="147"/>
      <c r="H72" s="150"/>
      <c r="I72" s="164"/>
      <c r="J72" s="147"/>
    </row>
    <row r="73" spans="1:10" ht="15.75" customHeight="1">
      <c r="A73" s="146" t="s">
        <v>144</v>
      </c>
      <c r="B73" s="147">
        <v>22</v>
      </c>
      <c r="C73" s="148"/>
      <c r="D73" s="149"/>
      <c r="E73" s="147"/>
      <c r="F73" s="147"/>
      <c r="G73" s="147"/>
      <c r="H73" s="150"/>
      <c r="I73" s="164"/>
      <c r="J73" s="147"/>
    </row>
    <row r="74" spans="1:10" ht="15.75" customHeight="1">
      <c r="A74" s="146" t="s">
        <v>144</v>
      </c>
      <c r="B74" s="147">
        <v>23</v>
      </c>
      <c r="C74" s="148"/>
      <c r="D74" s="149"/>
      <c r="E74" s="147"/>
      <c r="F74" s="147"/>
      <c r="G74" s="147"/>
      <c r="H74" s="150"/>
      <c r="I74" s="164"/>
      <c r="J74" s="147"/>
    </row>
    <row r="75" spans="1:10" ht="15.75" customHeight="1">
      <c r="A75" s="158"/>
      <c r="B75" s="159"/>
      <c r="C75" s="159"/>
      <c r="D75" s="160"/>
      <c r="E75" s="159"/>
      <c r="F75" s="159"/>
      <c r="G75" s="159"/>
      <c r="H75" s="161"/>
      <c r="I75" s="162"/>
      <c r="J75" s="159"/>
    </row>
    <row r="76" spans="1:10" ht="15.75" customHeight="1">
      <c r="A76" s="146" t="s">
        <v>188</v>
      </c>
      <c r="B76" s="147">
        <v>1</v>
      </c>
      <c r="C76" s="148"/>
      <c r="D76" s="149"/>
      <c r="E76" s="147"/>
      <c r="F76" s="147"/>
      <c r="G76" s="147"/>
      <c r="H76" s="150"/>
      <c r="I76" s="164"/>
      <c r="J76" s="147"/>
    </row>
    <row r="77" spans="1:10" ht="15.75" customHeight="1">
      <c r="A77" s="146" t="s">
        <v>188</v>
      </c>
      <c r="B77" s="147">
        <v>2</v>
      </c>
      <c r="C77" s="148"/>
      <c r="D77" s="149"/>
      <c r="E77" s="147"/>
      <c r="F77" s="147"/>
      <c r="G77" s="147"/>
      <c r="H77" s="150"/>
      <c r="I77" s="164"/>
      <c r="J77" s="147"/>
    </row>
    <row r="78" spans="1:10" ht="15.75" customHeight="1">
      <c r="A78" s="146" t="s">
        <v>188</v>
      </c>
      <c r="B78" s="147">
        <v>3</v>
      </c>
      <c r="C78" s="148"/>
      <c r="D78" s="149"/>
      <c r="E78" s="147"/>
      <c r="F78" s="147"/>
      <c r="G78" s="147"/>
      <c r="H78" s="150"/>
      <c r="I78" s="164"/>
      <c r="J78" s="147"/>
    </row>
    <row r="79" spans="1:10" ht="15.75" customHeight="1">
      <c r="A79" s="146" t="s">
        <v>188</v>
      </c>
      <c r="B79" s="147">
        <v>4</v>
      </c>
      <c r="C79" s="148"/>
      <c r="D79" s="149"/>
      <c r="E79" s="147"/>
      <c r="F79" s="147"/>
      <c r="G79" s="147"/>
      <c r="H79" s="150"/>
      <c r="I79" s="164"/>
      <c r="J79" s="147"/>
    </row>
    <row r="80" spans="1:10" ht="15.75" customHeight="1">
      <c r="A80" s="146" t="s">
        <v>188</v>
      </c>
      <c r="B80" s="147">
        <v>5</v>
      </c>
      <c r="C80" s="148"/>
      <c r="D80" s="149"/>
      <c r="E80" s="147"/>
      <c r="F80" s="147"/>
      <c r="G80" s="147"/>
      <c r="H80" s="150"/>
      <c r="I80" s="151"/>
      <c r="J80" s="152"/>
    </row>
    <row r="81" spans="1:10" ht="15.75" customHeight="1">
      <c r="A81" s="146" t="s">
        <v>188</v>
      </c>
      <c r="B81" s="147">
        <v>6</v>
      </c>
      <c r="C81" s="148"/>
      <c r="D81" s="149"/>
      <c r="E81" s="147"/>
      <c r="F81" s="147"/>
      <c r="G81" s="147"/>
      <c r="H81" s="150"/>
      <c r="I81" s="164"/>
      <c r="J81" s="147"/>
    </row>
    <row r="82" spans="1:10" ht="15.75" customHeight="1">
      <c r="A82" s="146" t="s">
        <v>188</v>
      </c>
      <c r="B82" s="147">
        <v>7</v>
      </c>
      <c r="C82" s="148"/>
      <c r="D82" s="149"/>
      <c r="E82" s="147"/>
      <c r="F82" s="147"/>
      <c r="G82" s="147"/>
      <c r="H82" s="150"/>
      <c r="I82" s="164"/>
      <c r="J82" s="147"/>
    </row>
    <row r="83" spans="1:10" ht="15.75" customHeight="1">
      <c r="A83" s="146" t="s">
        <v>188</v>
      </c>
      <c r="B83" s="147">
        <v>8</v>
      </c>
      <c r="C83" s="148"/>
      <c r="D83" s="149"/>
      <c r="E83" s="147"/>
      <c r="F83" s="147"/>
      <c r="G83" s="147"/>
      <c r="H83" s="150"/>
      <c r="I83" s="164"/>
      <c r="J83" s="147"/>
    </row>
    <row r="84" spans="1:10" ht="15.75" customHeight="1">
      <c r="A84" s="146" t="s">
        <v>188</v>
      </c>
      <c r="B84" s="147">
        <v>9</v>
      </c>
      <c r="C84" s="148"/>
      <c r="D84" s="149"/>
      <c r="E84" s="147"/>
      <c r="F84" s="147"/>
      <c r="G84" s="147"/>
      <c r="H84" s="150"/>
      <c r="I84" s="164"/>
      <c r="J84" s="147"/>
    </row>
    <row r="85" spans="1:10" ht="15.75" customHeight="1">
      <c r="A85" s="146" t="s">
        <v>188</v>
      </c>
      <c r="B85" s="147">
        <v>10</v>
      </c>
      <c r="C85" s="148"/>
      <c r="D85" s="149"/>
      <c r="E85" s="147"/>
      <c r="F85" s="147"/>
      <c r="G85" s="147"/>
      <c r="H85" s="150"/>
      <c r="I85" s="164"/>
      <c r="J85" s="147"/>
    </row>
    <row r="86" spans="1:10" ht="15.75" customHeight="1">
      <c r="A86" s="146" t="s">
        <v>188</v>
      </c>
      <c r="B86" s="147">
        <v>11</v>
      </c>
      <c r="C86" s="148"/>
      <c r="D86" s="149"/>
      <c r="E86" s="147"/>
      <c r="F86" s="147"/>
      <c r="G86" s="147"/>
      <c r="H86" s="150"/>
      <c r="I86" s="164"/>
      <c r="J86" s="147"/>
    </row>
    <row r="87" spans="1:10" ht="15.75" customHeight="1">
      <c r="A87" s="146" t="s">
        <v>188</v>
      </c>
      <c r="B87" s="147">
        <v>12</v>
      </c>
      <c r="C87" s="148"/>
      <c r="D87" s="149"/>
      <c r="E87" s="147"/>
      <c r="F87" s="147"/>
      <c r="G87" s="147"/>
      <c r="H87" s="150"/>
      <c r="I87" s="164"/>
      <c r="J87" s="147"/>
    </row>
    <row r="88" spans="1:10" ht="15.75" customHeight="1">
      <c r="A88" s="146" t="s">
        <v>188</v>
      </c>
      <c r="B88" s="147">
        <v>13</v>
      </c>
      <c r="C88" s="148"/>
      <c r="D88" s="149"/>
      <c r="E88" s="147"/>
      <c r="F88" s="147"/>
      <c r="G88" s="147"/>
      <c r="H88" s="150"/>
      <c r="I88" s="164"/>
      <c r="J88" s="147"/>
    </row>
    <row r="89" spans="1:10" ht="15.75" customHeight="1">
      <c r="A89" s="146" t="s">
        <v>188</v>
      </c>
      <c r="B89" s="147">
        <v>14</v>
      </c>
      <c r="C89" s="148"/>
      <c r="D89" s="149"/>
      <c r="E89" s="147"/>
      <c r="F89" s="147"/>
      <c r="G89" s="147"/>
      <c r="H89" s="150"/>
      <c r="I89" s="164"/>
      <c r="J89" s="147"/>
    </row>
    <row r="90" spans="1:10" ht="15.75" customHeight="1">
      <c r="A90" s="146" t="s">
        <v>188</v>
      </c>
      <c r="B90" s="147">
        <v>15</v>
      </c>
      <c r="C90" s="148"/>
      <c r="D90" s="149"/>
      <c r="E90" s="147"/>
      <c r="F90" s="147"/>
      <c r="G90" s="147"/>
      <c r="H90" s="150"/>
      <c r="I90" s="164"/>
      <c r="J90" s="147"/>
    </row>
    <row r="91" spans="1:10" ht="15.75" customHeight="1">
      <c r="A91" s="146" t="s">
        <v>188</v>
      </c>
      <c r="B91" s="147">
        <v>16</v>
      </c>
      <c r="C91" s="148"/>
      <c r="D91" s="149"/>
      <c r="E91" s="147"/>
      <c r="F91" s="147"/>
      <c r="G91" s="147"/>
      <c r="H91" s="150"/>
      <c r="I91" s="164"/>
      <c r="J91" s="147"/>
    </row>
    <row r="92" spans="1:10" ht="15.75" customHeight="1">
      <c r="A92" s="146" t="s">
        <v>188</v>
      </c>
      <c r="B92" s="147">
        <v>17</v>
      </c>
      <c r="C92" s="148"/>
      <c r="D92" s="149"/>
      <c r="E92" s="147"/>
      <c r="F92" s="147"/>
      <c r="G92" s="147"/>
      <c r="H92" s="150"/>
      <c r="I92" s="164"/>
      <c r="J92" s="147"/>
    </row>
    <row r="93" spans="1:10" ht="15.75" customHeight="1">
      <c r="A93" s="146" t="s">
        <v>188</v>
      </c>
      <c r="B93" s="147">
        <v>18</v>
      </c>
      <c r="C93" s="148"/>
      <c r="D93" s="149"/>
      <c r="E93" s="147"/>
      <c r="F93" s="147"/>
      <c r="G93" s="147"/>
      <c r="H93" s="150"/>
      <c r="I93" s="164"/>
      <c r="J93" s="147"/>
    </row>
    <row r="94" spans="1:10" ht="15.75" customHeight="1">
      <c r="A94" s="146" t="s">
        <v>188</v>
      </c>
      <c r="B94" s="147">
        <v>19</v>
      </c>
      <c r="C94" s="148"/>
      <c r="D94" s="149"/>
      <c r="E94" s="147"/>
      <c r="F94" s="147"/>
      <c r="G94" s="147"/>
      <c r="H94" s="150"/>
      <c r="I94" s="164"/>
      <c r="J94" s="147"/>
    </row>
    <row r="95" spans="1:10" ht="15.75" customHeight="1">
      <c r="A95" s="146" t="s">
        <v>188</v>
      </c>
      <c r="B95" s="147">
        <v>20</v>
      </c>
      <c r="C95" s="148"/>
      <c r="D95" s="149"/>
      <c r="E95" s="147"/>
      <c r="F95" s="147"/>
      <c r="G95" s="147"/>
      <c r="H95" s="150"/>
      <c r="I95" s="164"/>
      <c r="J95" s="147"/>
    </row>
    <row r="96" spans="1:10" ht="15.75" customHeight="1">
      <c r="A96" s="146" t="s">
        <v>188</v>
      </c>
      <c r="B96" s="147">
        <v>21</v>
      </c>
      <c r="C96" s="148"/>
      <c r="D96" s="149"/>
      <c r="E96" s="147"/>
      <c r="F96" s="147"/>
      <c r="G96" s="147"/>
      <c r="H96" s="150"/>
      <c r="I96" s="164"/>
      <c r="J96" s="147"/>
    </row>
    <row r="97" spans="1:10" ht="15.75" customHeight="1">
      <c r="A97" s="146" t="s">
        <v>188</v>
      </c>
      <c r="B97" s="147">
        <v>22</v>
      </c>
      <c r="C97" s="148"/>
      <c r="D97" s="149"/>
      <c r="E97" s="147"/>
      <c r="F97" s="147"/>
      <c r="G97" s="147"/>
      <c r="H97" s="150"/>
      <c r="I97" s="164"/>
      <c r="J97" s="147"/>
    </row>
    <row r="98" spans="1:10" ht="15.75" customHeight="1">
      <c r="A98" s="146" t="s">
        <v>188</v>
      </c>
      <c r="B98" s="147">
        <v>23</v>
      </c>
      <c r="C98" s="148"/>
      <c r="D98" s="149"/>
      <c r="E98" s="147"/>
      <c r="F98" s="147"/>
      <c r="G98" s="147"/>
      <c r="H98" s="150"/>
      <c r="I98" s="164"/>
      <c r="J98" s="147"/>
    </row>
    <row r="99" spans="1:10" ht="15.75" customHeight="1">
      <c r="A99" s="158"/>
      <c r="B99" s="159"/>
      <c r="C99" s="159"/>
      <c r="D99" s="160"/>
      <c r="E99" s="159"/>
      <c r="F99" s="159"/>
      <c r="G99" s="159"/>
      <c r="H99" s="161"/>
      <c r="I99" s="162"/>
      <c r="J99" s="159"/>
    </row>
    <row r="100" spans="1:10" ht="15.75" customHeight="1">
      <c r="A100" s="147"/>
      <c r="B100" s="147"/>
      <c r="C100" s="147"/>
      <c r="D100" s="149"/>
      <c r="E100" s="147"/>
      <c r="F100" s="147"/>
      <c r="G100" s="147"/>
      <c r="H100" s="150"/>
      <c r="I100" s="164"/>
      <c r="J100" s="147"/>
    </row>
    <row r="101" spans="1:10" ht="15.75" customHeight="1">
      <c r="A101" s="147"/>
      <c r="B101" s="147"/>
      <c r="C101" s="147"/>
      <c r="D101" s="149"/>
      <c r="E101" s="147"/>
      <c r="F101" s="147"/>
      <c r="G101" s="165" t="s">
        <v>4801</v>
      </c>
      <c r="H101" s="165" t="s">
        <v>4802</v>
      </c>
      <c r="I101" s="166" t="s">
        <v>4803</v>
      </c>
      <c r="J101" s="165" t="s">
        <v>4804</v>
      </c>
    </row>
    <row r="102" spans="1:10" ht="15.75" customHeight="1">
      <c r="A102" s="147"/>
      <c r="B102" s="147"/>
      <c r="C102" s="147"/>
      <c r="D102" s="149"/>
      <c r="E102" s="147"/>
      <c r="F102" s="147"/>
      <c r="G102" s="147"/>
      <c r="H102" s="150"/>
      <c r="I102" s="164"/>
      <c r="J102" s="147"/>
    </row>
    <row r="103" spans="1:10" ht="15.75" customHeight="1">
      <c r="A103" s="268" t="s">
        <v>4805</v>
      </c>
      <c r="B103" s="269"/>
      <c r="C103" s="269"/>
      <c r="D103" s="269"/>
      <c r="E103" s="269"/>
      <c r="F103" s="269"/>
      <c r="G103" s="269"/>
      <c r="H103" s="269"/>
      <c r="I103" s="269"/>
      <c r="J103" s="270"/>
    </row>
    <row r="104" spans="1:10" ht="15.75" customHeight="1">
      <c r="A104" s="142" t="s">
        <v>23</v>
      </c>
      <c r="B104" s="142" t="s">
        <v>24</v>
      </c>
      <c r="C104" s="142" t="s">
        <v>4796</v>
      </c>
      <c r="D104" s="143" t="s">
        <v>27</v>
      </c>
      <c r="E104" s="142" t="s">
        <v>4797</v>
      </c>
      <c r="F104" s="142" t="s">
        <v>835</v>
      </c>
      <c r="G104" s="142" t="s">
        <v>4798</v>
      </c>
      <c r="H104" s="144" t="s">
        <v>30</v>
      </c>
      <c r="I104" s="145" t="s">
        <v>4799</v>
      </c>
      <c r="J104" s="142" t="s">
        <v>4800</v>
      </c>
    </row>
    <row r="105" spans="1:10" ht="15.75" customHeight="1">
      <c r="A105" s="146" t="s">
        <v>35</v>
      </c>
      <c r="B105" s="147">
        <v>1</v>
      </c>
      <c r="C105" s="148"/>
      <c r="D105" s="149"/>
      <c r="E105" s="147"/>
      <c r="F105" s="147"/>
      <c r="G105" s="147"/>
      <c r="H105" s="150"/>
      <c r="I105" s="151"/>
      <c r="J105" s="152"/>
    </row>
    <row r="106" spans="1:10" ht="15.75" customHeight="1">
      <c r="A106" s="146" t="s">
        <v>35</v>
      </c>
      <c r="B106" s="147">
        <v>2</v>
      </c>
      <c r="C106" s="148"/>
      <c r="D106" s="149"/>
      <c r="E106" s="147"/>
      <c r="F106" s="147"/>
      <c r="G106" s="147"/>
      <c r="H106" s="150"/>
      <c r="I106" s="151"/>
      <c r="J106" s="152"/>
    </row>
    <row r="107" spans="1:10" ht="15.75" customHeight="1">
      <c r="A107" s="146" t="s">
        <v>35</v>
      </c>
      <c r="B107" s="147">
        <v>3</v>
      </c>
      <c r="C107" s="148"/>
      <c r="D107" s="149"/>
      <c r="E107" s="147"/>
      <c r="F107" s="147"/>
      <c r="G107" s="147"/>
      <c r="H107" s="150"/>
      <c r="I107" s="151"/>
      <c r="J107" s="153"/>
    </row>
    <row r="108" spans="1:10" ht="15.75" customHeight="1">
      <c r="A108" s="146" t="s">
        <v>35</v>
      </c>
      <c r="B108" s="147">
        <v>4</v>
      </c>
      <c r="C108" s="148"/>
      <c r="D108" s="149"/>
      <c r="E108" s="147"/>
      <c r="F108" s="147"/>
      <c r="G108" s="147"/>
      <c r="H108" s="150"/>
      <c r="I108" s="151"/>
      <c r="J108" s="153"/>
    </row>
    <row r="109" spans="1:10" ht="15.75" customHeight="1">
      <c r="A109" s="146" t="s">
        <v>35</v>
      </c>
      <c r="B109" s="147">
        <v>5</v>
      </c>
      <c r="C109" s="148"/>
      <c r="D109" s="149"/>
      <c r="E109" s="147"/>
      <c r="F109" s="147"/>
      <c r="G109" s="147"/>
      <c r="H109" s="150"/>
      <c r="I109" s="151"/>
      <c r="J109" s="153"/>
    </row>
    <row r="110" spans="1:10" ht="15.75" customHeight="1">
      <c r="A110" s="146" t="s">
        <v>35</v>
      </c>
      <c r="B110" s="147">
        <v>6</v>
      </c>
      <c r="C110" s="148"/>
      <c r="D110" s="149"/>
      <c r="E110" s="147"/>
      <c r="F110" s="147"/>
      <c r="G110" s="147"/>
      <c r="H110" s="150"/>
      <c r="I110" s="151"/>
      <c r="J110" s="153"/>
    </row>
    <row r="111" spans="1:10" ht="15.75" customHeight="1">
      <c r="A111" s="154" t="s">
        <v>35</v>
      </c>
      <c r="B111" s="152">
        <v>7</v>
      </c>
      <c r="C111" s="152"/>
      <c r="D111" s="152"/>
      <c r="E111" s="152"/>
      <c r="F111" s="152"/>
      <c r="G111" s="152"/>
      <c r="H111" s="155"/>
      <c r="I111" s="151"/>
      <c r="J111" s="152"/>
    </row>
    <row r="112" spans="1:10" ht="15.75" customHeight="1">
      <c r="A112" s="154" t="s">
        <v>35</v>
      </c>
      <c r="B112" s="152">
        <v>8</v>
      </c>
      <c r="C112" s="152"/>
      <c r="D112" s="152"/>
      <c r="E112" s="152"/>
      <c r="F112" s="152"/>
      <c r="G112" s="152"/>
      <c r="H112" s="155"/>
      <c r="I112" s="151"/>
      <c r="J112" s="152"/>
    </row>
    <row r="113" spans="1:10" ht="15.75" customHeight="1">
      <c r="A113" s="154" t="s">
        <v>35</v>
      </c>
      <c r="B113" s="152">
        <v>9</v>
      </c>
      <c r="C113" s="156"/>
      <c r="D113" s="153"/>
      <c r="E113" s="152"/>
      <c r="F113" s="152"/>
      <c r="G113" s="152"/>
      <c r="H113" s="155"/>
      <c r="I113" s="151"/>
      <c r="J113" s="153"/>
    </row>
    <row r="114" spans="1:10" ht="15.75" customHeight="1">
      <c r="A114" s="154" t="s">
        <v>35</v>
      </c>
      <c r="B114" s="152">
        <v>10</v>
      </c>
      <c r="C114" s="156"/>
      <c r="D114" s="153"/>
      <c r="E114" s="152"/>
      <c r="F114" s="152"/>
      <c r="G114" s="152"/>
      <c r="H114" s="155"/>
      <c r="I114" s="151"/>
      <c r="J114" s="153"/>
    </row>
    <row r="115" spans="1:10" ht="15.75" customHeight="1">
      <c r="A115" s="154" t="s">
        <v>35</v>
      </c>
      <c r="B115" s="152">
        <v>11</v>
      </c>
      <c r="C115" s="156"/>
      <c r="D115" s="153"/>
      <c r="E115" s="152"/>
      <c r="F115" s="152"/>
      <c r="G115" s="152"/>
      <c r="H115" s="155"/>
      <c r="I115" s="151"/>
      <c r="J115" s="153"/>
    </row>
    <row r="116" spans="1:10" ht="15.75" customHeight="1">
      <c r="A116" s="154" t="s">
        <v>35</v>
      </c>
      <c r="B116" s="152">
        <v>12</v>
      </c>
      <c r="C116" s="156"/>
      <c r="D116" s="153"/>
      <c r="E116" s="152"/>
      <c r="F116" s="152"/>
      <c r="G116" s="152"/>
      <c r="H116" s="155"/>
      <c r="I116" s="151"/>
      <c r="J116" s="153"/>
    </row>
    <row r="117" spans="1:10" ht="15.75" customHeight="1">
      <c r="A117" s="154" t="s">
        <v>35</v>
      </c>
      <c r="B117" s="152">
        <v>13</v>
      </c>
      <c r="C117" s="156"/>
      <c r="D117" s="153"/>
      <c r="E117" s="152"/>
      <c r="F117" s="152"/>
      <c r="G117" s="152"/>
      <c r="H117" s="155"/>
      <c r="I117" s="151"/>
      <c r="J117" s="153"/>
    </row>
    <row r="118" spans="1:10" ht="15.75" customHeight="1">
      <c r="A118" s="154" t="s">
        <v>35</v>
      </c>
      <c r="B118" s="152">
        <v>14</v>
      </c>
      <c r="C118" s="156"/>
      <c r="D118" s="153"/>
      <c r="E118" s="152"/>
      <c r="F118" s="152"/>
      <c r="G118" s="152"/>
      <c r="H118" s="155"/>
      <c r="I118" s="151"/>
      <c r="J118" s="153"/>
    </row>
    <row r="119" spans="1:10" ht="15.75" customHeight="1">
      <c r="A119" s="154" t="s">
        <v>35</v>
      </c>
      <c r="B119" s="152">
        <v>15</v>
      </c>
      <c r="C119" s="156"/>
      <c r="D119" s="153"/>
      <c r="E119" s="152"/>
      <c r="F119" s="152"/>
      <c r="G119" s="152"/>
      <c r="H119" s="155"/>
      <c r="I119" s="151"/>
      <c r="J119" s="152"/>
    </row>
    <row r="120" spans="1:10" ht="15.75" customHeight="1">
      <c r="A120" s="154" t="s">
        <v>35</v>
      </c>
      <c r="B120" s="152">
        <v>16</v>
      </c>
      <c r="C120" s="156"/>
      <c r="D120" s="153"/>
      <c r="E120" s="152"/>
      <c r="F120" s="152"/>
      <c r="G120" s="152"/>
      <c r="H120" s="155"/>
      <c r="I120" s="151"/>
      <c r="J120" s="152"/>
    </row>
    <row r="121" spans="1:10" ht="15.75" customHeight="1">
      <c r="A121" s="154" t="s">
        <v>35</v>
      </c>
      <c r="B121" s="152">
        <v>17</v>
      </c>
      <c r="C121" s="152"/>
      <c r="D121" s="152"/>
      <c r="E121" s="152"/>
      <c r="F121" s="152"/>
      <c r="G121" s="152"/>
      <c r="H121" s="155"/>
      <c r="I121" s="151"/>
      <c r="J121" s="152"/>
    </row>
    <row r="122" spans="1:10" ht="15.75" customHeight="1">
      <c r="A122" s="154" t="s">
        <v>35</v>
      </c>
      <c r="B122" s="152">
        <v>18</v>
      </c>
      <c r="C122" s="152"/>
      <c r="D122" s="152"/>
      <c r="E122" s="152"/>
      <c r="F122" s="152"/>
      <c r="G122" s="152"/>
      <c r="H122" s="155"/>
      <c r="I122" s="151"/>
      <c r="J122" s="152"/>
    </row>
    <row r="123" spans="1:10" ht="15.75" customHeight="1">
      <c r="A123" s="154" t="s">
        <v>35</v>
      </c>
      <c r="B123" s="152">
        <v>19</v>
      </c>
      <c r="C123" s="155"/>
      <c r="D123" s="153"/>
      <c r="E123" s="152"/>
      <c r="F123" s="152"/>
      <c r="G123" s="152"/>
      <c r="H123" s="155"/>
      <c r="I123" s="151"/>
      <c r="J123" s="152"/>
    </row>
    <row r="124" spans="1:10" ht="15.75" customHeight="1">
      <c r="A124" s="154" t="s">
        <v>35</v>
      </c>
      <c r="B124" s="152">
        <v>20</v>
      </c>
      <c r="C124" s="155"/>
      <c r="D124" s="153"/>
      <c r="E124" s="152"/>
      <c r="F124" s="152"/>
      <c r="G124" s="152"/>
      <c r="H124" s="155"/>
      <c r="I124" s="151"/>
      <c r="J124" s="152"/>
    </row>
    <row r="125" spans="1:10" ht="15.75" customHeight="1">
      <c r="A125" s="154" t="s">
        <v>35</v>
      </c>
      <c r="B125" s="152">
        <v>21</v>
      </c>
      <c r="C125" s="156"/>
      <c r="D125" s="153"/>
      <c r="E125" s="152"/>
      <c r="F125" s="152"/>
      <c r="G125" s="152"/>
      <c r="H125" s="157"/>
      <c r="I125" s="151"/>
      <c r="J125" s="152"/>
    </row>
    <row r="126" spans="1:10" ht="15.75" customHeight="1">
      <c r="A126" s="154" t="s">
        <v>35</v>
      </c>
      <c r="B126" s="152">
        <v>22</v>
      </c>
      <c r="C126" s="156"/>
      <c r="D126" s="153"/>
      <c r="E126" s="152"/>
      <c r="F126" s="152"/>
      <c r="G126" s="152"/>
      <c r="H126" s="157"/>
      <c r="I126" s="151"/>
      <c r="J126" s="152"/>
    </row>
    <row r="127" spans="1:10" ht="15.75" customHeight="1">
      <c r="A127" s="154" t="s">
        <v>35</v>
      </c>
      <c r="B127" s="152">
        <v>23</v>
      </c>
      <c r="C127" s="155"/>
      <c r="D127" s="153"/>
      <c r="E127" s="152"/>
      <c r="F127" s="152"/>
      <c r="G127" s="152"/>
      <c r="H127" s="155"/>
      <c r="I127" s="151"/>
      <c r="J127" s="152"/>
    </row>
    <row r="128" spans="1:10" ht="15.75" customHeight="1">
      <c r="A128" s="154" t="s">
        <v>35</v>
      </c>
      <c r="B128" s="152">
        <v>24</v>
      </c>
      <c r="C128" s="155"/>
      <c r="D128" s="153"/>
      <c r="E128" s="152"/>
      <c r="F128" s="152"/>
      <c r="G128" s="152"/>
      <c r="H128" s="155"/>
      <c r="I128" s="151"/>
      <c r="J128" s="152"/>
    </row>
    <row r="129" spans="1:10" ht="15.75" customHeight="1">
      <c r="A129" s="158"/>
      <c r="B129" s="159"/>
      <c r="C129" s="159"/>
      <c r="D129" s="160"/>
      <c r="E129" s="159"/>
      <c r="F129" s="159"/>
      <c r="G129" s="159"/>
      <c r="H129" s="161"/>
      <c r="I129" s="162"/>
      <c r="J129" s="159"/>
    </row>
    <row r="130" spans="1:10" ht="15.75" customHeight="1">
      <c r="A130" s="146" t="s">
        <v>90</v>
      </c>
      <c r="B130" s="147">
        <v>1</v>
      </c>
      <c r="C130" s="148"/>
      <c r="D130" s="149"/>
      <c r="E130" s="147"/>
      <c r="F130" s="147"/>
      <c r="G130" s="147"/>
      <c r="H130" s="150"/>
      <c r="I130" s="163"/>
    </row>
    <row r="131" spans="1:10" ht="15.75" customHeight="1">
      <c r="A131" s="146" t="s">
        <v>90</v>
      </c>
      <c r="B131" s="147">
        <v>3</v>
      </c>
      <c r="C131" s="148"/>
      <c r="D131" s="149"/>
      <c r="E131" s="147"/>
      <c r="F131" s="147"/>
      <c r="G131" s="147"/>
      <c r="H131" s="150"/>
      <c r="I131" s="164"/>
      <c r="J131" s="147"/>
    </row>
    <row r="132" spans="1:10" ht="15.75" customHeight="1">
      <c r="A132" s="146" t="s">
        <v>90</v>
      </c>
      <c r="B132" s="147">
        <v>4</v>
      </c>
      <c r="C132" s="148"/>
      <c r="D132" s="149"/>
      <c r="E132" s="147"/>
      <c r="F132" s="147"/>
      <c r="G132" s="147"/>
      <c r="H132" s="150"/>
      <c r="I132" s="164"/>
      <c r="J132" s="147"/>
    </row>
    <row r="133" spans="1:10" ht="15.75" customHeight="1">
      <c r="A133" s="146" t="s">
        <v>90</v>
      </c>
      <c r="B133" s="147">
        <v>5</v>
      </c>
      <c r="C133" s="148"/>
      <c r="D133" s="149"/>
      <c r="E133" s="147"/>
      <c r="F133" s="147"/>
      <c r="G133" s="147"/>
      <c r="H133" s="150"/>
      <c r="I133" s="164"/>
      <c r="J133" s="147"/>
    </row>
    <row r="134" spans="1:10" ht="15.75" customHeight="1">
      <c r="A134" s="146" t="s">
        <v>90</v>
      </c>
      <c r="B134" s="147">
        <v>6</v>
      </c>
      <c r="C134" s="148"/>
      <c r="D134" s="149"/>
      <c r="E134" s="147"/>
      <c r="F134" s="147"/>
      <c r="G134" s="147"/>
      <c r="H134" s="150"/>
      <c r="I134" s="164"/>
      <c r="J134" s="147"/>
    </row>
    <row r="135" spans="1:10" ht="15.75" customHeight="1">
      <c r="A135" s="146" t="s">
        <v>90</v>
      </c>
      <c r="B135" s="147">
        <v>7</v>
      </c>
      <c r="C135" s="147"/>
      <c r="D135" s="149"/>
      <c r="E135" s="147"/>
      <c r="F135" s="147"/>
      <c r="G135" s="147"/>
      <c r="H135" s="150"/>
      <c r="I135" s="164"/>
      <c r="J135" s="147"/>
    </row>
    <row r="136" spans="1:10" ht="15.75" customHeight="1">
      <c r="A136" s="146" t="s">
        <v>90</v>
      </c>
      <c r="B136" s="147">
        <v>8</v>
      </c>
      <c r="C136" s="147"/>
      <c r="D136" s="149"/>
      <c r="E136" s="147"/>
      <c r="F136" s="147"/>
      <c r="G136" s="147"/>
      <c r="H136" s="150"/>
      <c r="I136" s="164"/>
      <c r="J136" s="147"/>
    </row>
    <row r="137" spans="1:10" ht="15.75" customHeight="1">
      <c r="A137" s="146" t="s">
        <v>90</v>
      </c>
      <c r="B137" s="147">
        <v>9</v>
      </c>
      <c r="C137" s="147"/>
      <c r="D137" s="149"/>
      <c r="E137" s="147"/>
      <c r="F137" s="147"/>
      <c r="G137" s="147"/>
      <c r="H137" s="150"/>
      <c r="I137" s="164"/>
      <c r="J137" s="147"/>
    </row>
    <row r="138" spans="1:10" ht="15.75" customHeight="1">
      <c r="A138" s="146" t="s">
        <v>90</v>
      </c>
      <c r="B138" s="147">
        <v>10</v>
      </c>
      <c r="C138" s="147"/>
      <c r="D138" s="149"/>
      <c r="E138" s="147"/>
      <c r="F138" s="147"/>
      <c r="G138" s="147"/>
      <c r="H138" s="150"/>
      <c r="I138" s="164"/>
      <c r="J138" s="147"/>
    </row>
    <row r="139" spans="1:10" ht="15.75" customHeight="1">
      <c r="A139" s="146" t="s">
        <v>90</v>
      </c>
      <c r="B139" s="147">
        <v>11</v>
      </c>
      <c r="C139" s="147"/>
      <c r="D139" s="149"/>
      <c r="E139" s="147"/>
      <c r="F139" s="147"/>
      <c r="G139" s="147"/>
      <c r="H139" s="150"/>
      <c r="I139" s="164"/>
      <c r="J139" s="147"/>
    </row>
    <row r="140" spans="1:10" ht="15.75" customHeight="1">
      <c r="A140" s="146" t="s">
        <v>90</v>
      </c>
      <c r="B140" s="147">
        <v>12</v>
      </c>
      <c r="C140" s="147"/>
      <c r="D140" s="149"/>
      <c r="E140" s="147"/>
      <c r="F140" s="147"/>
      <c r="G140" s="147"/>
      <c r="H140" s="150"/>
      <c r="I140" s="164"/>
      <c r="J140" s="147"/>
    </row>
    <row r="141" spans="1:10" ht="15.75" customHeight="1">
      <c r="A141" s="146" t="s">
        <v>90</v>
      </c>
      <c r="B141" s="147">
        <v>13</v>
      </c>
      <c r="C141" s="147"/>
      <c r="D141" s="149"/>
      <c r="E141" s="147"/>
      <c r="F141" s="147"/>
      <c r="G141" s="147"/>
      <c r="H141" s="150"/>
      <c r="I141" s="164"/>
      <c r="J141" s="147"/>
    </row>
    <row r="142" spans="1:10" ht="15.75" customHeight="1">
      <c r="A142" s="146" t="s">
        <v>90</v>
      </c>
      <c r="B142" s="147">
        <v>14</v>
      </c>
      <c r="C142" s="147"/>
      <c r="D142" s="149"/>
      <c r="E142" s="147"/>
      <c r="F142" s="147"/>
      <c r="G142" s="147"/>
      <c r="H142" s="150"/>
      <c r="I142" s="164"/>
      <c r="J142" s="147"/>
    </row>
    <row r="143" spans="1:10" ht="15.75" customHeight="1">
      <c r="A143" s="146" t="s">
        <v>90</v>
      </c>
      <c r="B143" s="147">
        <v>15</v>
      </c>
      <c r="C143" s="147"/>
      <c r="D143" s="149"/>
      <c r="E143" s="147"/>
      <c r="F143" s="147"/>
      <c r="G143" s="147"/>
      <c r="H143" s="150"/>
      <c r="I143" s="164"/>
      <c r="J143" s="147"/>
    </row>
    <row r="144" spans="1:10" ht="15.75" customHeight="1">
      <c r="A144" s="146" t="s">
        <v>90</v>
      </c>
      <c r="B144" s="147">
        <v>16</v>
      </c>
      <c r="C144" s="147"/>
      <c r="D144" s="149"/>
      <c r="E144" s="147"/>
      <c r="F144" s="147"/>
      <c r="G144" s="147"/>
      <c r="H144" s="150"/>
      <c r="I144" s="164"/>
      <c r="J144" s="147"/>
    </row>
    <row r="145" spans="1:10" ht="15.75" customHeight="1">
      <c r="A145" s="146" t="s">
        <v>90</v>
      </c>
      <c r="B145" s="147">
        <v>17</v>
      </c>
      <c r="C145" s="147"/>
      <c r="D145" s="149"/>
      <c r="E145" s="147"/>
      <c r="F145" s="147"/>
      <c r="G145" s="147"/>
      <c r="H145" s="150"/>
      <c r="I145" s="163"/>
    </row>
    <row r="146" spans="1:10" ht="15.75" customHeight="1">
      <c r="A146" s="146" t="s">
        <v>90</v>
      </c>
      <c r="B146" s="147">
        <v>18</v>
      </c>
      <c r="C146" s="147"/>
      <c r="D146" s="149"/>
      <c r="E146" s="147"/>
      <c r="F146" s="147"/>
      <c r="G146" s="147"/>
      <c r="H146" s="150"/>
      <c r="I146" s="163"/>
      <c r="J146" s="147"/>
    </row>
    <row r="147" spans="1:10" ht="15.75" customHeight="1">
      <c r="A147" s="146" t="s">
        <v>90</v>
      </c>
      <c r="B147" s="147">
        <v>19</v>
      </c>
      <c r="C147" s="147"/>
      <c r="D147" s="149"/>
      <c r="E147" s="147"/>
      <c r="F147" s="147"/>
      <c r="G147" s="147"/>
      <c r="H147" s="150"/>
      <c r="I147" s="164"/>
      <c r="J147" s="147"/>
    </row>
    <row r="148" spans="1:10" ht="15.75" customHeight="1">
      <c r="A148" s="146" t="s">
        <v>90</v>
      </c>
      <c r="B148" s="147">
        <v>20</v>
      </c>
      <c r="C148" s="147"/>
      <c r="D148" s="149"/>
      <c r="E148" s="147"/>
      <c r="F148" s="147"/>
      <c r="G148" s="147"/>
      <c r="H148" s="150"/>
      <c r="I148" s="164"/>
      <c r="J148" s="147"/>
    </row>
    <row r="149" spans="1:10" ht="15.75" customHeight="1">
      <c r="A149" s="146" t="s">
        <v>90</v>
      </c>
      <c r="B149" s="147">
        <v>21</v>
      </c>
      <c r="C149" s="147"/>
      <c r="D149" s="149"/>
      <c r="E149" s="147"/>
      <c r="F149" s="147"/>
      <c r="G149" s="147"/>
      <c r="H149" s="150"/>
      <c r="I149" s="163"/>
      <c r="J149" s="147"/>
    </row>
    <row r="150" spans="1:10" ht="15.75" customHeight="1">
      <c r="A150" s="146" t="s">
        <v>90</v>
      </c>
      <c r="B150" s="147">
        <v>22</v>
      </c>
      <c r="C150" s="147"/>
      <c r="D150" s="149"/>
      <c r="E150" s="147"/>
      <c r="F150" s="147"/>
      <c r="G150" s="147"/>
      <c r="H150" s="150"/>
      <c r="I150" s="163"/>
      <c r="J150" s="147"/>
    </row>
    <row r="151" spans="1:10" ht="15.75" customHeight="1">
      <c r="A151" s="146" t="s">
        <v>90</v>
      </c>
      <c r="B151" s="147">
        <v>23</v>
      </c>
      <c r="C151" s="147"/>
      <c r="D151" s="149"/>
      <c r="E151" s="147"/>
      <c r="F151" s="147"/>
      <c r="G151" s="147"/>
      <c r="H151" s="150"/>
      <c r="I151" s="164"/>
      <c r="J151" s="147"/>
    </row>
    <row r="152" spans="1:10" ht="15.75" customHeight="1">
      <c r="A152" s="146" t="s">
        <v>90</v>
      </c>
      <c r="B152" s="147">
        <v>24</v>
      </c>
      <c r="C152" s="147"/>
      <c r="D152" s="149"/>
      <c r="E152" s="147"/>
      <c r="F152" s="147"/>
      <c r="G152" s="147"/>
      <c r="H152" s="150"/>
      <c r="I152" s="164"/>
      <c r="J152" s="147"/>
    </row>
    <row r="153" spans="1:10" ht="15.75" customHeight="1">
      <c r="A153" s="158"/>
      <c r="B153" s="159"/>
      <c r="C153" s="159"/>
      <c r="D153" s="160"/>
      <c r="E153" s="159"/>
      <c r="F153" s="159"/>
      <c r="G153" s="159"/>
      <c r="H153" s="161"/>
      <c r="I153" s="162"/>
      <c r="J153" s="159"/>
    </row>
    <row r="154" spans="1:10" ht="15.75" customHeight="1">
      <c r="A154" s="146" t="s">
        <v>144</v>
      </c>
      <c r="B154" s="147">
        <v>1</v>
      </c>
      <c r="C154" s="148"/>
      <c r="D154" s="149"/>
      <c r="E154" s="147"/>
      <c r="F154" s="147"/>
      <c r="G154" s="147"/>
      <c r="H154" s="150"/>
      <c r="I154" s="164"/>
      <c r="J154" s="147"/>
    </row>
    <row r="155" spans="1:10" ht="15.75" customHeight="1">
      <c r="A155" s="146" t="s">
        <v>144</v>
      </c>
      <c r="B155" s="147">
        <v>2</v>
      </c>
      <c r="C155" s="148"/>
      <c r="D155" s="149"/>
      <c r="E155" s="147"/>
      <c r="F155" s="147"/>
      <c r="G155" s="147"/>
      <c r="H155" s="150"/>
      <c r="I155" s="164"/>
      <c r="J155" s="147"/>
    </row>
    <row r="156" spans="1:10" ht="15.75" customHeight="1">
      <c r="A156" s="146" t="s">
        <v>144</v>
      </c>
      <c r="B156" s="147">
        <v>3</v>
      </c>
      <c r="C156" s="148"/>
      <c r="D156" s="149"/>
      <c r="E156" s="147"/>
      <c r="F156" s="147"/>
      <c r="G156" s="147"/>
      <c r="H156" s="150"/>
      <c r="I156" s="164"/>
      <c r="J156" s="147"/>
    </row>
    <row r="157" spans="1:10" ht="15.75" customHeight="1">
      <c r="A157" s="146" t="s">
        <v>144</v>
      </c>
      <c r="B157" s="147">
        <v>4</v>
      </c>
      <c r="C157" s="148"/>
      <c r="D157" s="149"/>
      <c r="E157" s="147"/>
      <c r="F157" s="147"/>
      <c r="G157" s="147"/>
      <c r="H157" s="150"/>
      <c r="I157" s="164"/>
      <c r="J157" s="147"/>
    </row>
    <row r="158" spans="1:10" ht="15.75" customHeight="1">
      <c r="A158" s="146" t="s">
        <v>144</v>
      </c>
      <c r="B158" s="147">
        <v>5</v>
      </c>
      <c r="C158" s="148"/>
      <c r="D158" s="149"/>
      <c r="E158" s="147"/>
      <c r="F158" s="147"/>
      <c r="G158" s="147"/>
      <c r="H158" s="150"/>
      <c r="I158" s="164"/>
      <c r="J158" s="147"/>
    </row>
    <row r="159" spans="1:10" ht="15.75" customHeight="1">
      <c r="A159" s="146" t="s">
        <v>144</v>
      </c>
      <c r="B159" s="147">
        <v>6</v>
      </c>
      <c r="C159" s="148"/>
      <c r="D159" s="149"/>
      <c r="E159" s="147"/>
      <c r="F159" s="147"/>
      <c r="G159" s="147"/>
      <c r="H159" s="150"/>
      <c r="I159" s="164"/>
      <c r="J159" s="147"/>
    </row>
    <row r="160" spans="1:10" ht="15.75" customHeight="1">
      <c r="A160" s="146" t="s">
        <v>144</v>
      </c>
      <c r="B160" s="147">
        <v>7</v>
      </c>
      <c r="C160" s="148"/>
      <c r="D160" s="149"/>
      <c r="E160" s="147"/>
      <c r="F160" s="147"/>
      <c r="G160" s="147"/>
      <c r="H160" s="150"/>
      <c r="I160" s="164"/>
      <c r="J160" s="147"/>
    </row>
    <row r="161" spans="1:10" ht="15.75" customHeight="1">
      <c r="A161" s="146" t="s">
        <v>144</v>
      </c>
      <c r="B161" s="147">
        <v>8</v>
      </c>
      <c r="C161" s="148"/>
      <c r="D161" s="149"/>
      <c r="E161" s="147"/>
      <c r="F161" s="147"/>
      <c r="G161" s="147"/>
      <c r="H161" s="150"/>
      <c r="I161" s="164"/>
      <c r="J161" s="147"/>
    </row>
    <row r="162" spans="1:10" ht="15.75" customHeight="1">
      <c r="A162" s="146" t="s">
        <v>144</v>
      </c>
      <c r="B162" s="147">
        <v>9</v>
      </c>
      <c r="C162" s="148"/>
      <c r="D162" s="149"/>
      <c r="E162" s="147"/>
      <c r="F162" s="147"/>
      <c r="G162" s="147"/>
      <c r="H162" s="150"/>
      <c r="I162" s="164"/>
      <c r="J162" s="147"/>
    </row>
    <row r="163" spans="1:10" ht="15.75" customHeight="1">
      <c r="A163" s="146" t="s">
        <v>144</v>
      </c>
      <c r="B163" s="147">
        <v>10</v>
      </c>
      <c r="C163" s="148"/>
      <c r="D163" s="149"/>
      <c r="E163" s="147"/>
      <c r="F163" s="147"/>
      <c r="G163" s="147"/>
      <c r="H163" s="150"/>
      <c r="I163" s="164"/>
      <c r="J163" s="147"/>
    </row>
    <row r="164" spans="1:10" ht="15.75" customHeight="1">
      <c r="A164" s="146" t="s">
        <v>144</v>
      </c>
      <c r="B164" s="147">
        <v>11</v>
      </c>
      <c r="C164" s="148"/>
      <c r="D164" s="149"/>
      <c r="E164" s="147"/>
      <c r="F164" s="147"/>
      <c r="G164" s="147"/>
      <c r="H164" s="150"/>
      <c r="I164" s="164"/>
      <c r="J164" s="147"/>
    </row>
    <row r="165" spans="1:10" ht="15.75" customHeight="1">
      <c r="A165" s="146" t="s">
        <v>144</v>
      </c>
      <c r="B165" s="147">
        <v>12</v>
      </c>
      <c r="C165" s="148"/>
      <c r="D165" s="149"/>
      <c r="E165" s="147"/>
      <c r="F165" s="147"/>
      <c r="G165" s="147"/>
      <c r="H165" s="150"/>
      <c r="I165" s="164"/>
      <c r="J165" s="147"/>
    </row>
    <row r="166" spans="1:10" ht="15.75" customHeight="1">
      <c r="A166" s="146" t="s">
        <v>144</v>
      </c>
      <c r="B166" s="147">
        <v>13</v>
      </c>
      <c r="C166" s="148"/>
      <c r="D166" s="149"/>
      <c r="E166" s="147"/>
      <c r="F166" s="147"/>
      <c r="G166" s="147"/>
      <c r="H166" s="150"/>
      <c r="I166" s="164"/>
      <c r="J166" s="147"/>
    </row>
    <row r="167" spans="1:10" ht="15.75" customHeight="1">
      <c r="A167" s="146" t="s">
        <v>144</v>
      </c>
      <c r="B167" s="147">
        <v>14</v>
      </c>
      <c r="C167" s="148"/>
      <c r="D167" s="149"/>
      <c r="E167" s="147"/>
      <c r="F167" s="147"/>
      <c r="G167" s="147"/>
      <c r="H167" s="150"/>
      <c r="I167" s="164"/>
      <c r="J167" s="147"/>
    </row>
    <row r="168" spans="1:10" ht="15.75" customHeight="1">
      <c r="A168" s="146" t="s">
        <v>144</v>
      </c>
      <c r="B168" s="147">
        <v>15</v>
      </c>
      <c r="C168" s="148"/>
      <c r="D168" s="149"/>
      <c r="E168" s="147"/>
      <c r="F168" s="147"/>
      <c r="G168" s="147"/>
      <c r="H168" s="150"/>
      <c r="I168" s="164"/>
      <c r="J168" s="147"/>
    </row>
    <row r="169" spans="1:10" ht="15.75" customHeight="1">
      <c r="A169" s="146" t="s">
        <v>144</v>
      </c>
      <c r="B169" s="147">
        <v>16</v>
      </c>
      <c r="C169" s="148"/>
      <c r="D169" s="149"/>
      <c r="E169" s="147"/>
      <c r="F169" s="147"/>
      <c r="G169" s="147"/>
      <c r="H169" s="150"/>
      <c r="I169" s="164"/>
      <c r="J169" s="147"/>
    </row>
    <row r="170" spans="1:10" ht="15.75" customHeight="1">
      <c r="A170" s="146" t="s">
        <v>144</v>
      </c>
      <c r="B170" s="147">
        <v>17</v>
      </c>
      <c r="C170" s="148"/>
      <c r="D170" s="149"/>
      <c r="E170" s="147"/>
      <c r="F170" s="147"/>
      <c r="G170" s="147"/>
      <c r="H170" s="150"/>
      <c r="I170" s="164"/>
      <c r="J170" s="147"/>
    </row>
    <row r="171" spans="1:10" ht="15.75" customHeight="1">
      <c r="A171" s="146" t="s">
        <v>144</v>
      </c>
      <c r="B171" s="147">
        <v>18</v>
      </c>
      <c r="C171" s="148"/>
      <c r="D171" s="149"/>
      <c r="E171" s="147"/>
      <c r="F171" s="147"/>
      <c r="G171" s="147"/>
      <c r="H171" s="150"/>
      <c r="I171" s="164"/>
      <c r="J171" s="147"/>
    </row>
    <row r="172" spans="1:10" ht="15.75" customHeight="1">
      <c r="A172" s="146" t="s">
        <v>144</v>
      </c>
      <c r="B172" s="147">
        <v>19</v>
      </c>
      <c r="C172" s="148"/>
      <c r="D172" s="149"/>
      <c r="E172" s="147"/>
      <c r="F172" s="147"/>
      <c r="G172" s="147"/>
      <c r="H172" s="150"/>
      <c r="I172" s="164"/>
      <c r="J172" s="147"/>
    </row>
    <row r="173" spans="1:10" ht="15.75" customHeight="1">
      <c r="A173" s="146" t="s">
        <v>144</v>
      </c>
      <c r="B173" s="147">
        <v>20</v>
      </c>
      <c r="C173" s="148"/>
      <c r="D173" s="149"/>
      <c r="E173" s="147"/>
      <c r="F173" s="147"/>
      <c r="G173" s="147"/>
      <c r="H173" s="150"/>
      <c r="I173" s="164"/>
      <c r="J173" s="147"/>
    </row>
    <row r="174" spans="1:10" ht="15.75" customHeight="1">
      <c r="A174" s="146" t="s">
        <v>144</v>
      </c>
      <c r="B174" s="147">
        <v>21</v>
      </c>
      <c r="C174" s="148"/>
      <c r="D174" s="149"/>
      <c r="E174" s="147"/>
      <c r="F174" s="147"/>
      <c r="G174" s="147"/>
      <c r="H174" s="150"/>
      <c r="I174" s="164"/>
      <c r="J174" s="147"/>
    </row>
    <row r="175" spans="1:10" ht="15.75" customHeight="1">
      <c r="A175" s="146" t="s">
        <v>144</v>
      </c>
      <c r="B175" s="147">
        <v>22</v>
      </c>
      <c r="C175" s="148"/>
      <c r="D175" s="149"/>
      <c r="E175" s="147"/>
      <c r="F175" s="147"/>
      <c r="G175" s="147"/>
      <c r="H175" s="150"/>
      <c r="I175" s="164"/>
      <c r="J175" s="147"/>
    </row>
    <row r="176" spans="1:10" ht="15.75" customHeight="1">
      <c r="A176" s="146" t="s">
        <v>144</v>
      </c>
      <c r="B176" s="147">
        <v>23</v>
      </c>
      <c r="C176" s="148"/>
      <c r="D176" s="149"/>
      <c r="E176" s="147"/>
      <c r="F176" s="147"/>
      <c r="G176" s="147"/>
      <c r="H176" s="150"/>
      <c r="I176" s="164"/>
      <c r="J176" s="147"/>
    </row>
    <row r="177" spans="1:10" ht="15.75" customHeight="1">
      <c r="A177" s="158"/>
      <c r="B177" s="159"/>
      <c r="C177" s="159"/>
      <c r="D177" s="160"/>
      <c r="E177" s="159"/>
      <c r="F177" s="159"/>
      <c r="G177" s="159"/>
      <c r="H177" s="161"/>
      <c r="I177" s="162"/>
      <c r="J177" s="159"/>
    </row>
    <row r="178" spans="1:10" ht="15.75" customHeight="1">
      <c r="A178" s="146" t="s">
        <v>188</v>
      </c>
      <c r="B178" s="147">
        <v>1</v>
      </c>
      <c r="C178" s="148"/>
      <c r="D178" s="149"/>
      <c r="E178" s="147"/>
      <c r="F178" s="147"/>
      <c r="G178" s="147"/>
      <c r="H178" s="150"/>
      <c r="I178" s="164"/>
      <c r="J178" s="147"/>
    </row>
    <row r="179" spans="1:10" ht="15.75" customHeight="1">
      <c r="A179" s="146" t="s">
        <v>188</v>
      </c>
      <c r="B179" s="147">
        <v>2</v>
      </c>
      <c r="C179" s="148"/>
      <c r="D179" s="149"/>
      <c r="E179" s="147"/>
      <c r="F179" s="147"/>
      <c r="G179" s="147"/>
      <c r="H179" s="150"/>
      <c r="I179" s="164"/>
      <c r="J179" s="147"/>
    </row>
    <row r="180" spans="1:10" ht="15.75" customHeight="1">
      <c r="A180" s="146" t="s">
        <v>188</v>
      </c>
      <c r="B180" s="147">
        <v>3</v>
      </c>
      <c r="C180" s="148"/>
      <c r="D180" s="149"/>
      <c r="E180" s="147"/>
      <c r="F180" s="147"/>
      <c r="G180" s="147"/>
      <c r="H180" s="150"/>
      <c r="I180" s="164"/>
      <c r="J180" s="147"/>
    </row>
    <row r="181" spans="1:10" ht="15.75" customHeight="1">
      <c r="A181" s="146" t="s">
        <v>188</v>
      </c>
      <c r="B181" s="147">
        <v>4</v>
      </c>
      <c r="C181" s="148"/>
      <c r="D181" s="149"/>
      <c r="E181" s="147"/>
      <c r="F181" s="147"/>
      <c r="G181" s="147"/>
      <c r="H181" s="150"/>
      <c r="I181" s="164"/>
      <c r="J181" s="147"/>
    </row>
    <row r="182" spans="1:10" ht="15.75" customHeight="1">
      <c r="A182" s="146" t="s">
        <v>188</v>
      </c>
      <c r="B182" s="147">
        <v>5</v>
      </c>
      <c r="C182" s="148"/>
      <c r="D182" s="149"/>
      <c r="E182" s="147"/>
      <c r="F182" s="147"/>
      <c r="G182" s="147"/>
      <c r="H182" s="150"/>
      <c r="I182" s="151"/>
      <c r="J182" s="152"/>
    </row>
    <row r="183" spans="1:10" ht="15.75" customHeight="1">
      <c r="A183" s="146" t="s">
        <v>188</v>
      </c>
      <c r="B183" s="147">
        <v>6</v>
      </c>
      <c r="C183" s="148"/>
      <c r="D183" s="149"/>
      <c r="E183" s="147"/>
      <c r="F183" s="147"/>
      <c r="G183" s="147"/>
      <c r="H183" s="150"/>
      <c r="I183" s="164"/>
      <c r="J183" s="147"/>
    </row>
    <row r="184" spans="1:10" ht="15.75" customHeight="1">
      <c r="A184" s="146" t="s">
        <v>188</v>
      </c>
      <c r="B184" s="147">
        <v>7</v>
      </c>
      <c r="C184" s="148"/>
      <c r="D184" s="149"/>
      <c r="E184" s="147"/>
      <c r="F184" s="147"/>
      <c r="G184" s="147"/>
      <c r="H184" s="150"/>
      <c r="I184" s="164"/>
      <c r="J184" s="147"/>
    </row>
    <row r="185" spans="1:10" ht="15.75" customHeight="1">
      <c r="A185" s="146" t="s">
        <v>188</v>
      </c>
      <c r="B185" s="147">
        <v>8</v>
      </c>
      <c r="C185" s="148"/>
      <c r="D185" s="149"/>
      <c r="E185" s="147"/>
      <c r="F185" s="147"/>
      <c r="G185" s="147"/>
      <c r="H185" s="150"/>
      <c r="I185" s="164"/>
      <c r="J185" s="147"/>
    </row>
    <row r="186" spans="1:10" ht="15.75" customHeight="1">
      <c r="A186" s="146" t="s">
        <v>188</v>
      </c>
      <c r="B186" s="147">
        <v>9</v>
      </c>
      <c r="C186" s="148"/>
      <c r="D186" s="149"/>
      <c r="E186" s="147"/>
      <c r="F186" s="147"/>
      <c r="G186" s="147"/>
      <c r="H186" s="150"/>
      <c r="I186" s="164"/>
      <c r="J186" s="147"/>
    </row>
    <row r="187" spans="1:10" ht="15.75" customHeight="1">
      <c r="A187" s="146" t="s">
        <v>188</v>
      </c>
      <c r="B187" s="147">
        <v>10</v>
      </c>
      <c r="C187" s="148"/>
      <c r="D187" s="149"/>
      <c r="E187" s="147"/>
      <c r="F187" s="147"/>
      <c r="G187" s="147"/>
      <c r="H187" s="150"/>
      <c r="I187" s="164"/>
      <c r="J187" s="147"/>
    </row>
    <row r="188" spans="1:10" ht="15.75" customHeight="1">
      <c r="A188" s="146" t="s">
        <v>188</v>
      </c>
      <c r="B188" s="147">
        <v>11</v>
      </c>
      <c r="C188" s="148"/>
      <c r="D188" s="149"/>
      <c r="E188" s="147"/>
      <c r="F188" s="147"/>
      <c r="G188" s="147"/>
      <c r="H188" s="150"/>
      <c r="I188" s="164"/>
      <c r="J188" s="147"/>
    </row>
    <row r="189" spans="1:10" ht="15.75" customHeight="1">
      <c r="A189" s="146" t="s">
        <v>188</v>
      </c>
      <c r="B189" s="147">
        <v>12</v>
      </c>
      <c r="C189" s="148"/>
      <c r="D189" s="149"/>
      <c r="E189" s="147"/>
      <c r="F189" s="147"/>
      <c r="G189" s="147"/>
      <c r="H189" s="150"/>
      <c r="I189" s="164"/>
      <c r="J189" s="147"/>
    </row>
    <row r="190" spans="1:10" ht="15.75" customHeight="1">
      <c r="A190" s="146" t="s">
        <v>188</v>
      </c>
      <c r="B190" s="147">
        <v>13</v>
      </c>
      <c r="C190" s="148"/>
      <c r="D190" s="149"/>
      <c r="E190" s="147"/>
      <c r="F190" s="147"/>
      <c r="G190" s="147"/>
      <c r="H190" s="150"/>
      <c r="I190" s="164"/>
      <c r="J190" s="147"/>
    </row>
    <row r="191" spans="1:10" ht="15.75" customHeight="1">
      <c r="A191" s="146" t="s">
        <v>188</v>
      </c>
      <c r="B191" s="147">
        <v>14</v>
      </c>
      <c r="C191" s="148"/>
      <c r="D191" s="149"/>
      <c r="E191" s="147"/>
      <c r="F191" s="147"/>
      <c r="G191" s="147"/>
      <c r="H191" s="150"/>
      <c r="I191" s="164"/>
      <c r="J191" s="147"/>
    </row>
    <row r="192" spans="1:10" ht="15.75" customHeight="1">
      <c r="A192" s="146" t="s">
        <v>188</v>
      </c>
      <c r="B192" s="147">
        <v>15</v>
      </c>
      <c r="C192" s="148"/>
      <c r="D192" s="149"/>
      <c r="E192" s="147"/>
      <c r="F192" s="147"/>
      <c r="G192" s="147"/>
      <c r="H192" s="150"/>
      <c r="I192" s="164"/>
      <c r="J192" s="147"/>
    </row>
    <row r="193" spans="1:10" ht="15.75" customHeight="1">
      <c r="A193" s="146" t="s">
        <v>188</v>
      </c>
      <c r="B193" s="147">
        <v>16</v>
      </c>
      <c r="C193" s="148"/>
      <c r="D193" s="149"/>
      <c r="E193" s="147"/>
      <c r="F193" s="147"/>
      <c r="G193" s="147"/>
      <c r="H193" s="150"/>
      <c r="I193" s="164"/>
      <c r="J193" s="147"/>
    </row>
    <row r="194" spans="1:10" ht="15.75" customHeight="1">
      <c r="A194" s="146" t="s">
        <v>188</v>
      </c>
      <c r="B194" s="147">
        <v>17</v>
      </c>
      <c r="C194" s="148"/>
      <c r="D194" s="149"/>
      <c r="E194" s="147"/>
      <c r="F194" s="147"/>
      <c r="G194" s="147"/>
      <c r="H194" s="150"/>
      <c r="I194" s="164"/>
      <c r="J194" s="147"/>
    </row>
    <row r="195" spans="1:10" ht="15.75" customHeight="1">
      <c r="A195" s="146" t="s">
        <v>188</v>
      </c>
      <c r="B195" s="147">
        <v>18</v>
      </c>
      <c r="C195" s="148"/>
      <c r="D195" s="149"/>
      <c r="E195" s="147"/>
      <c r="F195" s="147"/>
      <c r="G195" s="147"/>
      <c r="H195" s="150"/>
      <c r="I195" s="164"/>
      <c r="J195" s="147"/>
    </row>
    <row r="196" spans="1:10" ht="15.75" customHeight="1">
      <c r="A196" s="146" t="s">
        <v>188</v>
      </c>
      <c r="B196" s="147">
        <v>19</v>
      </c>
      <c r="C196" s="148"/>
      <c r="D196" s="149"/>
      <c r="E196" s="147"/>
      <c r="F196" s="147"/>
      <c r="G196" s="147"/>
      <c r="H196" s="150"/>
      <c r="I196" s="164"/>
      <c r="J196" s="147"/>
    </row>
    <row r="197" spans="1:10" ht="15.75" customHeight="1">
      <c r="A197" s="146" t="s">
        <v>188</v>
      </c>
      <c r="B197" s="147">
        <v>20</v>
      </c>
      <c r="C197" s="148"/>
      <c r="D197" s="149"/>
      <c r="E197" s="147"/>
      <c r="F197" s="147"/>
      <c r="G197" s="147"/>
      <c r="H197" s="150"/>
      <c r="I197" s="164"/>
      <c r="J197" s="147"/>
    </row>
    <row r="198" spans="1:10" ht="15.75" customHeight="1">
      <c r="A198" s="146" t="s">
        <v>188</v>
      </c>
      <c r="B198" s="147">
        <v>21</v>
      </c>
      <c r="C198" s="148"/>
      <c r="D198" s="149"/>
      <c r="E198" s="147"/>
      <c r="F198" s="147"/>
      <c r="G198" s="147"/>
      <c r="H198" s="150"/>
      <c r="I198" s="164"/>
      <c r="J198" s="147"/>
    </row>
    <row r="199" spans="1:10" ht="15.75" customHeight="1">
      <c r="A199" s="146" t="s">
        <v>188</v>
      </c>
      <c r="B199" s="147">
        <v>22</v>
      </c>
      <c r="C199" s="148"/>
      <c r="D199" s="149"/>
      <c r="E199" s="147"/>
      <c r="F199" s="147"/>
      <c r="G199" s="147"/>
      <c r="H199" s="150"/>
      <c r="I199" s="164"/>
      <c r="J199" s="147"/>
    </row>
    <row r="200" spans="1:10" ht="15.75" customHeight="1">
      <c r="A200" s="146" t="s">
        <v>188</v>
      </c>
      <c r="B200" s="147">
        <v>23</v>
      </c>
      <c r="C200" s="148"/>
      <c r="D200" s="149"/>
      <c r="E200" s="147"/>
      <c r="F200" s="147"/>
      <c r="G200" s="147"/>
      <c r="H200" s="150"/>
      <c r="I200" s="164"/>
      <c r="J200" s="147"/>
    </row>
    <row r="201" spans="1:10" ht="15.75" customHeight="1">
      <c r="A201" s="158"/>
      <c r="B201" s="159"/>
      <c r="C201" s="159"/>
      <c r="D201" s="160"/>
      <c r="E201" s="159"/>
      <c r="F201" s="159"/>
      <c r="G201" s="159"/>
      <c r="H201" s="161"/>
      <c r="I201" s="162"/>
      <c r="J201" s="159"/>
    </row>
    <row r="202" spans="1:10" ht="15.75" customHeight="1">
      <c r="A202" s="147"/>
      <c r="B202" s="147"/>
      <c r="C202" s="147"/>
      <c r="D202" s="149"/>
      <c r="E202" s="147"/>
      <c r="F202" s="147"/>
      <c r="G202" s="147"/>
      <c r="H202" s="150"/>
      <c r="I202" s="164"/>
      <c r="J202" s="147"/>
    </row>
    <row r="203" spans="1:10" ht="15.75" customHeight="1">
      <c r="A203" s="147"/>
      <c r="B203" s="147"/>
      <c r="C203" s="147"/>
      <c r="D203" s="149"/>
      <c r="E203" s="147"/>
      <c r="F203" s="147"/>
      <c r="G203" s="165" t="s">
        <v>4801</v>
      </c>
      <c r="H203" s="165" t="s">
        <v>4802</v>
      </c>
      <c r="I203" s="166" t="s">
        <v>4803</v>
      </c>
      <c r="J203" s="165" t="s">
        <v>4804</v>
      </c>
    </row>
    <row r="204" spans="1:10" ht="15.75" customHeight="1">
      <c r="A204" s="147"/>
      <c r="B204" s="147"/>
      <c r="C204" s="147"/>
      <c r="D204" s="149"/>
      <c r="E204" s="147"/>
      <c r="F204" s="147"/>
      <c r="G204" s="147"/>
      <c r="H204" s="150"/>
      <c r="I204" s="164"/>
      <c r="J204" s="147"/>
    </row>
    <row r="205" spans="1:10" ht="15.75" customHeight="1">
      <c r="A205" s="268" t="s">
        <v>4806</v>
      </c>
      <c r="B205" s="269"/>
      <c r="C205" s="269"/>
      <c r="D205" s="269"/>
      <c r="E205" s="269"/>
      <c r="F205" s="269"/>
      <c r="G205" s="269"/>
      <c r="H205" s="269"/>
      <c r="I205" s="269"/>
      <c r="J205" s="270"/>
    </row>
    <row r="206" spans="1:10" ht="15.75" customHeight="1">
      <c r="A206" s="142" t="s">
        <v>23</v>
      </c>
      <c r="B206" s="142" t="s">
        <v>24</v>
      </c>
      <c r="C206" s="142" t="s">
        <v>4796</v>
      </c>
      <c r="D206" s="143" t="s">
        <v>27</v>
      </c>
      <c r="E206" s="142" t="s">
        <v>4797</v>
      </c>
      <c r="F206" s="142" t="s">
        <v>835</v>
      </c>
      <c r="G206" s="142" t="s">
        <v>4798</v>
      </c>
      <c r="H206" s="144" t="s">
        <v>30</v>
      </c>
      <c r="I206" s="145" t="s">
        <v>4799</v>
      </c>
      <c r="J206" s="142" t="s">
        <v>4800</v>
      </c>
    </row>
    <row r="207" spans="1:10" ht="15.75" customHeight="1">
      <c r="A207" s="146" t="s">
        <v>35</v>
      </c>
      <c r="B207" s="147">
        <v>1</v>
      </c>
      <c r="C207" s="148"/>
      <c r="D207" s="149"/>
      <c r="E207" s="147"/>
      <c r="F207" s="147"/>
      <c r="G207" s="147"/>
      <c r="H207" s="150"/>
      <c r="I207" s="151"/>
      <c r="J207" s="152"/>
    </row>
    <row r="208" spans="1:10" ht="15.75" customHeight="1">
      <c r="A208" s="146" t="s">
        <v>35</v>
      </c>
      <c r="B208" s="147">
        <v>2</v>
      </c>
      <c r="C208" s="148"/>
      <c r="D208" s="149"/>
      <c r="E208" s="147"/>
      <c r="F208" s="147"/>
      <c r="G208" s="147"/>
      <c r="H208" s="150"/>
      <c r="I208" s="151"/>
      <c r="J208" s="152"/>
    </row>
    <row r="209" spans="1:10" ht="15.75" customHeight="1">
      <c r="A209" s="146" t="s">
        <v>35</v>
      </c>
      <c r="B209" s="147">
        <v>3</v>
      </c>
      <c r="C209" s="148"/>
      <c r="D209" s="149"/>
      <c r="E209" s="147"/>
      <c r="F209" s="147"/>
      <c r="G209" s="147"/>
      <c r="H209" s="150"/>
      <c r="I209" s="151"/>
      <c r="J209" s="153"/>
    </row>
    <row r="210" spans="1:10" ht="15.75" customHeight="1">
      <c r="A210" s="146" t="s">
        <v>35</v>
      </c>
      <c r="B210" s="147">
        <v>4</v>
      </c>
      <c r="C210" s="148"/>
      <c r="D210" s="149"/>
      <c r="E210" s="147"/>
      <c r="F210" s="147"/>
      <c r="G210" s="147"/>
      <c r="H210" s="150"/>
      <c r="I210" s="151"/>
      <c r="J210" s="153"/>
    </row>
    <row r="211" spans="1:10" ht="15.75" customHeight="1">
      <c r="A211" s="146" t="s">
        <v>35</v>
      </c>
      <c r="B211" s="147">
        <v>5</v>
      </c>
      <c r="C211" s="148"/>
      <c r="D211" s="149"/>
      <c r="E211" s="147"/>
      <c r="F211" s="147"/>
      <c r="G211" s="147"/>
      <c r="H211" s="150"/>
      <c r="I211" s="151"/>
      <c r="J211" s="153"/>
    </row>
    <row r="212" spans="1:10" ht="15.75" customHeight="1">
      <c r="A212" s="146" t="s">
        <v>35</v>
      </c>
      <c r="B212" s="147">
        <v>6</v>
      </c>
      <c r="C212" s="148"/>
      <c r="D212" s="149"/>
      <c r="E212" s="147"/>
      <c r="F212" s="147"/>
      <c r="G212" s="147"/>
      <c r="H212" s="150"/>
      <c r="I212" s="151"/>
      <c r="J212" s="153"/>
    </row>
    <row r="213" spans="1:10" ht="15.75" customHeight="1">
      <c r="A213" s="154" t="s">
        <v>35</v>
      </c>
      <c r="B213" s="152">
        <v>7</v>
      </c>
      <c r="C213" s="152"/>
      <c r="D213" s="152"/>
      <c r="E213" s="152"/>
      <c r="F213" s="152"/>
      <c r="G213" s="152"/>
      <c r="H213" s="155"/>
      <c r="I213" s="151"/>
      <c r="J213" s="152"/>
    </row>
    <row r="214" spans="1:10" ht="15.75" customHeight="1">
      <c r="A214" s="154" t="s">
        <v>35</v>
      </c>
      <c r="B214" s="152">
        <v>8</v>
      </c>
      <c r="C214" s="152"/>
      <c r="D214" s="152"/>
      <c r="E214" s="152"/>
      <c r="F214" s="152"/>
      <c r="G214" s="152"/>
      <c r="H214" s="155"/>
      <c r="I214" s="151"/>
      <c r="J214" s="152"/>
    </row>
    <row r="215" spans="1:10" ht="15.75" customHeight="1">
      <c r="A215" s="154" t="s">
        <v>35</v>
      </c>
      <c r="B215" s="152">
        <v>9</v>
      </c>
      <c r="C215" s="156"/>
      <c r="D215" s="153"/>
      <c r="E215" s="152"/>
      <c r="F215" s="152"/>
      <c r="G215" s="152"/>
      <c r="H215" s="155"/>
      <c r="I215" s="151"/>
      <c r="J215" s="153"/>
    </row>
    <row r="216" spans="1:10" ht="15.75" customHeight="1">
      <c r="A216" s="154" t="s">
        <v>35</v>
      </c>
      <c r="B216" s="152">
        <v>10</v>
      </c>
      <c r="C216" s="156"/>
      <c r="D216" s="153"/>
      <c r="E216" s="152"/>
      <c r="F216" s="152"/>
      <c r="G216" s="152"/>
      <c r="H216" s="155"/>
      <c r="I216" s="151"/>
      <c r="J216" s="153"/>
    </row>
    <row r="217" spans="1:10" ht="15.75" customHeight="1">
      <c r="A217" s="154" t="s">
        <v>35</v>
      </c>
      <c r="B217" s="152">
        <v>11</v>
      </c>
      <c r="C217" s="156"/>
      <c r="D217" s="153"/>
      <c r="E217" s="152"/>
      <c r="F217" s="152"/>
      <c r="G217" s="152"/>
      <c r="H217" s="155"/>
      <c r="I217" s="151"/>
      <c r="J217" s="153"/>
    </row>
    <row r="218" spans="1:10" ht="15.75" customHeight="1">
      <c r="A218" s="154" t="s">
        <v>35</v>
      </c>
      <c r="B218" s="152">
        <v>12</v>
      </c>
      <c r="C218" s="156"/>
      <c r="D218" s="153"/>
      <c r="E218" s="152"/>
      <c r="F218" s="152"/>
      <c r="G218" s="152"/>
      <c r="H218" s="155"/>
      <c r="I218" s="151"/>
      <c r="J218" s="153"/>
    </row>
    <row r="219" spans="1:10" ht="15.75" customHeight="1">
      <c r="A219" s="154" t="s">
        <v>35</v>
      </c>
      <c r="B219" s="152">
        <v>13</v>
      </c>
      <c r="C219" s="156"/>
      <c r="D219" s="153"/>
      <c r="E219" s="152"/>
      <c r="F219" s="152"/>
      <c r="G219" s="152"/>
      <c r="H219" s="155"/>
      <c r="I219" s="151"/>
      <c r="J219" s="153"/>
    </row>
    <row r="220" spans="1:10" ht="15.75" customHeight="1">
      <c r="A220" s="154" t="s">
        <v>35</v>
      </c>
      <c r="B220" s="152">
        <v>14</v>
      </c>
      <c r="C220" s="156"/>
      <c r="D220" s="153"/>
      <c r="E220" s="152"/>
      <c r="F220" s="152"/>
      <c r="G220" s="152"/>
      <c r="H220" s="155"/>
      <c r="I220" s="151"/>
      <c r="J220" s="153"/>
    </row>
    <row r="221" spans="1:10" ht="15.75" customHeight="1">
      <c r="A221" s="154" t="s">
        <v>35</v>
      </c>
      <c r="B221" s="152">
        <v>15</v>
      </c>
      <c r="C221" s="156"/>
      <c r="D221" s="153"/>
      <c r="E221" s="152"/>
      <c r="F221" s="152"/>
      <c r="G221" s="152"/>
      <c r="H221" s="155"/>
      <c r="I221" s="151"/>
      <c r="J221" s="152"/>
    </row>
    <row r="222" spans="1:10" ht="15.75" customHeight="1">
      <c r="A222" s="154" t="s">
        <v>35</v>
      </c>
      <c r="B222" s="152">
        <v>16</v>
      </c>
      <c r="C222" s="156"/>
      <c r="D222" s="153"/>
      <c r="E222" s="152"/>
      <c r="F222" s="152"/>
      <c r="G222" s="152"/>
      <c r="H222" s="155"/>
      <c r="I222" s="151"/>
      <c r="J222" s="152"/>
    </row>
    <row r="223" spans="1:10" ht="15.75" customHeight="1">
      <c r="A223" s="154" t="s">
        <v>35</v>
      </c>
      <c r="B223" s="152">
        <v>17</v>
      </c>
      <c r="C223" s="152"/>
      <c r="D223" s="152"/>
      <c r="E223" s="152"/>
      <c r="F223" s="152"/>
      <c r="G223" s="152"/>
      <c r="H223" s="155"/>
      <c r="I223" s="151"/>
      <c r="J223" s="152"/>
    </row>
    <row r="224" spans="1:10" ht="15.75" customHeight="1">
      <c r="A224" s="154" t="s">
        <v>35</v>
      </c>
      <c r="B224" s="152">
        <v>18</v>
      </c>
      <c r="C224" s="152"/>
      <c r="D224" s="152"/>
      <c r="E224" s="152"/>
      <c r="F224" s="152"/>
      <c r="G224" s="152"/>
      <c r="H224" s="155"/>
      <c r="I224" s="151"/>
      <c r="J224" s="152"/>
    </row>
    <row r="225" spans="1:10" ht="15.75" customHeight="1">
      <c r="A225" s="154" t="s">
        <v>35</v>
      </c>
      <c r="B225" s="152">
        <v>19</v>
      </c>
      <c r="C225" s="155"/>
      <c r="D225" s="153"/>
      <c r="E225" s="152"/>
      <c r="F225" s="152"/>
      <c r="G225" s="152"/>
      <c r="H225" s="155"/>
      <c r="I225" s="151"/>
      <c r="J225" s="152"/>
    </row>
    <row r="226" spans="1:10" ht="15.75" customHeight="1">
      <c r="A226" s="154" t="s">
        <v>35</v>
      </c>
      <c r="B226" s="152">
        <v>20</v>
      </c>
      <c r="C226" s="155"/>
      <c r="D226" s="153"/>
      <c r="E226" s="152"/>
      <c r="F226" s="152"/>
      <c r="G226" s="152"/>
      <c r="H226" s="155"/>
      <c r="I226" s="151"/>
      <c r="J226" s="152"/>
    </row>
    <row r="227" spans="1:10" ht="15.75" customHeight="1">
      <c r="A227" s="154" t="s">
        <v>35</v>
      </c>
      <c r="B227" s="152">
        <v>21</v>
      </c>
      <c r="C227" s="156"/>
      <c r="D227" s="153"/>
      <c r="E227" s="152"/>
      <c r="F227" s="152"/>
      <c r="G227" s="152"/>
      <c r="H227" s="157"/>
      <c r="I227" s="151"/>
      <c r="J227" s="152"/>
    </row>
    <row r="228" spans="1:10" ht="15.75" customHeight="1">
      <c r="A228" s="154" t="s">
        <v>35</v>
      </c>
      <c r="B228" s="152">
        <v>22</v>
      </c>
      <c r="C228" s="156"/>
      <c r="D228" s="153"/>
      <c r="E228" s="152"/>
      <c r="F228" s="152"/>
      <c r="G228" s="152"/>
      <c r="H228" s="157"/>
      <c r="I228" s="151"/>
      <c r="J228" s="152"/>
    </row>
    <row r="229" spans="1:10" ht="15.75" customHeight="1">
      <c r="A229" s="154" t="s">
        <v>35</v>
      </c>
      <c r="B229" s="152">
        <v>23</v>
      </c>
      <c r="C229" s="155"/>
      <c r="D229" s="153"/>
      <c r="E229" s="152"/>
      <c r="F229" s="152"/>
      <c r="G229" s="152"/>
      <c r="H229" s="155"/>
      <c r="I229" s="151"/>
      <c r="J229" s="152"/>
    </row>
    <row r="230" spans="1:10" ht="15.75" customHeight="1">
      <c r="A230" s="154" t="s">
        <v>35</v>
      </c>
      <c r="B230" s="152">
        <v>24</v>
      </c>
      <c r="C230" s="155"/>
      <c r="D230" s="153"/>
      <c r="E230" s="152"/>
      <c r="F230" s="152"/>
      <c r="G230" s="152"/>
      <c r="H230" s="155"/>
      <c r="I230" s="151"/>
      <c r="J230" s="152"/>
    </row>
    <row r="231" spans="1:10" ht="15.75" customHeight="1">
      <c r="A231" s="158"/>
      <c r="B231" s="159"/>
      <c r="C231" s="159"/>
      <c r="D231" s="160"/>
      <c r="E231" s="159"/>
      <c r="F231" s="159"/>
      <c r="G231" s="159"/>
      <c r="H231" s="161"/>
      <c r="I231" s="162"/>
      <c r="J231" s="159"/>
    </row>
    <row r="232" spans="1:10" ht="15.75" customHeight="1">
      <c r="A232" s="146" t="s">
        <v>90</v>
      </c>
      <c r="B232" s="147">
        <v>1</v>
      </c>
      <c r="C232" s="148"/>
      <c r="D232" s="149"/>
      <c r="E232" s="147"/>
      <c r="F232" s="147"/>
      <c r="G232" s="147"/>
      <c r="H232" s="150"/>
      <c r="I232" s="163"/>
    </row>
    <row r="233" spans="1:10" ht="15.75" customHeight="1">
      <c r="A233" s="146" t="s">
        <v>90</v>
      </c>
      <c r="B233" s="147">
        <v>3</v>
      </c>
      <c r="C233" s="148"/>
      <c r="D233" s="149"/>
      <c r="E233" s="147"/>
      <c r="F233" s="147"/>
      <c r="G233" s="147"/>
      <c r="H233" s="150"/>
      <c r="I233" s="164"/>
      <c r="J233" s="147"/>
    </row>
    <row r="234" spans="1:10" ht="15.75" customHeight="1">
      <c r="A234" s="146" t="s">
        <v>90</v>
      </c>
      <c r="B234" s="147">
        <v>4</v>
      </c>
      <c r="C234" s="148"/>
      <c r="D234" s="149"/>
      <c r="E234" s="147"/>
      <c r="F234" s="147"/>
      <c r="G234" s="147"/>
      <c r="H234" s="150"/>
      <c r="I234" s="164"/>
      <c r="J234" s="147"/>
    </row>
    <row r="235" spans="1:10" ht="15.75" customHeight="1">
      <c r="A235" s="146" t="s">
        <v>90</v>
      </c>
      <c r="B235" s="147">
        <v>5</v>
      </c>
      <c r="C235" s="148"/>
      <c r="D235" s="149"/>
      <c r="E235" s="147"/>
      <c r="F235" s="147"/>
      <c r="G235" s="147"/>
      <c r="H235" s="150"/>
      <c r="I235" s="164"/>
      <c r="J235" s="147"/>
    </row>
    <row r="236" spans="1:10" ht="15.75" customHeight="1">
      <c r="A236" s="146" t="s">
        <v>90</v>
      </c>
      <c r="B236" s="147">
        <v>6</v>
      </c>
      <c r="C236" s="148"/>
      <c r="D236" s="149"/>
      <c r="E236" s="147"/>
      <c r="F236" s="147"/>
      <c r="G236" s="147"/>
      <c r="H236" s="150"/>
      <c r="I236" s="164"/>
      <c r="J236" s="147"/>
    </row>
    <row r="237" spans="1:10" ht="15.75" customHeight="1">
      <c r="A237" s="146" t="s">
        <v>90</v>
      </c>
      <c r="B237" s="147">
        <v>7</v>
      </c>
      <c r="C237" s="147"/>
      <c r="D237" s="149"/>
      <c r="E237" s="147"/>
      <c r="F237" s="147"/>
      <c r="G237" s="147"/>
      <c r="H237" s="150"/>
      <c r="I237" s="164"/>
      <c r="J237" s="147"/>
    </row>
    <row r="238" spans="1:10" ht="15.75" customHeight="1">
      <c r="A238" s="146" t="s">
        <v>90</v>
      </c>
      <c r="B238" s="147">
        <v>8</v>
      </c>
      <c r="C238" s="147"/>
      <c r="D238" s="149"/>
      <c r="E238" s="147"/>
      <c r="F238" s="147"/>
      <c r="G238" s="147"/>
      <c r="H238" s="150"/>
      <c r="I238" s="164"/>
      <c r="J238" s="147"/>
    </row>
    <row r="239" spans="1:10" ht="15.75" customHeight="1">
      <c r="A239" s="146" t="s">
        <v>90</v>
      </c>
      <c r="B239" s="147">
        <v>9</v>
      </c>
      <c r="C239" s="147"/>
      <c r="D239" s="149"/>
      <c r="E239" s="147"/>
      <c r="F239" s="147"/>
      <c r="G239" s="147"/>
      <c r="H239" s="150"/>
      <c r="I239" s="164"/>
      <c r="J239" s="147"/>
    </row>
    <row r="240" spans="1:10" ht="15.75" customHeight="1">
      <c r="A240" s="146" t="s">
        <v>90</v>
      </c>
      <c r="B240" s="147">
        <v>10</v>
      </c>
      <c r="C240" s="147"/>
      <c r="D240" s="149"/>
      <c r="E240" s="147"/>
      <c r="F240" s="147"/>
      <c r="G240" s="147"/>
      <c r="H240" s="150"/>
      <c r="I240" s="164"/>
      <c r="J240" s="147"/>
    </row>
    <row r="241" spans="1:10" ht="15.75" customHeight="1">
      <c r="A241" s="146" t="s">
        <v>90</v>
      </c>
      <c r="B241" s="147">
        <v>11</v>
      </c>
      <c r="C241" s="147"/>
      <c r="D241" s="149"/>
      <c r="E241" s="147"/>
      <c r="F241" s="147"/>
      <c r="G241" s="147"/>
      <c r="H241" s="150"/>
      <c r="I241" s="164"/>
      <c r="J241" s="147"/>
    </row>
    <row r="242" spans="1:10" ht="15.75" customHeight="1">
      <c r="A242" s="146" t="s">
        <v>90</v>
      </c>
      <c r="B242" s="147">
        <v>12</v>
      </c>
      <c r="C242" s="147"/>
      <c r="D242" s="149"/>
      <c r="E242" s="147"/>
      <c r="F242" s="147"/>
      <c r="G242" s="147"/>
      <c r="H242" s="150"/>
      <c r="I242" s="164"/>
      <c r="J242" s="147"/>
    </row>
    <row r="243" spans="1:10" ht="15.75" customHeight="1">
      <c r="A243" s="146" t="s">
        <v>90</v>
      </c>
      <c r="B243" s="147">
        <v>13</v>
      </c>
      <c r="C243" s="147"/>
      <c r="D243" s="149"/>
      <c r="E243" s="147"/>
      <c r="F243" s="147"/>
      <c r="G243" s="147"/>
      <c r="H243" s="150"/>
      <c r="I243" s="164"/>
      <c r="J243" s="147"/>
    </row>
    <row r="244" spans="1:10" ht="15.75" customHeight="1">
      <c r="A244" s="146" t="s">
        <v>90</v>
      </c>
      <c r="B244" s="147">
        <v>14</v>
      </c>
      <c r="C244" s="147"/>
      <c r="D244" s="149"/>
      <c r="E244" s="147"/>
      <c r="F244" s="147"/>
      <c r="G244" s="147"/>
      <c r="H244" s="150"/>
      <c r="I244" s="164"/>
      <c r="J244" s="147"/>
    </row>
    <row r="245" spans="1:10" ht="15.75" customHeight="1">
      <c r="A245" s="146" t="s">
        <v>90</v>
      </c>
      <c r="B245" s="147">
        <v>15</v>
      </c>
      <c r="C245" s="147"/>
      <c r="D245" s="149"/>
      <c r="E245" s="147"/>
      <c r="F245" s="147"/>
      <c r="G245" s="147"/>
      <c r="H245" s="150"/>
      <c r="I245" s="164"/>
      <c r="J245" s="147"/>
    </row>
    <row r="246" spans="1:10" ht="15.75" customHeight="1">
      <c r="A246" s="146" t="s">
        <v>90</v>
      </c>
      <c r="B246" s="147">
        <v>16</v>
      </c>
      <c r="C246" s="147"/>
      <c r="D246" s="149"/>
      <c r="E246" s="147"/>
      <c r="F246" s="147"/>
      <c r="G246" s="147"/>
      <c r="H246" s="150"/>
      <c r="I246" s="164"/>
      <c r="J246" s="147"/>
    </row>
    <row r="247" spans="1:10" ht="15.75" customHeight="1">
      <c r="A247" s="146" t="s">
        <v>90</v>
      </c>
      <c r="B247" s="147">
        <v>17</v>
      </c>
      <c r="C247" s="147"/>
      <c r="D247" s="149"/>
      <c r="E247" s="147"/>
      <c r="F247" s="147"/>
      <c r="G247" s="147"/>
      <c r="H247" s="150"/>
      <c r="I247" s="163"/>
    </row>
    <row r="248" spans="1:10" ht="15.75" customHeight="1">
      <c r="A248" s="146" t="s">
        <v>90</v>
      </c>
      <c r="B248" s="147">
        <v>18</v>
      </c>
      <c r="C248" s="147"/>
      <c r="D248" s="149"/>
      <c r="E248" s="147"/>
      <c r="F248" s="147"/>
      <c r="G248" s="147"/>
      <c r="H248" s="150"/>
      <c r="I248" s="163"/>
      <c r="J248" s="147"/>
    </row>
    <row r="249" spans="1:10" ht="15.75" customHeight="1">
      <c r="A249" s="146" t="s">
        <v>90</v>
      </c>
      <c r="B249" s="147">
        <v>19</v>
      </c>
      <c r="C249" s="147"/>
      <c r="D249" s="149"/>
      <c r="E249" s="147"/>
      <c r="F249" s="147"/>
      <c r="G249" s="147"/>
      <c r="H249" s="150"/>
      <c r="I249" s="164"/>
      <c r="J249" s="147"/>
    </row>
    <row r="250" spans="1:10" ht="15.75" customHeight="1">
      <c r="A250" s="146" t="s">
        <v>90</v>
      </c>
      <c r="B250" s="147">
        <v>20</v>
      </c>
      <c r="C250" s="147"/>
      <c r="D250" s="149"/>
      <c r="E250" s="147"/>
      <c r="F250" s="147"/>
      <c r="G250" s="147"/>
      <c r="H250" s="150"/>
      <c r="I250" s="164"/>
      <c r="J250" s="147"/>
    </row>
    <row r="251" spans="1:10" ht="15.75" customHeight="1">
      <c r="A251" s="146" t="s">
        <v>90</v>
      </c>
      <c r="B251" s="147">
        <v>21</v>
      </c>
      <c r="C251" s="147"/>
      <c r="D251" s="149"/>
      <c r="E251" s="147"/>
      <c r="F251" s="147"/>
      <c r="G251" s="147"/>
      <c r="H251" s="150"/>
      <c r="I251" s="163"/>
      <c r="J251" s="147"/>
    </row>
    <row r="252" spans="1:10" ht="15.75" customHeight="1">
      <c r="A252" s="146" t="s">
        <v>90</v>
      </c>
      <c r="B252" s="147">
        <v>22</v>
      </c>
      <c r="C252" s="147"/>
      <c r="D252" s="149"/>
      <c r="E252" s="147"/>
      <c r="F252" s="147"/>
      <c r="G252" s="147"/>
      <c r="H252" s="150"/>
      <c r="I252" s="163"/>
      <c r="J252" s="147"/>
    </row>
    <row r="253" spans="1:10" ht="15.75" customHeight="1">
      <c r="A253" s="146" t="s">
        <v>90</v>
      </c>
      <c r="B253" s="147">
        <v>23</v>
      </c>
      <c r="C253" s="147"/>
      <c r="D253" s="149"/>
      <c r="E253" s="147"/>
      <c r="F253" s="147"/>
      <c r="G253" s="147"/>
      <c r="H253" s="150"/>
      <c r="I253" s="164"/>
      <c r="J253" s="147"/>
    </row>
    <row r="254" spans="1:10" ht="15.75" customHeight="1">
      <c r="A254" s="146" t="s">
        <v>90</v>
      </c>
      <c r="B254" s="147">
        <v>24</v>
      </c>
      <c r="C254" s="147"/>
      <c r="D254" s="149"/>
      <c r="E254" s="147"/>
      <c r="F254" s="147"/>
      <c r="G254" s="147"/>
      <c r="H254" s="150"/>
      <c r="I254" s="164"/>
      <c r="J254" s="147"/>
    </row>
    <row r="255" spans="1:10" ht="15.75" customHeight="1">
      <c r="A255" s="158"/>
      <c r="B255" s="159"/>
      <c r="C255" s="159"/>
      <c r="D255" s="160"/>
      <c r="E255" s="159"/>
      <c r="F255" s="159"/>
      <c r="G255" s="159"/>
      <c r="H255" s="161"/>
      <c r="I255" s="162"/>
      <c r="J255" s="159"/>
    </row>
    <row r="256" spans="1:10" ht="15.75" customHeight="1">
      <c r="A256" s="146" t="s">
        <v>144</v>
      </c>
      <c r="B256" s="147">
        <v>1</v>
      </c>
      <c r="C256" s="148"/>
      <c r="D256" s="149"/>
      <c r="E256" s="147"/>
      <c r="F256" s="147"/>
      <c r="G256" s="147"/>
      <c r="H256" s="150"/>
      <c r="I256" s="164"/>
      <c r="J256" s="147"/>
    </row>
    <row r="257" spans="1:10" ht="15.75" customHeight="1">
      <c r="A257" s="146" t="s">
        <v>144</v>
      </c>
      <c r="B257" s="147">
        <v>2</v>
      </c>
      <c r="C257" s="148"/>
      <c r="D257" s="149"/>
      <c r="E257" s="147"/>
      <c r="F257" s="147"/>
      <c r="G257" s="147"/>
      <c r="H257" s="150"/>
      <c r="I257" s="164"/>
      <c r="J257" s="147"/>
    </row>
    <row r="258" spans="1:10" ht="15.75" customHeight="1">
      <c r="A258" s="146" t="s">
        <v>144</v>
      </c>
      <c r="B258" s="147">
        <v>3</v>
      </c>
      <c r="C258" s="148"/>
      <c r="D258" s="149"/>
      <c r="E258" s="147"/>
      <c r="F258" s="147"/>
      <c r="G258" s="147"/>
      <c r="H258" s="150"/>
      <c r="I258" s="164"/>
      <c r="J258" s="147"/>
    </row>
    <row r="259" spans="1:10" ht="15.75" customHeight="1">
      <c r="A259" s="146" t="s">
        <v>144</v>
      </c>
      <c r="B259" s="147">
        <v>4</v>
      </c>
      <c r="C259" s="148"/>
      <c r="D259" s="149"/>
      <c r="E259" s="147"/>
      <c r="F259" s="147"/>
      <c r="G259" s="147"/>
      <c r="H259" s="150"/>
      <c r="I259" s="164"/>
      <c r="J259" s="147"/>
    </row>
    <row r="260" spans="1:10" ht="15.75" customHeight="1">
      <c r="A260" s="146" t="s">
        <v>144</v>
      </c>
      <c r="B260" s="147">
        <v>5</v>
      </c>
      <c r="C260" s="148"/>
      <c r="D260" s="149"/>
      <c r="E260" s="147"/>
      <c r="F260" s="147"/>
      <c r="G260" s="147"/>
      <c r="H260" s="150"/>
      <c r="I260" s="164"/>
      <c r="J260" s="147"/>
    </row>
    <row r="261" spans="1:10" ht="15.75" customHeight="1">
      <c r="A261" s="146" t="s">
        <v>144</v>
      </c>
      <c r="B261" s="147">
        <v>6</v>
      </c>
      <c r="C261" s="148"/>
      <c r="D261" s="149"/>
      <c r="E261" s="147"/>
      <c r="F261" s="147"/>
      <c r="G261" s="147"/>
      <c r="H261" s="150"/>
      <c r="I261" s="164"/>
      <c r="J261" s="147"/>
    </row>
    <row r="262" spans="1:10" ht="15.75" customHeight="1">
      <c r="A262" s="146" t="s">
        <v>144</v>
      </c>
      <c r="B262" s="147">
        <v>7</v>
      </c>
      <c r="C262" s="148"/>
      <c r="D262" s="149"/>
      <c r="E262" s="147"/>
      <c r="F262" s="147"/>
      <c r="G262" s="147"/>
      <c r="H262" s="150"/>
      <c r="I262" s="164"/>
      <c r="J262" s="147"/>
    </row>
    <row r="263" spans="1:10" ht="15.75" customHeight="1">
      <c r="A263" s="146" t="s">
        <v>144</v>
      </c>
      <c r="B263" s="147">
        <v>8</v>
      </c>
      <c r="C263" s="148"/>
      <c r="D263" s="149"/>
      <c r="E263" s="147"/>
      <c r="F263" s="147"/>
      <c r="G263" s="147"/>
      <c r="H263" s="150"/>
      <c r="I263" s="164"/>
      <c r="J263" s="147"/>
    </row>
    <row r="264" spans="1:10" ht="15.75" customHeight="1">
      <c r="A264" s="146" t="s">
        <v>144</v>
      </c>
      <c r="B264" s="147">
        <v>9</v>
      </c>
      <c r="C264" s="148"/>
      <c r="D264" s="149"/>
      <c r="E264" s="147"/>
      <c r="F264" s="147"/>
      <c r="G264" s="147"/>
      <c r="H264" s="150"/>
      <c r="I264" s="164"/>
      <c r="J264" s="147"/>
    </row>
    <row r="265" spans="1:10" ht="15.75" customHeight="1">
      <c r="A265" s="146" t="s">
        <v>144</v>
      </c>
      <c r="B265" s="147">
        <v>10</v>
      </c>
      <c r="C265" s="148"/>
      <c r="D265" s="149"/>
      <c r="E265" s="147"/>
      <c r="F265" s="147"/>
      <c r="G265" s="147"/>
      <c r="H265" s="150"/>
      <c r="I265" s="164"/>
      <c r="J265" s="147"/>
    </row>
    <row r="266" spans="1:10" ht="15.75" customHeight="1">
      <c r="A266" s="146" t="s">
        <v>144</v>
      </c>
      <c r="B266" s="147">
        <v>11</v>
      </c>
      <c r="C266" s="148"/>
      <c r="D266" s="149"/>
      <c r="E266" s="147"/>
      <c r="F266" s="147"/>
      <c r="G266" s="147"/>
      <c r="H266" s="150"/>
      <c r="I266" s="164"/>
      <c r="J266" s="147"/>
    </row>
    <row r="267" spans="1:10" ht="15.75" customHeight="1">
      <c r="A267" s="146" t="s">
        <v>144</v>
      </c>
      <c r="B267" s="147">
        <v>12</v>
      </c>
      <c r="C267" s="148"/>
      <c r="D267" s="149"/>
      <c r="E267" s="147"/>
      <c r="F267" s="147"/>
      <c r="G267" s="147"/>
      <c r="H267" s="150"/>
      <c r="I267" s="164"/>
      <c r="J267" s="147"/>
    </row>
    <row r="268" spans="1:10" ht="15.75" customHeight="1">
      <c r="A268" s="146" t="s">
        <v>144</v>
      </c>
      <c r="B268" s="147">
        <v>13</v>
      </c>
      <c r="C268" s="148"/>
      <c r="D268" s="149"/>
      <c r="E268" s="147"/>
      <c r="F268" s="147"/>
      <c r="G268" s="147"/>
      <c r="H268" s="150"/>
      <c r="I268" s="164"/>
      <c r="J268" s="147"/>
    </row>
    <row r="269" spans="1:10" ht="15.75" customHeight="1">
      <c r="A269" s="146" t="s">
        <v>144</v>
      </c>
      <c r="B269" s="147">
        <v>14</v>
      </c>
      <c r="C269" s="148"/>
      <c r="D269" s="149"/>
      <c r="E269" s="147"/>
      <c r="F269" s="147"/>
      <c r="G269" s="147"/>
      <c r="H269" s="150"/>
      <c r="I269" s="164"/>
      <c r="J269" s="147"/>
    </row>
    <row r="270" spans="1:10" ht="15.75" customHeight="1">
      <c r="A270" s="146" t="s">
        <v>144</v>
      </c>
      <c r="B270" s="147">
        <v>15</v>
      </c>
      <c r="C270" s="148"/>
      <c r="D270" s="149"/>
      <c r="E270" s="147"/>
      <c r="F270" s="147"/>
      <c r="G270" s="147"/>
      <c r="H270" s="150"/>
      <c r="I270" s="164"/>
      <c r="J270" s="147"/>
    </row>
    <row r="271" spans="1:10" ht="15.75" customHeight="1">
      <c r="A271" s="146" t="s">
        <v>144</v>
      </c>
      <c r="B271" s="147">
        <v>16</v>
      </c>
      <c r="C271" s="148"/>
      <c r="D271" s="149"/>
      <c r="E271" s="147"/>
      <c r="F271" s="147"/>
      <c r="G271" s="147"/>
      <c r="H271" s="150"/>
      <c r="I271" s="164"/>
      <c r="J271" s="147"/>
    </row>
    <row r="272" spans="1:10" ht="15.75" customHeight="1">
      <c r="A272" s="146" t="s">
        <v>144</v>
      </c>
      <c r="B272" s="147">
        <v>17</v>
      </c>
      <c r="C272" s="148"/>
      <c r="D272" s="149"/>
      <c r="E272" s="147"/>
      <c r="F272" s="147"/>
      <c r="G272" s="147"/>
      <c r="H272" s="150"/>
      <c r="I272" s="164"/>
      <c r="J272" s="147"/>
    </row>
    <row r="273" spans="1:10" ht="15.75" customHeight="1">
      <c r="A273" s="146" t="s">
        <v>144</v>
      </c>
      <c r="B273" s="147">
        <v>18</v>
      </c>
      <c r="C273" s="148"/>
      <c r="D273" s="149"/>
      <c r="E273" s="147"/>
      <c r="F273" s="147"/>
      <c r="G273" s="147"/>
      <c r="H273" s="150"/>
      <c r="I273" s="164"/>
      <c r="J273" s="147"/>
    </row>
    <row r="274" spans="1:10" ht="15.75" customHeight="1">
      <c r="A274" s="146" t="s">
        <v>144</v>
      </c>
      <c r="B274" s="147">
        <v>19</v>
      </c>
      <c r="C274" s="148"/>
      <c r="D274" s="149"/>
      <c r="E274" s="147"/>
      <c r="F274" s="147"/>
      <c r="G274" s="147"/>
      <c r="H274" s="150"/>
      <c r="I274" s="164"/>
      <c r="J274" s="147"/>
    </row>
    <row r="275" spans="1:10" ht="15.75" customHeight="1">
      <c r="A275" s="146" t="s">
        <v>144</v>
      </c>
      <c r="B275" s="147">
        <v>20</v>
      </c>
      <c r="C275" s="148"/>
      <c r="D275" s="149"/>
      <c r="E275" s="147"/>
      <c r="F275" s="147"/>
      <c r="G275" s="147"/>
      <c r="H275" s="150"/>
      <c r="I275" s="164"/>
      <c r="J275" s="147"/>
    </row>
    <row r="276" spans="1:10" ht="15.75" customHeight="1">
      <c r="A276" s="146" t="s">
        <v>144</v>
      </c>
      <c r="B276" s="147">
        <v>21</v>
      </c>
      <c r="C276" s="148"/>
      <c r="D276" s="149"/>
      <c r="E276" s="147"/>
      <c r="F276" s="147"/>
      <c r="G276" s="147"/>
      <c r="H276" s="150"/>
      <c r="I276" s="164"/>
      <c r="J276" s="147"/>
    </row>
    <row r="277" spans="1:10" ht="15.75" customHeight="1">
      <c r="A277" s="146" t="s">
        <v>144</v>
      </c>
      <c r="B277" s="147">
        <v>22</v>
      </c>
      <c r="C277" s="148"/>
      <c r="D277" s="149"/>
      <c r="E277" s="147"/>
      <c r="F277" s="147"/>
      <c r="G277" s="147"/>
      <c r="H277" s="150"/>
      <c r="I277" s="164"/>
      <c r="J277" s="147"/>
    </row>
    <row r="278" spans="1:10" ht="15.75" customHeight="1">
      <c r="A278" s="146" t="s">
        <v>144</v>
      </c>
      <c r="B278" s="147">
        <v>23</v>
      </c>
      <c r="C278" s="148"/>
      <c r="D278" s="149"/>
      <c r="E278" s="147"/>
      <c r="F278" s="147"/>
      <c r="G278" s="147"/>
      <c r="H278" s="150"/>
      <c r="I278" s="164"/>
      <c r="J278" s="147"/>
    </row>
    <row r="279" spans="1:10" ht="15.75" customHeight="1">
      <c r="A279" s="158"/>
      <c r="B279" s="159"/>
      <c r="C279" s="159"/>
      <c r="D279" s="160"/>
      <c r="E279" s="159"/>
      <c r="F279" s="159"/>
      <c r="G279" s="159"/>
      <c r="H279" s="161"/>
      <c r="I279" s="162"/>
      <c r="J279" s="159"/>
    </row>
    <row r="280" spans="1:10" ht="15.75" customHeight="1">
      <c r="A280" s="146" t="s">
        <v>188</v>
      </c>
      <c r="B280" s="147">
        <v>1</v>
      </c>
      <c r="C280" s="148"/>
      <c r="D280" s="149"/>
      <c r="E280" s="147"/>
      <c r="F280" s="147"/>
      <c r="G280" s="147"/>
      <c r="H280" s="150"/>
      <c r="I280" s="164"/>
      <c r="J280" s="147"/>
    </row>
    <row r="281" spans="1:10" ht="15.75" customHeight="1">
      <c r="A281" s="146" t="s">
        <v>188</v>
      </c>
      <c r="B281" s="147">
        <v>2</v>
      </c>
      <c r="C281" s="148"/>
      <c r="D281" s="149"/>
      <c r="E281" s="147"/>
      <c r="F281" s="147"/>
      <c r="G281" s="147"/>
      <c r="H281" s="150"/>
      <c r="I281" s="164"/>
      <c r="J281" s="147"/>
    </row>
    <row r="282" spans="1:10" ht="15.75" customHeight="1">
      <c r="A282" s="146" t="s">
        <v>188</v>
      </c>
      <c r="B282" s="147">
        <v>3</v>
      </c>
      <c r="C282" s="148"/>
      <c r="D282" s="149"/>
      <c r="E282" s="147"/>
      <c r="F282" s="147"/>
      <c r="G282" s="147"/>
      <c r="H282" s="150"/>
      <c r="I282" s="164"/>
      <c r="J282" s="147"/>
    </row>
    <row r="283" spans="1:10" ht="15.75" customHeight="1">
      <c r="A283" s="146" t="s">
        <v>188</v>
      </c>
      <c r="B283" s="147">
        <v>4</v>
      </c>
      <c r="C283" s="148"/>
      <c r="D283" s="149"/>
      <c r="E283" s="147"/>
      <c r="F283" s="147"/>
      <c r="G283" s="147"/>
      <c r="H283" s="150"/>
      <c r="I283" s="164"/>
      <c r="J283" s="147"/>
    </row>
    <row r="284" spans="1:10" ht="15.75" customHeight="1">
      <c r="A284" s="146" t="s">
        <v>188</v>
      </c>
      <c r="B284" s="147">
        <v>5</v>
      </c>
      <c r="C284" s="148"/>
      <c r="D284" s="149"/>
      <c r="E284" s="147"/>
      <c r="F284" s="147"/>
      <c r="G284" s="147"/>
      <c r="H284" s="150"/>
      <c r="I284" s="151"/>
      <c r="J284" s="152"/>
    </row>
    <row r="285" spans="1:10" ht="15.75" customHeight="1">
      <c r="A285" s="146" t="s">
        <v>188</v>
      </c>
      <c r="B285" s="147">
        <v>6</v>
      </c>
      <c r="C285" s="148"/>
      <c r="D285" s="149"/>
      <c r="E285" s="147"/>
      <c r="F285" s="147"/>
      <c r="G285" s="147"/>
      <c r="H285" s="150"/>
      <c r="I285" s="164"/>
      <c r="J285" s="147"/>
    </row>
    <row r="286" spans="1:10" ht="15.75" customHeight="1">
      <c r="A286" s="146" t="s">
        <v>188</v>
      </c>
      <c r="B286" s="147">
        <v>7</v>
      </c>
      <c r="C286" s="148"/>
      <c r="D286" s="149"/>
      <c r="E286" s="147"/>
      <c r="F286" s="147"/>
      <c r="G286" s="147"/>
      <c r="H286" s="150"/>
      <c r="I286" s="164"/>
      <c r="J286" s="147"/>
    </row>
    <row r="287" spans="1:10" ht="15.75" customHeight="1">
      <c r="A287" s="146" t="s">
        <v>188</v>
      </c>
      <c r="B287" s="147">
        <v>8</v>
      </c>
      <c r="C287" s="148"/>
      <c r="D287" s="149"/>
      <c r="E287" s="147"/>
      <c r="F287" s="147"/>
      <c r="G287" s="147"/>
      <c r="H287" s="150"/>
      <c r="I287" s="164"/>
      <c r="J287" s="147"/>
    </row>
    <row r="288" spans="1:10" ht="15.75" customHeight="1">
      <c r="A288" s="146" t="s">
        <v>188</v>
      </c>
      <c r="B288" s="147">
        <v>9</v>
      </c>
      <c r="C288" s="148"/>
      <c r="D288" s="149"/>
      <c r="E288" s="147"/>
      <c r="F288" s="147"/>
      <c r="G288" s="147"/>
      <c r="H288" s="150"/>
      <c r="I288" s="164"/>
      <c r="J288" s="147"/>
    </row>
    <row r="289" spans="1:10" ht="15.75" customHeight="1">
      <c r="A289" s="146" t="s">
        <v>188</v>
      </c>
      <c r="B289" s="147">
        <v>10</v>
      </c>
      <c r="C289" s="148"/>
      <c r="D289" s="149"/>
      <c r="E289" s="147"/>
      <c r="F289" s="147"/>
      <c r="G289" s="147"/>
      <c r="H289" s="150"/>
      <c r="I289" s="164"/>
      <c r="J289" s="147"/>
    </row>
    <row r="290" spans="1:10" ht="15.75" customHeight="1">
      <c r="A290" s="146" t="s">
        <v>188</v>
      </c>
      <c r="B290" s="147">
        <v>11</v>
      </c>
      <c r="C290" s="148"/>
      <c r="D290" s="149"/>
      <c r="E290" s="147"/>
      <c r="F290" s="147"/>
      <c r="G290" s="147"/>
      <c r="H290" s="150"/>
      <c r="I290" s="164"/>
      <c r="J290" s="147"/>
    </row>
    <row r="291" spans="1:10" ht="15.75" customHeight="1">
      <c r="A291" s="146" t="s">
        <v>188</v>
      </c>
      <c r="B291" s="147">
        <v>12</v>
      </c>
      <c r="C291" s="148"/>
      <c r="D291" s="149"/>
      <c r="E291" s="147"/>
      <c r="F291" s="147"/>
      <c r="G291" s="147"/>
      <c r="H291" s="150"/>
      <c r="I291" s="164"/>
      <c r="J291" s="147"/>
    </row>
    <row r="292" spans="1:10" ht="15.75" customHeight="1">
      <c r="A292" s="146" t="s">
        <v>188</v>
      </c>
      <c r="B292" s="147">
        <v>13</v>
      </c>
      <c r="C292" s="148"/>
      <c r="D292" s="149"/>
      <c r="E292" s="147"/>
      <c r="F292" s="147"/>
      <c r="G292" s="147"/>
      <c r="H292" s="150"/>
      <c r="I292" s="164"/>
      <c r="J292" s="147"/>
    </row>
    <row r="293" spans="1:10" ht="15.75" customHeight="1">
      <c r="A293" s="146" t="s">
        <v>188</v>
      </c>
      <c r="B293" s="147">
        <v>14</v>
      </c>
      <c r="C293" s="148"/>
      <c r="D293" s="149"/>
      <c r="E293" s="147"/>
      <c r="F293" s="147"/>
      <c r="G293" s="147"/>
      <c r="H293" s="150"/>
      <c r="I293" s="164"/>
      <c r="J293" s="147"/>
    </row>
    <row r="294" spans="1:10" ht="15.75" customHeight="1">
      <c r="A294" s="146" t="s">
        <v>188</v>
      </c>
      <c r="B294" s="147">
        <v>15</v>
      </c>
      <c r="C294" s="148"/>
      <c r="D294" s="149"/>
      <c r="E294" s="147"/>
      <c r="F294" s="147"/>
      <c r="G294" s="147"/>
      <c r="H294" s="150"/>
      <c r="I294" s="164"/>
      <c r="J294" s="147"/>
    </row>
    <row r="295" spans="1:10" ht="15.75" customHeight="1">
      <c r="A295" s="146" t="s">
        <v>188</v>
      </c>
      <c r="B295" s="147">
        <v>16</v>
      </c>
      <c r="C295" s="148"/>
      <c r="D295" s="149"/>
      <c r="E295" s="147"/>
      <c r="F295" s="147"/>
      <c r="G295" s="147"/>
      <c r="H295" s="150"/>
      <c r="I295" s="164"/>
      <c r="J295" s="147"/>
    </row>
    <row r="296" spans="1:10" ht="15.75" customHeight="1">
      <c r="A296" s="146" t="s">
        <v>188</v>
      </c>
      <c r="B296" s="147">
        <v>17</v>
      </c>
      <c r="C296" s="148"/>
      <c r="D296" s="149"/>
      <c r="E296" s="147"/>
      <c r="F296" s="147"/>
      <c r="G296" s="147"/>
      <c r="H296" s="150"/>
      <c r="I296" s="164"/>
      <c r="J296" s="147"/>
    </row>
    <row r="297" spans="1:10" ht="15.75" customHeight="1">
      <c r="A297" s="146" t="s">
        <v>188</v>
      </c>
      <c r="B297" s="147">
        <v>18</v>
      </c>
      <c r="C297" s="148"/>
      <c r="D297" s="149"/>
      <c r="E297" s="147"/>
      <c r="F297" s="147"/>
      <c r="G297" s="147"/>
      <c r="H297" s="150"/>
      <c r="I297" s="164"/>
      <c r="J297" s="147"/>
    </row>
    <row r="298" spans="1:10" ht="15.75" customHeight="1">
      <c r="A298" s="146" t="s">
        <v>188</v>
      </c>
      <c r="B298" s="147">
        <v>19</v>
      </c>
      <c r="C298" s="148"/>
      <c r="D298" s="149"/>
      <c r="E298" s="147"/>
      <c r="F298" s="147"/>
      <c r="G298" s="147"/>
      <c r="H298" s="150"/>
      <c r="I298" s="164"/>
      <c r="J298" s="147"/>
    </row>
    <row r="299" spans="1:10" ht="15.75" customHeight="1">
      <c r="A299" s="146" t="s">
        <v>188</v>
      </c>
      <c r="B299" s="147">
        <v>20</v>
      </c>
      <c r="C299" s="148"/>
      <c r="D299" s="149"/>
      <c r="E299" s="147"/>
      <c r="F299" s="147"/>
      <c r="G299" s="147"/>
      <c r="H299" s="150"/>
      <c r="I299" s="164"/>
      <c r="J299" s="147"/>
    </row>
    <row r="300" spans="1:10" ht="15.75" customHeight="1">
      <c r="A300" s="146" t="s">
        <v>188</v>
      </c>
      <c r="B300" s="147">
        <v>21</v>
      </c>
      <c r="C300" s="148"/>
      <c r="D300" s="149"/>
      <c r="E300" s="147"/>
      <c r="F300" s="147"/>
      <c r="G300" s="147"/>
      <c r="H300" s="150"/>
      <c r="I300" s="164"/>
      <c r="J300" s="147"/>
    </row>
    <row r="301" spans="1:10" ht="15.75" customHeight="1">
      <c r="A301" s="146" t="s">
        <v>188</v>
      </c>
      <c r="B301" s="147">
        <v>22</v>
      </c>
      <c r="C301" s="148"/>
      <c r="D301" s="149"/>
      <c r="E301" s="147"/>
      <c r="F301" s="147"/>
      <c r="G301" s="147"/>
      <c r="H301" s="150"/>
      <c r="I301" s="164"/>
      <c r="J301" s="147"/>
    </row>
    <row r="302" spans="1:10" ht="15.75" customHeight="1">
      <c r="A302" s="146" t="s">
        <v>188</v>
      </c>
      <c r="B302" s="147">
        <v>23</v>
      </c>
      <c r="C302" s="148"/>
      <c r="D302" s="149"/>
      <c r="E302" s="147"/>
      <c r="F302" s="147"/>
      <c r="G302" s="147"/>
      <c r="H302" s="150"/>
      <c r="I302" s="164"/>
      <c r="J302" s="147"/>
    </row>
    <row r="303" spans="1:10" ht="15.75" customHeight="1">
      <c r="A303" s="158"/>
      <c r="B303" s="159"/>
      <c r="C303" s="159"/>
      <c r="D303" s="160"/>
      <c r="E303" s="159"/>
      <c r="F303" s="159"/>
      <c r="G303" s="159"/>
      <c r="H303" s="161"/>
      <c r="I303" s="162"/>
      <c r="J303" s="159"/>
    </row>
    <row r="304" spans="1:10" ht="15.75" customHeight="1">
      <c r="A304" s="147"/>
      <c r="B304" s="147"/>
      <c r="C304" s="147"/>
      <c r="D304" s="149"/>
      <c r="E304" s="147"/>
      <c r="F304" s="147"/>
      <c r="G304" s="147"/>
      <c r="H304" s="150"/>
      <c r="I304" s="164"/>
      <c r="J304" s="147"/>
    </row>
    <row r="305" spans="1:10" ht="15.75" customHeight="1">
      <c r="A305" s="147"/>
      <c r="B305" s="147"/>
      <c r="C305" s="147"/>
      <c r="D305" s="149"/>
      <c r="E305" s="147"/>
      <c r="F305" s="147"/>
      <c r="G305" s="165" t="s">
        <v>4801</v>
      </c>
      <c r="H305" s="165" t="s">
        <v>4802</v>
      </c>
      <c r="I305" s="166" t="s">
        <v>4803</v>
      </c>
      <c r="J305" s="165" t="s">
        <v>4804</v>
      </c>
    </row>
    <row r="306" spans="1:10" ht="15.75" customHeight="1">
      <c r="A306" s="147"/>
      <c r="B306" s="147"/>
      <c r="C306" s="147"/>
      <c r="D306" s="149"/>
      <c r="E306" s="147"/>
      <c r="F306" s="147"/>
      <c r="G306" s="147"/>
      <c r="H306" s="150"/>
      <c r="I306" s="164"/>
      <c r="J306" s="147"/>
    </row>
    <row r="307" spans="1:10" ht="15.75" customHeight="1">
      <c r="A307" s="271" t="s">
        <v>4807</v>
      </c>
      <c r="B307" s="269"/>
      <c r="C307" s="269"/>
      <c r="D307" s="269"/>
      <c r="E307" s="269"/>
      <c r="F307" s="269"/>
      <c r="G307" s="269"/>
      <c r="H307" s="269"/>
      <c r="I307" s="269"/>
      <c r="J307" s="270"/>
    </row>
    <row r="308" spans="1:10" ht="15.75" customHeight="1">
      <c r="A308" s="142" t="s">
        <v>23</v>
      </c>
      <c r="B308" s="142" t="s">
        <v>24</v>
      </c>
      <c r="C308" s="142" t="s">
        <v>4796</v>
      </c>
      <c r="D308" s="143" t="s">
        <v>27</v>
      </c>
      <c r="E308" s="142" t="s">
        <v>4797</v>
      </c>
      <c r="F308" s="142" t="s">
        <v>835</v>
      </c>
      <c r="G308" s="142" t="s">
        <v>4798</v>
      </c>
      <c r="H308" s="144" t="s">
        <v>30</v>
      </c>
      <c r="I308" s="145" t="s">
        <v>4799</v>
      </c>
      <c r="J308" s="142" t="s">
        <v>4800</v>
      </c>
    </row>
    <row r="309" spans="1:10" ht="15.75" customHeight="1">
      <c r="A309" s="146" t="s">
        <v>35</v>
      </c>
      <c r="B309" s="147">
        <v>1</v>
      </c>
      <c r="C309" s="148" t="s">
        <v>4808</v>
      </c>
      <c r="D309" s="149" t="s">
        <v>4809</v>
      </c>
      <c r="E309" s="147" t="s">
        <v>2842</v>
      </c>
      <c r="F309" s="147" t="s">
        <v>4810</v>
      </c>
      <c r="G309" s="147" t="s">
        <v>4811</v>
      </c>
      <c r="H309" s="150" t="s">
        <v>4812</v>
      </c>
      <c r="I309" s="151" t="s">
        <v>4813</v>
      </c>
      <c r="J309" s="152" t="s">
        <v>4814</v>
      </c>
    </row>
    <row r="310" spans="1:10" ht="15.75" customHeight="1">
      <c r="A310" s="146" t="s">
        <v>35</v>
      </c>
      <c r="B310" s="147">
        <v>2</v>
      </c>
      <c r="C310" s="148" t="s">
        <v>4808</v>
      </c>
      <c r="D310" s="149" t="s">
        <v>4809</v>
      </c>
      <c r="E310" s="147" t="s">
        <v>2842</v>
      </c>
      <c r="F310" s="147" t="s">
        <v>4810</v>
      </c>
      <c r="G310" s="147" t="s">
        <v>4815</v>
      </c>
      <c r="H310" s="150" t="s">
        <v>4812</v>
      </c>
      <c r="I310" s="151" t="s">
        <v>4813</v>
      </c>
      <c r="J310" s="152" t="s">
        <v>4814</v>
      </c>
    </row>
    <row r="311" spans="1:10" ht="15.75" customHeight="1">
      <c r="A311" s="146" t="s">
        <v>35</v>
      </c>
      <c r="B311" s="147">
        <v>3</v>
      </c>
      <c r="C311" s="148" t="s">
        <v>4808</v>
      </c>
      <c r="D311" s="149" t="s">
        <v>4809</v>
      </c>
      <c r="E311" s="147" t="s">
        <v>2842</v>
      </c>
      <c r="F311" s="147" t="s">
        <v>4810</v>
      </c>
      <c r="G311" s="147" t="s">
        <v>4816</v>
      </c>
      <c r="H311" s="150" t="s">
        <v>4817</v>
      </c>
      <c r="I311" s="151" t="s">
        <v>4818</v>
      </c>
      <c r="J311" s="153" t="s">
        <v>4819</v>
      </c>
    </row>
    <row r="312" spans="1:10" ht="15.75" customHeight="1">
      <c r="A312" s="146" t="s">
        <v>35</v>
      </c>
      <c r="B312" s="147">
        <v>4</v>
      </c>
      <c r="C312" s="148" t="s">
        <v>4808</v>
      </c>
      <c r="D312" s="149" t="s">
        <v>4809</v>
      </c>
      <c r="E312" s="147" t="s">
        <v>2842</v>
      </c>
      <c r="F312" s="147" t="s">
        <v>4810</v>
      </c>
      <c r="G312" s="147" t="s">
        <v>4816</v>
      </c>
      <c r="H312" s="150" t="s">
        <v>4817</v>
      </c>
      <c r="I312" s="151" t="s">
        <v>4818</v>
      </c>
      <c r="J312" s="153" t="s">
        <v>4819</v>
      </c>
    </row>
    <row r="313" spans="1:10" ht="15.75" customHeight="1">
      <c r="A313" s="146" t="s">
        <v>35</v>
      </c>
      <c r="B313" s="147">
        <v>5</v>
      </c>
      <c r="C313" s="148" t="s">
        <v>4808</v>
      </c>
      <c r="D313" s="149" t="s">
        <v>4809</v>
      </c>
      <c r="E313" s="147" t="s">
        <v>2842</v>
      </c>
      <c r="F313" s="147" t="s">
        <v>4810</v>
      </c>
      <c r="G313" s="147">
        <v>2</v>
      </c>
      <c r="H313" s="150" t="s">
        <v>4820</v>
      </c>
      <c r="I313" s="151" t="s">
        <v>4821</v>
      </c>
      <c r="J313" s="153" t="s">
        <v>4819</v>
      </c>
    </row>
    <row r="314" spans="1:10" ht="15.75" customHeight="1">
      <c r="A314" s="146" t="s">
        <v>35</v>
      </c>
      <c r="B314" s="147">
        <v>6</v>
      </c>
      <c r="C314" s="148" t="s">
        <v>4808</v>
      </c>
      <c r="D314" s="149" t="s">
        <v>4809</v>
      </c>
      <c r="E314" s="147" t="s">
        <v>2842</v>
      </c>
      <c r="F314" s="147" t="s">
        <v>4810</v>
      </c>
      <c r="G314" s="147">
        <v>3</v>
      </c>
      <c r="H314" s="150" t="s">
        <v>4820</v>
      </c>
      <c r="I314" s="151" t="s">
        <v>4821</v>
      </c>
      <c r="J314" s="153" t="s">
        <v>4819</v>
      </c>
    </row>
    <row r="315" spans="1:10" ht="15.75" customHeight="1">
      <c r="A315" s="167" t="s">
        <v>35</v>
      </c>
      <c r="B315" s="168">
        <v>7</v>
      </c>
      <c r="C315" s="168" t="s">
        <v>4822</v>
      </c>
      <c r="D315" s="168" t="s">
        <v>4823</v>
      </c>
      <c r="E315" s="168" t="s">
        <v>4824</v>
      </c>
      <c r="F315" s="168" t="s">
        <v>4825</v>
      </c>
      <c r="G315" s="168"/>
      <c r="H315" s="169" t="s">
        <v>4826</v>
      </c>
      <c r="I315" s="170"/>
      <c r="J315" s="168"/>
    </row>
    <row r="316" spans="1:10" ht="15.75" customHeight="1">
      <c r="A316" s="167" t="s">
        <v>35</v>
      </c>
      <c r="B316" s="168">
        <v>8</v>
      </c>
      <c r="C316" s="168" t="s">
        <v>4822</v>
      </c>
      <c r="D316" s="168" t="s">
        <v>4823</v>
      </c>
      <c r="E316" s="168" t="s">
        <v>4824</v>
      </c>
      <c r="F316" s="168" t="s">
        <v>4825</v>
      </c>
      <c r="G316" s="168"/>
      <c r="H316" s="169" t="s">
        <v>4826</v>
      </c>
      <c r="I316" s="170"/>
      <c r="J316" s="168"/>
    </row>
    <row r="317" spans="1:10" ht="15.75" customHeight="1">
      <c r="A317" s="146" t="s">
        <v>35</v>
      </c>
      <c r="B317" s="147">
        <v>9</v>
      </c>
      <c r="C317" s="148" t="s">
        <v>4827</v>
      </c>
      <c r="D317" s="149" t="s">
        <v>4828</v>
      </c>
      <c r="E317" s="147" t="s">
        <v>2842</v>
      </c>
      <c r="F317" s="147" t="s">
        <v>4829</v>
      </c>
      <c r="G317" s="147" t="s">
        <v>4816</v>
      </c>
      <c r="H317" s="150" t="s">
        <v>4830</v>
      </c>
      <c r="I317" s="151" t="s">
        <v>4831</v>
      </c>
      <c r="J317" s="153" t="s">
        <v>4819</v>
      </c>
    </row>
    <row r="318" spans="1:10" ht="15.75" customHeight="1">
      <c r="A318" s="146" t="s">
        <v>35</v>
      </c>
      <c r="B318" s="147">
        <v>10</v>
      </c>
      <c r="C318" s="148" t="s">
        <v>4827</v>
      </c>
      <c r="D318" s="149" t="s">
        <v>4828</v>
      </c>
      <c r="E318" s="147" t="s">
        <v>2842</v>
      </c>
      <c r="F318" s="147" t="s">
        <v>4829</v>
      </c>
      <c r="G318" s="147">
        <v>2</v>
      </c>
      <c r="H318" s="150" t="s">
        <v>4832</v>
      </c>
      <c r="I318" s="151" t="s">
        <v>4831</v>
      </c>
      <c r="J318" s="153" t="s">
        <v>4819</v>
      </c>
    </row>
    <row r="319" spans="1:10" ht="15.75" customHeight="1">
      <c r="A319" s="146" t="s">
        <v>35</v>
      </c>
      <c r="B319" s="147">
        <v>11</v>
      </c>
      <c r="C319" s="148" t="s">
        <v>4827</v>
      </c>
      <c r="D319" s="149" t="s">
        <v>4828</v>
      </c>
      <c r="E319" s="147" t="s">
        <v>2842</v>
      </c>
      <c r="F319" s="147" t="s">
        <v>4829</v>
      </c>
      <c r="G319" s="147">
        <v>3</v>
      </c>
      <c r="H319" s="150" t="s">
        <v>4833</v>
      </c>
      <c r="I319" s="151" t="s">
        <v>4834</v>
      </c>
      <c r="J319" s="153" t="s">
        <v>4819</v>
      </c>
    </row>
    <row r="320" spans="1:10" ht="15.75" customHeight="1">
      <c r="A320" s="146" t="s">
        <v>35</v>
      </c>
      <c r="B320" s="147">
        <v>12</v>
      </c>
      <c r="C320" s="148" t="s">
        <v>4827</v>
      </c>
      <c r="D320" s="149" t="s">
        <v>4828</v>
      </c>
      <c r="E320" s="147" t="s">
        <v>2842</v>
      </c>
      <c r="F320" s="147" t="s">
        <v>4829</v>
      </c>
      <c r="G320" s="147">
        <v>4</v>
      </c>
      <c r="H320" s="150" t="s">
        <v>4835</v>
      </c>
      <c r="I320" s="151" t="s">
        <v>4834</v>
      </c>
      <c r="J320" s="153" t="s">
        <v>4819</v>
      </c>
    </row>
    <row r="321" spans="1:10" ht="15.75" customHeight="1">
      <c r="A321" s="146" t="s">
        <v>35</v>
      </c>
      <c r="B321" s="147">
        <v>13</v>
      </c>
      <c r="C321" s="148" t="s">
        <v>4827</v>
      </c>
      <c r="D321" s="149" t="s">
        <v>4828</v>
      </c>
      <c r="E321" s="147" t="s">
        <v>2842</v>
      </c>
      <c r="F321" s="147" t="s">
        <v>4829</v>
      </c>
      <c r="G321" s="147">
        <v>2</v>
      </c>
      <c r="H321" s="150" t="s">
        <v>4833</v>
      </c>
      <c r="I321" s="151" t="s">
        <v>4836</v>
      </c>
      <c r="J321" s="153" t="s">
        <v>4819</v>
      </c>
    </row>
    <row r="322" spans="1:10" ht="15.75" customHeight="1">
      <c r="A322" s="146" t="s">
        <v>35</v>
      </c>
      <c r="B322" s="147">
        <v>14</v>
      </c>
      <c r="C322" s="148" t="s">
        <v>4827</v>
      </c>
      <c r="D322" s="149" t="s">
        <v>4828</v>
      </c>
      <c r="E322" s="147" t="s">
        <v>2842</v>
      </c>
      <c r="F322" s="147" t="s">
        <v>4829</v>
      </c>
      <c r="G322" s="147">
        <v>3</v>
      </c>
      <c r="H322" s="150" t="s">
        <v>4837</v>
      </c>
      <c r="I322" s="151" t="s">
        <v>4836</v>
      </c>
      <c r="J322" s="153" t="s">
        <v>4819</v>
      </c>
    </row>
    <row r="323" spans="1:10" ht="15.75" customHeight="1">
      <c r="A323" s="146" t="s">
        <v>35</v>
      </c>
      <c r="B323" s="147">
        <v>15</v>
      </c>
      <c r="C323" s="148" t="s">
        <v>4827</v>
      </c>
      <c r="D323" s="149" t="s">
        <v>4828</v>
      </c>
      <c r="E323" s="147" t="s">
        <v>2842</v>
      </c>
      <c r="F323" s="147" t="s">
        <v>4829</v>
      </c>
      <c r="G323" s="147">
        <v>3</v>
      </c>
      <c r="H323" s="150" t="s">
        <v>4838</v>
      </c>
      <c r="I323" s="151" t="s">
        <v>4839</v>
      </c>
      <c r="J323" s="152" t="s">
        <v>2850</v>
      </c>
    </row>
    <row r="324" spans="1:10" ht="15.75" customHeight="1">
      <c r="A324" s="146" t="s">
        <v>35</v>
      </c>
      <c r="B324" s="147">
        <v>16</v>
      </c>
      <c r="C324" s="148" t="s">
        <v>4827</v>
      </c>
      <c r="D324" s="149" t="s">
        <v>4828</v>
      </c>
      <c r="E324" s="147" t="s">
        <v>2842</v>
      </c>
      <c r="F324" s="147" t="s">
        <v>4829</v>
      </c>
      <c r="G324" s="147">
        <v>4</v>
      </c>
      <c r="H324" s="150" t="s">
        <v>4840</v>
      </c>
      <c r="I324" s="151" t="s">
        <v>4839</v>
      </c>
      <c r="J324" s="152" t="s">
        <v>2850</v>
      </c>
    </row>
    <row r="325" spans="1:10" ht="15.75" customHeight="1">
      <c r="A325" s="167" t="s">
        <v>35</v>
      </c>
      <c r="B325" s="168">
        <v>17</v>
      </c>
      <c r="C325" s="168" t="s">
        <v>4822</v>
      </c>
      <c r="D325" s="168" t="s">
        <v>4823</v>
      </c>
      <c r="E325" s="168" t="s">
        <v>4824</v>
      </c>
      <c r="F325" s="168" t="s">
        <v>4825</v>
      </c>
      <c r="G325" s="168"/>
      <c r="H325" s="169" t="s">
        <v>4841</v>
      </c>
      <c r="I325" s="170"/>
      <c r="J325" s="168"/>
    </row>
    <row r="326" spans="1:10" ht="15.75" customHeight="1">
      <c r="A326" s="167" t="s">
        <v>35</v>
      </c>
      <c r="B326" s="168">
        <v>18</v>
      </c>
      <c r="C326" s="168" t="s">
        <v>4822</v>
      </c>
      <c r="D326" s="168" t="s">
        <v>4823</v>
      </c>
      <c r="E326" s="168" t="s">
        <v>4824</v>
      </c>
      <c r="F326" s="168" t="s">
        <v>4825</v>
      </c>
      <c r="G326" s="168"/>
      <c r="H326" s="169" t="s">
        <v>4841</v>
      </c>
      <c r="I326" s="170"/>
      <c r="J326" s="168"/>
    </row>
    <row r="327" spans="1:10" ht="15.75" customHeight="1">
      <c r="A327" s="146" t="s">
        <v>35</v>
      </c>
      <c r="B327" s="147">
        <v>19</v>
      </c>
      <c r="C327" s="150" t="s">
        <v>4842</v>
      </c>
      <c r="D327" s="149" t="s">
        <v>4843</v>
      </c>
      <c r="E327" s="147" t="s">
        <v>2842</v>
      </c>
      <c r="F327" s="147" t="s">
        <v>4844</v>
      </c>
      <c r="G327" s="147">
        <v>2</v>
      </c>
      <c r="H327" s="150" t="s">
        <v>4845</v>
      </c>
      <c r="I327" s="151" t="s">
        <v>4846</v>
      </c>
      <c r="J327" s="152" t="s">
        <v>4847</v>
      </c>
    </row>
    <row r="328" spans="1:10" ht="15.75" customHeight="1">
      <c r="A328" s="146" t="s">
        <v>35</v>
      </c>
      <c r="B328" s="147">
        <v>20</v>
      </c>
      <c r="C328" s="150" t="s">
        <v>4842</v>
      </c>
      <c r="D328" s="149" t="s">
        <v>4843</v>
      </c>
      <c r="E328" s="147" t="s">
        <v>2842</v>
      </c>
      <c r="F328" s="147" t="s">
        <v>4844</v>
      </c>
      <c r="G328" s="147">
        <v>3</v>
      </c>
      <c r="H328" s="150" t="s">
        <v>4845</v>
      </c>
      <c r="I328" s="151" t="s">
        <v>4846</v>
      </c>
      <c r="J328" s="152" t="s">
        <v>4847</v>
      </c>
    </row>
    <row r="329" spans="1:10" ht="15.75" customHeight="1">
      <c r="A329" s="146" t="s">
        <v>35</v>
      </c>
      <c r="B329" s="147">
        <v>21</v>
      </c>
      <c r="C329" s="148" t="s">
        <v>4827</v>
      </c>
      <c r="D329" s="149" t="s">
        <v>4848</v>
      </c>
      <c r="E329" s="147" t="s">
        <v>2842</v>
      </c>
      <c r="F329" s="147" t="s">
        <v>4849</v>
      </c>
      <c r="G329" s="147">
        <v>2</v>
      </c>
      <c r="H329" s="171" t="s">
        <v>4850</v>
      </c>
      <c r="I329" s="151" t="s">
        <v>4851</v>
      </c>
      <c r="J329" s="152" t="s">
        <v>2850</v>
      </c>
    </row>
    <row r="330" spans="1:10" ht="15.75" customHeight="1">
      <c r="A330" s="146" t="s">
        <v>35</v>
      </c>
      <c r="B330" s="147">
        <v>22</v>
      </c>
      <c r="C330" s="148" t="s">
        <v>4827</v>
      </c>
      <c r="D330" s="149" t="s">
        <v>4848</v>
      </c>
      <c r="E330" s="147" t="s">
        <v>2842</v>
      </c>
      <c r="F330" s="147" t="s">
        <v>4849</v>
      </c>
      <c r="G330" s="147">
        <v>3</v>
      </c>
      <c r="H330" s="171" t="s">
        <v>4850</v>
      </c>
      <c r="I330" s="151" t="s">
        <v>4851</v>
      </c>
      <c r="J330" s="152" t="s">
        <v>2850</v>
      </c>
    </row>
    <row r="331" spans="1:10" ht="15.75" customHeight="1">
      <c r="A331" s="146" t="s">
        <v>35</v>
      </c>
      <c r="B331" s="147">
        <v>23</v>
      </c>
      <c r="C331" s="150" t="s">
        <v>4842</v>
      </c>
      <c r="D331" s="149" t="s">
        <v>4843</v>
      </c>
      <c r="E331" s="147" t="s">
        <v>2842</v>
      </c>
      <c r="F331" s="147" t="s">
        <v>4844</v>
      </c>
      <c r="G331" s="147">
        <v>3</v>
      </c>
      <c r="H331" s="150" t="s">
        <v>4852</v>
      </c>
      <c r="I331" s="151" t="s">
        <v>4851</v>
      </c>
      <c r="J331" s="152" t="s">
        <v>2850</v>
      </c>
    </row>
    <row r="332" spans="1:10" ht="15.75" customHeight="1">
      <c r="A332" s="146" t="s">
        <v>35</v>
      </c>
      <c r="B332" s="147">
        <v>24</v>
      </c>
      <c r="C332" s="150" t="s">
        <v>4842</v>
      </c>
      <c r="D332" s="149" t="s">
        <v>4843</v>
      </c>
      <c r="E332" s="147" t="s">
        <v>2842</v>
      </c>
      <c r="F332" s="147" t="s">
        <v>4844</v>
      </c>
      <c r="G332" s="147">
        <v>4</v>
      </c>
      <c r="H332" s="150" t="s">
        <v>4852</v>
      </c>
      <c r="I332" s="151" t="s">
        <v>4851</v>
      </c>
      <c r="J332" s="152" t="s">
        <v>2850</v>
      </c>
    </row>
    <row r="333" spans="1:10" ht="15.75" customHeight="1">
      <c r="A333" s="146" t="s">
        <v>35</v>
      </c>
      <c r="B333" s="147">
        <v>25</v>
      </c>
      <c r="C333" s="150" t="s">
        <v>4842</v>
      </c>
      <c r="D333" s="149" t="s">
        <v>4843</v>
      </c>
      <c r="E333" s="147" t="s">
        <v>2842</v>
      </c>
      <c r="F333" s="147" t="s">
        <v>4844</v>
      </c>
      <c r="G333" s="147">
        <v>3</v>
      </c>
      <c r="H333" s="150" t="s">
        <v>4853</v>
      </c>
      <c r="I333" s="151" t="s">
        <v>4851</v>
      </c>
      <c r="J333" s="152" t="s">
        <v>2850</v>
      </c>
    </row>
    <row r="334" spans="1:10" ht="15.75" customHeight="1">
      <c r="A334" s="146" t="s">
        <v>35</v>
      </c>
      <c r="B334" s="147">
        <v>26</v>
      </c>
      <c r="C334" s="150" t="s">
        <v>4842</v>
      </c>
      <c r="D334" s="149" t="s">
        <v>4843</v>
      </c>
      <c r="E334" s="147" t="s">
        <v>2842</v>
      </c>
      <c r="F334" s="147" t="s">
        <v>4844</v>
      </c>
      <c r="G334" s="147">
        <v>4</v>
      </c>
      <c r="H334" s="150" t="s">
        <v>4853</v>
      </c>
      <c r="I334" s="151" t="s">
        <v>4851</v>
      </c>
      <c r="J334" s="152" t="s">
        <v>2850</v>
      </c>
    </row>
    <row r="335" spans="1:10" ht="15.75" customHeight="1">
      <c r="A335" s="167" t="s">
        <v>35</v>
      </c>
      <c r="B335" s="168">
        <v>27</v>
      </c>
      <c r="C335" s="168" t="s">
        <v>4822</v>
      </c>
      <c r="D335" s="168" t="s">
        <v>4823</v>
      </c>
      <c r="E335" s="168" t="s">
        <v>4824</v>
      </c>
      <c r="F335" s="168" t="s">
        <v>4825</v>
      </c>
      <c r="G335" s="168"/>
      <c r="H335" s="169" t="s">
        <v>4854</v>
      </c>
      <c r="I335" s="170"/>
      <c r="J335" s="168"/>
    </row>
    <row r="336" spans="1:10" ht="15.75" customHeight="1">
      <c r="A336" s="167" t="s">
        <v>35</v>
      </c>
      <c r="B336" s="168">
        <v>28</v>
      </c>
      <c r="C336" s="168" t="s">
        <v>4822</v>
      </c>
      <c r="D336" s="168" t="s">
        <v>4823</v>
      </c>
      <c r="E336" s="168" t="s">
        <v>4824</v>
      </c>
      <c r="F336" s="168" t="s">
        <v>4825</v>
      </c>
      <c r="G336" s="168"/>
      <c r="H336" s="169" t="s">
        <v>4854</v>
      </c>
      <c r="I336" s="170"/>
      <c r="J336" s="168"/>
    </row>
    <row r="337" spans="1:10" ht="15.75" customHeight="1">
      <c r="A337" s="146" t="s">
        <v>35</v>
      </c>
      <c r="B337" s="147">
        <v>29</v>
      </c>
      <c r="C337" s="150" t="s">
        <v>4855</v>
      </c>
      <c r="D337" s="149" t="s">
        <v>4856</v>
      </c>
      <c r="E337" s="147" t="s">
        <v>2842</v>
      </c>
      <c r="F337" s="147" t="s">
        <v>4857</v>
      </c>
      <c r="G337" s="147">
        <v>2</v>
      </c>
      <c r="H337" s="172" t="s">
        <v>4858</v>
      </c>
      <c r="I337" s="151" t="s">
        <v>4859</v>
      </c>
      <c r="J337" s="152"/>
    </row>
    <row r="338" spans="1:10" ht="15.75" customHeight="1">
      <c r="A338" s="146" t="s">
        <v>35</v>
      </c>
      <c r="B338" s="147">
        <v>30</v>
      </c>
      <c r="C338" s="150" t="s">
        <v>4855</v>
      </c>
      <c r="D338" s="149" t="s">
        <v>4856</v>
      </c>
      <c r="E338" s="147" t="s">
        <v>2842</v>
      </c>
      <c r="F338" s="147" t="s">
        <v>4857</v>
      </c>
      <c r="G338" s="147">
        <v>3</v>
      </c>
      <c r="H338" s="172" t="s">
        <v>4858</v>
      </c>
      <c r="I338" s="151" t="s">
        <v>4859</v>
      </c>
      <c r="J338" s="152"/>
    </row>
    <row r="339" spans="1:10" ht="15.75" customHeight="1">
      <c r="A339" s="146" t="s">
        <v>35</v>
      </c>
      <c r="B339" s="147">
        <v>31</v>
      </c>
      <c r="C339" s="150" t="s">
        <v>4855</v>
      </c>
      <c r="D339" s="149" t="s">
        <v>4856</v>
      </c>
      <c r="E339" s="147" t="s">
        <v>2842</v>
      </c>
      <c r="F339" s="147" t="s">
        <v>4857</v>
      </c>
      <c r="G339" s="147">
        <v>3</v>
      </c>
      <c r="H339" s="173" t="s">
        <v>4860</v>
      </c>
      <c r="I339" s="151" t="s">
        <v>4861</v>
      </c>
      <c r="J339" s="152"/>
    </row>
    <row r="340" spans="1:10" ht="15.75" customHeight="1">
      <c r="A340" s="146" t="s">
        <v>35</v>
      </c>
      <c r="B340" s="147">
        <v>32</v>
      </c>
      <c r="C340" s="150" t="s">
        <v>4855</v>
      </c>
      <c r="D340" s="149" t="s">
        <v>4856</v>
      </c>
      <c r="E340" s="147" t="s">
        <v>2842</v>
      </c>
      <c r="F340" s="147" t="s">
        <v>4857</v>
      </c>
      <c r="G340" s="147">
        <v>4</v>
      </c>
      <c r="H340" s="173" t="s">
        <v>4860</v>
      </c>
      <c r="I340" s="151" t="s">
        <v>4861</v>
      </c>
      <c r="J340" s="152"/>
    </row>
    <row r="341" spans="1:10" ht="15.75" customHeight="1">
      <c r="A341" s="146" t="s">
        <v>35</v>
      </c>
      <c r="B341" s="147">
        <v>33</v>
      </c>
      <c r="C341" s="150" t="s">
        <v>4855</v>
      </c>
      <c r="D341" s="149" t="s">
        <v>4862</v>
      </c>
      <c r="E341" s="147" t="s">
        <v>2842</v>
      </c>
      <c r="F341" s="147" t="s">
        <v>4863</v>
      </c>
      <c r="G341" s="147">
        <v>2</v>
      </c>
      <c r="H341" s="173" t="s">
        <v>4864</v>
      </c>
      <c r="I341" s="151" t="s">
        <v>4865</v>
      </c>
    </row>
    <row r="342" spans="1:10" ht="15.75" customHeight="1">
      <c r="A342" s="146" t="s">
        <v>35</v>
      </c>
      <c r="B342" s="147">
        <v>34</v>
      </c>
      <c r="C342" s="150" t="s">
        <v>4855</v>
      </c>
      <c r="D342" s="149" t="s">
        <v>4862</v>
      </c>
      <c r="E342" s="147" t="s">
        <v>2842</v>
      </c>
      <c r="F342" s="147" t="s">
        <v>4863</v>
      </c>
      <c r="G342" s="147">
        <v>3</v>
      </c>
      <c r="H342" s="173" t="s">
        <v>4864</v>
      </c>
      <c r="I342" s="151" t="s">
        <v>4865</v>
      </c>
    </row>
    <row r="343" spans="1:10" ht="15.75" customHeight="1">
      <c r="A343" s="146" t="s">
        <v>35</v>
      </c>
      <c r="B343" s="147">
        <v>35</v>
      </c>
      <c r="C343" s="150" t="s">
        <v>4855</v>
      </c>
      <c r="D343" s="149" t="s">
        <v>4866</v>
      </c>
      <c r="E343" s="147" t="s">
        <v>2842</v>
      </c>
      <c r="F343" s="147" t="s">
        <v>4867</v>
      </c>
      <c r="G343" s="147">
        <v>2</v>
      </c>
      <c r="H343" s="173" t="s">
        <v>4868</v>
      </c>
      <c r="I343" s="151" t="s">
        <v>4869</v>
      </c>
    </row>
    <row r="344" spans="1:10" ht="15.75" customHeight="1">
      <c r="A344" s="146" t="s">
        <v>35</v>
      </c>
      <c r="B344" s="147">
        <v>36</v>
      </c>
      <c r="C344" s="150" t="s">
        <v>4855</v>
      </c>
      <c r="D344" s="149" t="s">
        <v>4866</v>
      </c>
      <c r="E344" s="147" t="s">
        <v>2842</v>
      </c>
      <c r="F344" s="147" t="s">
        <v>4867</v>
      </c>
      <c r="G344" s="147">
        <v>3</v>
      </c>
      <c r="H344" s="173" t="s">
        <v>4868</v>
      </c>
      <c r="I344" s="151" t="s">
        <v>4869</v>
      </c>
    </row>
    <row r="345" spans="1:10" ht="15.75" customHeight="1">
      <c r="A345" s="167" t="s">
        <v>35</v>
      </c>
      <c r="B345" s="168">
        <v>37</v>
      </c>
      <c r="C345" s="168" t="s">
        <v>4870</v>
      </c>
      <c r="D345" s="174" t="s">
        <v>4871</v>
      </c>
      <c r="E345" s="168" t="s">
        <v>4824</v>
      </c>
      <c r="F345" s="168" t="s">
        <v>4872</v>
      </c>
      <c r="G345" s="168"/>
      <c r="H345" s="169" t="s">
        <v>4873</v>
      </c>
      <c r="I345" s="170"/>
      <c r="J345" s="168"/>
    </row>
    <row r="346" spans="1:10" ht="15.75" customHeight="1">
      <c r="A346" s="167" t="s">
        <v>35</v>
      </c>
      <c r="B346" s="168">
        <v>38</v>
      </c>
      <c r="C346" s="168" t="s">
        <v>4870</v>
      </c>
      <c r="D346" s="174" t="s">
        <v>4871</v>
      </c>
      <c r="E346" s="168" t="s">
        <v>4824</v>
      </c>
      <c r="F346" s="168" t="s">
        <v>4872</v>
      </c>
      <c r="G346" s="168"/>
      <c r="H346" s="169" t="s">
        <v>4873</v>
      </c>
      <c r="I346" s="170"/>
      <c r="J346" s="168"/>
    </row>
    <row r="347" spans="1:10" ht="15.75" customHeight="1">
      <c r="A347" s="154" t="s">
        <v>35</v>
      </c>
      <c r="B347" s="152">
        <v>39</v>
      </c>
      <c r="C347" s="148" t="s">
        <v>4827</v>
      </c>
      <c r="D347" s="153" t="s">
        <v>4874</v>
      </c>
      <c r="E347" s="147" t="s">
        <v>2842</v>
      </c>
      <c r="F347" s="173" t="s">
        <v>4875</v>
      </c>
      <c r="G347" s="147" t="s">
        <v>4816</v>
      </c>
      <c r="H347" s="173" t="s">
        <v>4876</v>
      </c>
      <c r="I347" s="151" t="s">
        <v>4877</v>
      </c>
      <c r="J347" s="152"/>
    </row>
    <row r="348" spans="1:10" ht="15.75" customHeight="1">
      <c r="A348" s="154" t="s">
        <v>35</v>
      </c>
      <c r="B348" s="152">
        <v>40</v>
      </c>
      <c r="C348" s="148" t="s">
        <v>4827</v>
      </c>
      <c r="D348" s="153" t="s">
        <v>4874</v>
      </c>
      <c r="E348" s="147" t="s">
        <v>2842</v>
      </c>
      <c r="F348" s="173" t="s">
        <v>4875</v>
      </c>
      <c r="G348" s="147">
        <v>2</v>
      </c>
      <c r="H348" s="173" t="s">
        <v>4876</v>
      </c>
      <c r="I348" s="151" t="s">
        <v>4877</v>
      </c>
      <c r="J348" s="152"/>
    </row>
    <row r="349" spans="1:10" ht="15.75" customHeight="1">
      <c r="A349" s="154" t="s">
        <v>35</v>
      </c>
      <c r="B349" s="152">
        <v>41</v>
      </c>
      <c r="C349" s="148" t="s">
        <v>4827</v>
      </c>
      <c r="D349" s="153" t="s">
        <v>4874</v>
      </c>
      <c r="E349" s="147" t="s">
        <v>2842</v>
      </c>
      <c r="F349" s="173" t="s">
        <v>4875</v>
      </c>
      <c r="G349" s="147">
        <v>3</v>
      </c>
      <c r="H349" s="173" t="s">
        <v>4878</v>
      </c>
      <c r="I349" s="151" t="s">
        <v>4865</v>
      </c>
      <c r="J349" s="152"/>
    </row>
    <row r="350" spans="1:10" ht="15.75" customHeight="1">
      <c r="A350" s="154" t="s">
        <v>35</v>
      </c>
      <c r="B350" s="152">
        <v>42</v>
      </c>
      <c r="C350" s="148" t="s">
        <v>4827</v>
      </c>
      <c r="D350" s="153" t="s">
        <v>4874</v>
      </c>
      <c r="E350" s="147" t="s">
        <v>2842</v>
      </c>
      <c r="F350" s="173" t="s">
        <v>4875</v>
      </c>
      <c r="G350" s="147">
        <v>4</v>
      </c>
      <c r="H350" s="173" t="s">
        <v>4878</v>
      </c>
      <c r="I350" s="151" t="s">
        <v>4865</v>
      </c>
      <c r="J350" s="152"/>
    </row>
    <row r="351" spans="1:10" ht="15.75" customHeight="1">
      <c r="A351" s="154" t="s">
        <v>35</v>
      </c>
      <c r="B351" s="152">
        <v>43</v>
      </c>
      <c r="C351" s="148" t="s">
        <v>4827</v>
      </c>
      <c r="D351" s="153" t="s">
        <v>4874</v>
      </c>
      <c r="E351" s="147" t="s">
        <v>2842</v>
      </c>
      <c r="F351" s="173" t="s">
        <v>4875</v>
      </c>
      <c r="G351" s="147">
        <v>3</v>
      </c>
      <c r="H351" s="155" t="s">
        <v>4879</v>
      </c>
      <c r="I351" s="151" t="s">
        <v>4865</v>
      </c>
      <c r="J351" s="152"/>
    </row>
    <row r="352" spans="1:10" ht="15.75" customHeight="1">
      <c r="A352" s="154" t="s">
        <v>35</v>
      </c>
      <c r="B352" s="152">
        <v>44</v>
      </c>
      <c r="C352" s="148" t="s">
        <v>4827</v>
      </c>
      <c r="D352" s="153" t="s">
        <v>4874</v>
      </c>
      <c r="E352" s="147" t="s">
        <v>2842</v>
      </c>
      <c r="F352" s="173" t="s">
        <v>4875</v>
      </c>
      <c r="G352" s="152">
        <v>4</v>
      </c>
      <c r="H352" s="155" t="s">
        <v>4879</v>
      </c>
      <c r="I352" s="151" t="s">
        <v>4865</v>
      </c>
      <c r="J352" s="152"/>
    </row>
    <row r="353" spans="1:10" ht="15.75" customHeight="1">
      <c r="A353" s="158"/>
      <c r="B353" s="159"/>
      <c r="C353" s="159"/>
      <c r="D353" s="160"/>
      <c r="E353" s="159"/>
      <c r="F353" s="159"/>
      <c r="G353" s="159"/>
      <c r="H353" s="161"/>
      <c r="I353" s="162"/>
      <c r="J353" s="159"/>
    </row>
    <row r="354" spans="1:10" ht="15.75" customHeight="1">
      <c r="A354" s="146" t="s">
        <v>90</v>
      </c>
      <c r="B354" s="147">
        <v>1</v>
      </c>
      <c r="C354" s="148" t="s">
        <v>4808</v>
      </c>
      <c r="D354" s="149" t="s">
        <v>4880</v>
      </c>
      <c r="E354" s="147" t="s">
        <v>2842</v>
      </c>
      <c r="F354" s="147" t="s">
        <v>4881</v>
      </c>
      <c r="G354" s="147" t="s">
        <v>4816</v>
      </c>
      <c r="H354" s="150" t="s">
        <v>4882</v>
      </c>
      <c r="I354" s="163" t="s">
        <v>4883</v>
      </c>
    </row>
    <row r="355" spans="1:10" ht="15.75" customHeight="1">
      <c r="A355" s="146" t="s">
        <v>90</v>
      </c>
      <c r="B355" s="147">
        <v>3</v>
      </c>
      <c r="C355" s="148" t="s">
        <v>4808</v>
      </c>
      <c r="D355" s="149" t="s">
        <v>4884</v>
      </c>
      <c r="E355" s="147" t="s">
        <v>2842</v>
      </c>
      <c r="F355" s="147" t="s">
        <v>4885</v>
      </c>
      <c r="G355" s="147">
        <v>2</v>
      </c>
      <c r="H355" s="150" t="s">
        <v>4886</v>
      </c>
      <c r="I355" s="164" t="s">
        <v>4887</v>
      </c>
      <c r="J355" s="147" t="s">
        <v>4888</v>
      </c>
    </row>
    <row r="356" spans="1:10" ht="15.75" customHeight="1">
      <c r="A356" s="146" t="s">
        <v>90</v>
      </c>
      <c r="B356" s="147">
        <v>4</v>
      </c>
      <c r="C356" s="148" t="s">
        <v>4808</v>
      </c>
      <c r="D356" s="149" t="s">
        <v>4884</v>
      </c>
      <c r="E356" s="147" t="s">
        <v>2842</v>
      </c>
      <c r="F356" s="147" t="s">
        <v>4885</v>
      </c>
      <c r="G356" s="147">
        <v>3</v>
      </c>
      <c r="H356" s="150" t="s">
        <v>4886</v>
      </c>
      <c r="I356" s="164" t="s">
        <v>4887</v>
      </c>
      <c r="J356" s="147" t="s">
        <v>4888</v>
      </c>
    </row>
    <row r="357" spans="1:10" ht="15.75" customHeight="1">
      <c r="A357" s="146" t="s">
        <v>90</v>
      </c>
      <c r="B357" s="147">
        <v>5</v>
      </c>
      <c r="C357" s="148" t="s">
        <v>4827</v>
      </c>
      <c r="D357" s="149" t="s">
        <v>4828</v>
      </c>
      <c r="E357" s="147" t="s">
        <v>2842</v>
      </c>
      <c r="F357" s="147" t="s">
        <v>4829</v>
      </c>
      <c r="G357" s="147">
        <v>4</v>
      </c>
      <c r="H357" s="150" t="s">
        <v>4889</v>
      </c>
      <c r="I357" s="164" t="s">
        <v>4890</v>
      </c>
      <c r="J357" s="147" t="s">
        <v>4891</v>
      </c>
    </row>
    <row r="358" spans="1:10" ht="15.75" customHeight="1">
      <c r="A358" s="146" t="s">
        <v>90</v>
      </c>
      <c r="B358" s="147">
        <v>6</v>
      </c>
      <c r="C358" s="148" t="s">
        <v>4827</v>
      </c>
      <c r="D358" s="149" t="s">
        <v>4892</v>
      </c>
      <c r="E358" s="147" t="s">
        <v>2842</v>
      </c>
      <c r="F358" s="147" t="s">
        <v>4893</v>
      </c>
      <c r="G358" s="147">
        <v>4</v>
      </c>
      <c r="H358" s="150" t="s">
        <v>4894</v>
      </c>
      <c r="I358" s="164" t="s">
        <v>4890</v>
      </c>
      <c r="J358" s="147" t="s">
        <v>4891</v>
      </c>
    </row>
    <row r="359" spans="1:10" ht="15.75" customHeight="1">
      <c r="A359" s="167" t="s">
        <v>90</v>
      </c>
      <c r="B359" s="168">
        <v>7</v>
      </c>
      <c r="C359" s="168"/>
      <c r="D359" s="174" t="s">
        <v>4895</v>
      </c>
      <c r="E359" s="168" t="s">
        <v>4824</v>
      </c>
      <c r="F359" s="168" t="s">
        <v>4896</v>
      </c>
      <c r="G359" s="168"/>
      <c r="H359" s="169" t="s">
        <v>4897</v>
      </c>
      <c r="I359" s="170"/>
      <c r="J359" s="168"/>
    </row>
    <row r="360" spans="1:10" ht="15.75" customHeight="1">
      <c r="A360" s="167" t="s">
        <v>90</v>
      </c>
      <c r="B360" s="168">
        <v>8</v>
      </c>
      <c r="C360" s="168"/>
      <c r="D360" s="174" t="s">
        <v>4895</v>
      </c>
      <c r="E360" s="168" t="s">
        <v>4824</v>
      </c>
      <c r="F360" s="168" t="s">
        <v>4896</v>
      </c>
      <c r="G360" s="168"/>
      <c r="H360" s="169" t="s">
        <v>4897</v>
      </c>
      <c r="I360" s="170"/>
      <c r="J360" s="168"/>
    </row>
    <row r="361" spans="1:10" ht="15.75" customHeight="1">
      <c r="A361" s="146" t="s">
        <v>90</v>
      </c>
      <c r="B361" s="147">
        <v>9</v>
      </c>
      <c r="C361" s="147" t="s">
        <v>4898</v>
      </c>
      <c r="D361" s="149" t="s">
        <v>4899</v>
      </c>
      <c r="E361" s="147" t="s">
        <v>2842</v>
      </c>
      <c r="F361" s="147" t="s">
        <v>4900</v>
      </c>
      <c r="G361" s="147" t="s">
        <v>4816</v>
      </c>
      <c r="H361" s="150" t="s">
        <v>4901</v>
      </c>
      <c r="I361" s="164" t="s">
        <v>4902</v>
      </c>
      <c r="J361" s="147" t="s">
        <v>4903</v>
      </c>
    </row>
    <row r="362" spans="1:10" ht="15.75" customHeight="1">
      <c r="A362" s="146" t="s">
        <v>90</v>
      </c>
      <c r="B362" s="147">
        <v>10</v>
      </c>
      <c r="C362" s="147" t="s">
        <v>4898</v>
      </c>
      <c r="D362" s="149" t="s">
        <v>4899</v>
      </c>
      <c r="E362" s="147" t="s">
        <v>2842</v>
      </c>
      <c r="F362" s="147" t="s">
        <v>4900</v>
      </c>
      <c r="G362" s="147">
        <v>2</v>
      </c>
      <c r="H362" s="150" t="s">
        <v>4904</v>
      </c>
      <c r="I362" s="164" t="s">
        <v>4902</v>
      </c>
      <c r="J362" s="147" t="s">
        <v>4903</v>
      </c>
    </row>
    <row r="363" spans="1:10" ht="15.75" customHeight="1">
      <c r="A363" s="146" t="s">
        <v>90</v>
      </c>
      <c r="B363" s="147">
        <v>11</v>
      </c>
      <c r="C363" s="147" t="s">
        <v>4898</v>
      </c>
      <c r="D363" s="149" t="s">
        <v>4899</v>
      </c>
      <c r="E363" s="147" t="s">
        <v>2842</v>
      </c>
      <c r="F363" s="147" t="s">
        <v>4900</v>
      </c>
      <c r="G363" s="147">
        <v>2</v>
      </c>
      <c r="H363" s="150" t="s">
        <v>4905</v>
      </c>
      <c r="I363" s="164" t="s">
        <v>4906</v>
      </c>
      <c r="J363" s="147" t="s">
        <v>4903</v>
      </c>
    </row>
    <row r="364" spans="1:10" ht="15.75" customHeight="1">
      <c r="A364" s="146" t="s">
        <v>90</v>
      </c>
      <c r="B364" s="147">
        <v>12</v>
      </c>
      <c r="C364" s="147" t="s">
        <v>4898</v>
      </c>
      <c r="D364" s="149" t="s">
        <v>4899</v>
      </c>
      <c r="E364" s="147" t="s">
        <v>2842</v>
      </c>
      <c r="F364" s="147" t="s">
        <v>4900</v>
      </c>
      <c r="G364" s="147">
        <v>3</v>
      </c>
      <c r="H364" s="150" t="s">
        <v>4907</v>
      </c>
      <c r="I364" s="164" t="s">
        <v>4906</v>
      </c>
      <c r="J364" s="147" t="s">
        <v>4903</v>
      </c>
    </row>
    <row r="365" spans="1:10" ht="15.75" customHeight="1">
      <c r="A365" s="146" t="s">
        <v>90</v>
      </c>
      <c r="B365" s="147">
        <v>13</v>
      </c>
      <c r="C365" s="147" t="s">
        <v>4870</v>
      </c>
      <c r="D365" s="149" t="s">
        <v>4908</v>
      </c>
      <c r="E365" s="147" t="s">
        <v>2842</v>
      </c>
      <c r="F365" s="147" t="s">
        <v>4909</v>
      </c>
      <c r="G365" s="147">
        <v>4</v>
      </c>
      <c r="H365" s="150" t="s">
        <v>4910</v>
      </c>
      <c r="I365" s="164" t="s">
        <v>4911</v>
      </c>
      <c r="J365" s="147" t="s">
        <v>4823</v>
      </c>
    </row>
    <row r="366" spans="1:10" ht="15.75" customHeight="1">
      <c r="A366" s="146" t="s">
        <v>90</v>
      </c>
      <c r="B366" s="147">
        <v>14</v>
      </c>
      <c r="C366" s="147" t="s">
        <v>4870</v>
      </c>
      <c r="D366" s="149" t="s">
        <v>4908</v>
      </c>
      <c r="E366" s="147" t="s">
        <v>2842</v>
      </c>
      <c r="F366" s="147" t="s">
        <v>4909</v>
      </c>
      <c r="G366" s="147">
        <v>4</v>
      </c>
      <c r="H366" s="150" t="s">
        <v>4910</v>
      </c>
      <c r="I366" s="164" t="s">
        <v>4911</v>
      </c>
      <c r="J366" s="147" t="s">
        <v>4823</v>
      </c>
    </row>
    <row r="367" spans="1:10" ht="15.75" customHeight="1">
      <c r="A367" s="167" t="s">
        <v>90</v>
      </c>
      <c r="B367" s="168">
        <v>15</v>
      </c>
      <c r="C367" s="168" t="s">
        <v>4898</v>
      </c>
      <c r="D367" s="174" t="s">
        <v>4912</v>
      </c>
      <c r="E367" s="168" t="s">
        <v>4824</v>
      </c>
      <c r="F367" s="168" t="s">
        <v>4913</v>
      </c>
      <c r="G367" s="168"/>
      <c r="H367" s="169" t="s">
        <v>4914</v>
      </c>
      <c r="I367" s="170"/>
      <c r="J367" s="168"/>
    </row>
    <row r="368" spans="1:10" ht="15.75" customHeight="1">
      <c r="A368" s="167" t="s">
        <v>90</v>
      </c>
      <c r="B368" s="168">
        <v>16</v>
      </c>
      <c r="C368" s="168" t="s">
        <v>4898</v>
      </c>
      <c r="D368" s="174" t="s">
        <v>4915</v>
      </c>
      <c r="E368" s="168" t="s">
        <v>4824</v>
      </c>
      <c r="F368" s="168" t="s">
        <v>4913</v>
      </c>
      <c r="G368" s="168"/>
      <c r="H368" s="169" t="s">
        <v>4914</v>
      </c>
      <c r="I368" s="170"/>
      <c r="J368" s="168"/>
    </row>
    <row r="369" spans="1:10" ht="15.75" customHeight="1">
      <c r="A369" s="146" t="s">
        <v>90</v>
      </c>
      <c r="B369" s="147">
        <v>17</v>
      </c>
      <c r="C369" s="147" t="s">
        <v>4870</v>
      </c>
      <c r="D369" s="149" t="s">
        <v>4856</v>
      </c>
      <c r="E369" s="147" t="s">
        <v>2842</v>
      </c>
      <c r="F369" s="147" t="s">
        <v>4857</v>
      </c>
      <c r="G369" s="147" t="s">
        <v>4816</v>
      </c>
      <c r="H369" s="150" t="s">
        <v>4916</v>
      </c>
      <c r="I369" s="163" t="s">
        <v>4917</v>
      </c>
    </row>
    <row r="370" spans="1:10" ht="15.75" customHeight="1">
      <c r="A370" s="146" t="s">
        <v>90</v>
      </c>
      <c r="B370" s="147">
        <v>18</v>
      </c>
      <c r="C370" s="147" t="s">
        <v>4870</v>
      </c>
      <c r="D370" s="149" t="s">
        <v>4856</v>
      </c>
      <c r="E370" s="147" t="s">
        <v>2842</v>
      </c>
      <c r="F370" s="147" t="s">
        <v>4857</v>
      </c>
      <c r="G370" s="147">
        <v>2</v>
      </c>
      <c r="H370" s="150" t="s">
        <v>4918</v>
      </c>
      <c r="I370" s="163" t="s">
        <v>4919</v>
      </c>
      <c r="J370" s="147"/>
    </row>
    <row r="371" spans="1:10" ht="15.75" customHeight="1">
      <c r="A371" s="146" t="s">
        <v>90</v>
      </c>
      <c r="B371" s="147">
        <v>19</v>
      </c>
      <c r="C371" s="147" t="s">
        <v>4870</v>
      </c>
      <c r="D371" s="149" t="s">
        <v>4856</v>
      </c>
      <c r="E371" s="147" t="s">
        <v>2842</v>
      </c>
      <c r="F371" s="147" t="s">
        <v>4857</v>
      </c>
      <c r="G371" s="147">
        <v>2</v>
      </c>
      <c r="H371" s="150" t="s">
        <v>4920</v>
      </c>
      <c r="I371" s="164" t="s">
        <v>4921</v>
      </c>
      <c r="J371" s="147" t="s">
        <v>4922</v>
      </c>
    </row>
    <row r="372" spans="1:10" ht="15.75" customHeight="1">
      <c r="A372" s="146" t="s">
        <v>90</v>
      </c>
      <c r="B372" s="147">
        <v>20</v>
      </c>
      <c r="C372" s="147" t="s">
        <v>4870</v>
      </c>
      <c r="D372" s="149" t="s">
        <v>4923</v>
      </c>
      <c r="E372" s="147" t="s">
        <v>2842</v>
      </c>
      <c r="F372" s="147" t="s">
        <v>4924</v>
      </c>
      <c r="G372" s="147">
        <v>3</v>
      </c>
      <c r="H372" s="150" t="s">
        <v>4925</v>
      </c>
      <c r="I372" s="164" t="s">
        <v>4921</v>
      </c>
      <c r="J372" s="147" t="s">
        <v>4922</v>
      </c>
    </row>
    <row r="373" spans="1:10" ht="15.75" customHeight="1">
      <c r="A373" s="146" t="s">
        <v>90</v>
      </c>
      <c r="B373" s="147">
        <v>21</v>
      </c>
      <c r="C373" s="147" t="s">
        <v>4870</v>
      </c>
      <c r="D373" s="149" t="s">
        <v>4926</v>
      </c>
      <c r="E373" s="147" t="s">
        <v>2842</v>
      </c>
      <c r="F373" s="147" t="s">
        <v>4927</v>
      </c>
      <c r="G373" s="147">
        <v>4</v>
      </c>
      <c r="H373" s="150" t="s">
        <v>4928</v>
      </c>
      <c r="I373" s="163" t="s">
        <v>4911</v>
      </c>
      <c r="J373" s="147"/>
    </row>
    <row r="374" spans="1:10" ht="15.75" customHeight="1">
      <c r="A374" s="146" t="s">
        <v>90</v>
      </c>
      <c r="B374" s="147">
        <v>22</v>
      </c>
      <c r="C374" s="147" t="s">
        <v>4870</v>
      </c>
      <c r="D374" s="149" t="s">
        <v>4908</v>
      </c>
      <c r="E374" s="147" t="s">
        <v>2842</v>
      </c>
      <c r="F374" s="147" t="s">
        <v>4927</v>
      </c>
      <c r="G374" s="147">
        <v>4</v>
      </c>
      <c r="H374" s="150" t="s">
        <v>4929</v>
      </c>
      <c r="I374" s="163" t="s">
        <v>4911</v>
      </c>
      <c r="J374" s="147"/>
    </row>
    <row r="375" spans="1:10" ht="15.75" customHeight="1">
      <c r="A375" s="167" t="s">
        <v>90</v>
      </c>
      <c r="B375" s="168">
        <v>23</v>
      </c>
      <c r="C375" s="168" t="s">
        <v>4870</v>
      </c>
      <c r="D375" s="174" t="s">
        <v>4871</v>
      </c>
      <c r="E375" s="168" t="s">
        <v>4824</v>
      </c>
      <c r="F375" s="168" t="s">
        <v>4872</v>
      </c>
      <c r="G375" s="168"/>
      <c r="H375" s="169" t="s">
        <v>4930</v>
      </c>
      <c r="I375" s="170"/>
      <c r="J375" s="168"/>
    </row>
    <row r="376" spans="1:10" ht="15.75" customHeight="1">
      <c r="A376" s="167" t="s">
        <v>90</v>
      </c>
      <c r="B376" s="168">
        <v>24</v>
      </c>
      <c r="C376" s="168" t="s">
        <v>4870</v>
      </c>
      <c r="D376" s="174" t="s">
        <v>4931</v>
      </c>
      <c r="E376" s="168" t="s">
        <v>4824</v>
      </c>
      <c r="F376" s="168" t="s">
        <v>4932</v>
      </c>
      <c r="G376" s="168"/>
      <c r="H376" s="169" t="s">
        <v>4930</v>
      </c>
      <c r="I376" s="170"/>
      <c r="J376" s="168"/>
    </row>
    <row r="377" spans="1:10" ht="15.75" customHeight="1">
      <c r="A377" s="146" t="s">
        <v>90</v>
      </c>
      <c r="B377" s="147">
        <v>25</v>
      </c>
      <c r="C377" s="147" t="s">
        <v>4933</v>
      </c>
      <c r="D377" s="149" t="s">
        <v>4848</v>
      </c>
      <c r="E377" s="147" t="s">
        <v>2842</v>
      </c>
      <c r="F377" s="147" t="s">
        <v>4934</v>
      </c>
      <c r="G377" s="147">
        <v>2</v>
      </c>
      <c r="H377" s="150" t="s">
        <v>4935</v>
      </c>
      <c r="I377" s="163" t="s">
        <v>4911</v>
      </c>
      <c r="J377" s="147"/>
    </row>
    <row r="378" spans="1:10" ht="15.75" customHeight="1">
      <c r="A378" s="146" t="s">
        <v>90</v>
      </c>
      <c r="B378" s="147">
        <v>26</v>
      </c>
      <c r="C378" s="147" t="s">
        <v>4933</v>
      </c>
      <c r="D378" s="149" t="s">
        <v>4936</v>
      </c>
      <c r="E378" s="147" t="s">
        <v>2842</v>
      </c>
      <c r="F378" s="147" t="s">
        <v>4937</v>
      </c>
      <c r="G378" s="147">
        <v>2</v>
      </c>
      <c r="H378" s="150" t="s">
        <v>4938</v>
      </c>
      <c r="I378" s="163" t="s">
        <v>4911</v>
      </c>
      <c r="J378" s="147"/>
    </row>
    <row r="379" spans="1:10" ht="15.75" customHeight="1">
      <c r="A379" s="146" t="s">
        <v>90</v>
      </c>
      <c r="B379" s="147">
        <v>27</v>
      </c>
      <c r="C379" s="147" t="s">
        <v>4842</v>
      </c>
      <c r="D379" s="149" t="s">
        <v>4939</v>
      </c>
      <c r="E379" s="147" t="s">
        <v>2842</v>
      </c>
      <c r="F379" s="147" t="s">
        <v>4940</v>
      </c>
      <c r="G379" s="147">
        <v>3</v>
      </c>
      <c r="H379" s="150" t="s">
        <v>4941</v>
      </c>
      <c r="I379" s="164" t="s">
        <v>4942</v>
      </c>
      <c r="J379" s="147" t="s">
        <v>4943</v>
      </c>
    </row>
    <row r="380" spans="1:10" ht="15.75" customHeight="1">
      <c r="A380" s="146" t="s">
        <v>90</v>
      </c>
      <c r="B380" s="147">
        <v>28</v>
      </c>
      <c r="C380" s="147" t="s">
        <v>4842</v>
      </c>
      <c r="D380" s="149" t="s">
        <v>4944</v>
      </c>
      <c r="E380" s="147" t="s">
        <v>2842</v>
      </c>
      <c r="F380" s="147" t="s">
        <v>4945</v>
      </c>
      <c r="G380" s="147">
        <v>4</v>
      </c>
      <c r="H380" s="150" t="s">
        <v>4946</v>
      </c>
      <c r="I380" s="164" t="s">
        <v>4942</v>
      </c>
      <c r="J380" s="147" t="s">
        <v>4943</v>
      </c>
    </row>
    <row r="381" spans="1:10" ht="15.75" customHeight="1">
      <c r="A381" s="146" t="s">
        <v>90</v>
      </c>
      <c r="B381" s="147">
        <v>29</v>
      </c>
      <c r="C381" s="147" t="s">
        <v>4933</v>
      </c>
      <c r="D381" s="149" t="s">
        <v>4947</v>
      </c>
      <c r="E381" s="147" t="s">
        <v>2842</v>
      </c>
      <c r="F381" s="147" t="s">
        <v>4948</v>
      </c>
      <c r="G381" s="147">
        <v>5</v>
      </c>
      <c r="H381" s="150" t="s">
        <v>4949</v>
      </c>
      <c r="I381" s="164" t="s">
        <v>4942</v>
      </c>
      <c r="J381" s="147" t="s">
        <v>4943</v>
      </c>
    </row>
    <row r="382" spans="1:10" ht="15.75" customHeight="1">
      <c r="A382" s="146" t="s">
        <v>90</v>
      </c>
      <c r="B382" s="147">
        <v>30</v>
      </c>
      <c r="C382" s="147" t="s">
        <v>4933</v>
      </c>
      <c r="D382" s="149" t="s">
        <v>4947</v>
      </c>
      <c r="E382" s="147" t="s">
        <v>2842</v>
      </c>
      <c r="F382" s="147" t="s">
        <v>4948</v>
      </c>
      <c r="G382" s="147">
        <v>6</v>
      </c>
      <c r="H382" s="150" t="s">
        <v>4949</v>
      </c>
      <c r="I382" s="164" t="s">
        <v>4942</v>
      </c>
      <c r="J382" s="147" t="s">
        <v>4943</v>
      </c>
    </row>
    <row r="383" spans="1:10" ht="15.75" customHeight="1">
      <c r="A383" s="174" t="s">
        <v>90</v>
      </c>
      <c r="B383" s="174">
        <v>31</v>
      </c>
      <c r="C383" s="174" t="s">
        <v>4933</v>
      </c>
      <c r="D383" s="174" t="s">
        <v>4950</v>
      </c>
      <c r="E383" s="174" t="s">
        <v>4824</v>
      </c>
      <c r="F383" s="174" t="s">
        <v>4951</v>
      </c>
      <c r="G383" s="174"/>
      <c r="H383" s="169" t="s">
        <v>4952</v>
      </c>
      <c r="I383" s="170"/>
      <c r="J383" s="174" t="s">
        <v>4923</v>
      </c>
    </row>
    <row r="384" spans="1:10" ht="15.75" customHeight="1">
      <c r="A384" s="174" t="s">
        <v>90</v>
      </c>
      <c r="B384" s="174">
        <v>32</v>
      </c>
      <c r="C384" s="174" t="s">
        <v>4933</v>
      </c>
      <c r="D384" s="174" t="s">
        <v>4953</v>
      </c>
      <c r="E384" s="174" t="s">
        <v>4824</v>
      </c>
      <c r="F384" s="174" t="s">
        <v>4954</v>
      </c>
      <c r="G384" s="174"/>
      <c r="H384" s="169" t="s">
        <v>4952</v>
      </c>
      <c r="I384" s="170"/>
      <c r="J384" s="174" t="s">
        <v>4923</v>
      </c>
    </row>
    <row r="385" spans="1:10" ht="15.75" customHeight="1">
      <c r="A385" s="146" t="s">
        <v>90</v>
      </c>
      <c r="B385" s="147">
        <v>33</v>
      </c>
      <c r="C385" s="147" t="s">
        <v>4855</v>
      </c>
      <c r="D385" s="149" t="s">
        <v>4955</v>
      </c>
      <c r="E385" s="147" t="s">
        <v>2842</v>
      </c>
      <c r="F385" s="147" t="s">
        <v>4927</v>
      </c>
      <c r="G385" s="147">
        <v>2</v>
      </c>
      <c r="H385" s="150" t="s">
        <v>4956</v>
      </c>
      <c r="I385" s="164" t="s">
        <v>4957</v>
      </c>
      <c r="J385" s="147"/>
    </row>
    <row r="386" spans="1:10" ht="15.75" customHeight="1">
      <c r="A386" s="146" t="s">
        <v>90</v>
      </c>
      <c r="B386" s="147">
        <v>34</v>
      </c>
      <c r="C386" s="147" t="s">
        <v>4855</v>
      </c>
      <c r="D386" s="149" t="s">
        <v>4955</v>
      </c>
      <c r="E386" s="147" t="s">
        <v>2842</v>
      </c>
      <c r="F386" s="147" t="s">
        <v>4927</v>
      </c>
      <c r="G386" s="147">
        <v>2</v>
      </c>
      <c r="H386" s="150" t="s">
        <v>4958</v>
      </c>
      <c r="I386" s="164" t="s">
        <v>4957</v>
      </c>
      <c r="J386" s="147"/>
    </row>
    <row r="387" spans="1:10" ht="15.75" customHeight="1">
      <c r="A387" s="146" t="s">
        <v>90</v>
      </c>
      <c r="B387" s="147">
        <v>35</v>
      </c>
      <c r="C387" s="147" t="s">
        <v>4933</v>
      </c>
      <c r="D387" s="149" t="s">
        <v>4959</v>
      </c>
      <c r="E387" s="147" t="s">
        <v>2842</v>
      </c>
      <c r="F387" s="147" t="s">
        <v>4893</v>
      </c>
      <c r="G387" s="147">
        <v>3</v>
      </c>
      <c r="H387" s="150" t="s">
        <v>4960</v>
      </c>
      <c r="I387" s="164" t="s">
        <v>4961</v>
      </c>
      <c r="J387" s="149" t="s">
        <v>4962</v>
      </c>
    </row>
    <row r="388" spans="1:10" ht="15.75" customHeight="1">
      <c r="A388" s="146" t="s">
        <v>90</v>
      </c>
      <c r="B388" s="147">
        <v>36</v>
      </c>
      <c r="C388" s="147" t="s">
        <v>4933</v>
      </c>
      <c r="D388" s="149" t="s">
        <v>4959</v>
      </c>
      <c r="E388" s="147" t="s">
        <v>2842</v>
      </c>
      <c r="F388" s="147" t="s">
        <v>4893</v>
      </c>
      <c r="G388" s="147">
        <v>4</v>
      </c>
      <c r="H388" s="150" t="s">
        <v>4960</v>
      </c>
      <c r="I388" s="164" t="s">
        <v>4961</v>
      </c>
      <c r="J388" s="149" t="s">
        <v>4962</v>
      </c>
    </row>
    <row r="389" spans="1:10" ht="15.75" customHeight="1">
      <c r="A389" s="146" t="s">
        <v>90</v>
      </c>
      <c r="B389" s="147">
        <v>37</v>
      </c>
      <c r="C389" s="147" t="s">
        <v>4933</v>
      </c>
      <c r="D389" s="149" t="s">
        <v>4959</v>
      </c>
      <c r="E389" s="147" t="s">
        <v>2842</v>
      </c>
      <c r="F389" s="147" t="s">
        <v>4893</v>
      </c>
      <c r="G389" s="147">
        <v>4</v>
      </c>
      <c r="H389" s="150" t="s">
        <v>4963</v>
      </c>
      <c r="I389" s="164"/>
      <c r="J389" s="147"/>
    </row>
    <row r="390" spans="1:10" ht="15.75" customHeight="1">
      <c r="A390" s="146" t="s">
        <v>90</v>
      </c>
      <c r="B390" s="147">
        <v>38</v>
      </c>
      <c r="C390" s="147" t="s">
        <v>4933</v>
      </c>
      <c r="D390" s="149" t="s">
        <v>4959</v>
      </c>
      <c r="E390" s="147" t="s">
        <v>2842</v>
      </c>
      <c r="F390" s="147" t="s">
        <v>4893</v>
      </c>
      <c r="G390" s="147">
        <v>5</v>
      </c>
      <c r="H390" s="150" t="s">
        <v>4963</v>
      </c>
      <c r="I390" s="164"/>
      <c r="J390" s="147"/>
    </row>
    <row r="391" spans="1:10" ht="15.75" customHeight="1">
      <c r="A391" s="167" t="s">
        <v>90</v>
      </c>
      <c r="B391" s="168">
        <v>39</v>
      </c>
      <c r="C391" s="168"/>
      <c r="D391" s="174" t="s">
        <v>4964</v>
      </c>
      <c r="E391" s="168" t="s">
        <v>4824</v>
      </c>
      <c r="F391" s="168" t="s">
        <v>4965</v>
      </c>
      <c r="G391" s="168"/>
      <c r="H391" s="169" t="s">
        <v>4966</v>
      </c>
      <c r="I391" s="170"/>
      <c r="J391" s="168"/>
    </row>
    <row r="392" spans="1:10" ht="15.75" customHeight="1">
      <c r="A392" s="167" t="s">
        <v>90</v>
      </c>
      <c r="B392" s="168">
        <v>40</v>
      </c>
      <c r="C392" s="168"/>
      <c r="D392" s="174" t="s">
        <v>4964</v>
      </c>
      <c r="E392" s="168" t="s">
        <v>4824</v>
      </c>
      <c r="F392" s="168" t="s">
        <v>4965</v>
      </c>
      <c r="G392" s="168"/>
      <c r="H392" s="169" t="s">
        <v>4966</v>
      </c>
      <c r="I392" s="170"/>
      <c r="J392" s="168"/>
    </row>
    <row r="393" spans="1:10" ht="15.75" customHeight="1">
      <c r="A393" s="146" t="s">
        <v>90</v>
      </c>
      <c r="B393" s="147">
        <v>41</v>
      </c>
      <c r="C393" s="147" t="s">
        <v>4933</v>
      </c>
      <c r="D393" s="149" t="s">
        <v>4959</v>
      </c>
      <c r="E393" s="147" t="s">
        <v>2842</v>
      </c>
      <c r="F393" s="147" t="s">
        <v>4893</v>
      </c>
      <c r="G393" s="147">
        <v>3</v>
      </c>
      <c r="H393" s="150" t="s">
        <v>4967</v>
      </c>
      <c r="I393" s="164" t="s">
        <v>4968</v>
      </c>
      <c r="J393" s="147" t="s">
        <v>4969</v>
      </c>
    </row>
    <row r="394" spans="1:10" ht="15.75" customHeight="1">
      <c r="A394" s="146" t="s">
        <v>90</v>
      </c>
      <c r="B394" s="147">
        <v>42</v>
      </c>
      <c r="C394" s="147" t="s">
        <v>4933</v>
      </c>
      <c r="D394" s="149" t="s">
        <v>4959</v>
      </c>
      <c r="E394" s="147" t="s">
        <v>2842</v>
      </c>
      <c r="F394" s="147" t="s">
        <v>4893</v>
      </c>
      <c r="G394" s="147">
        <v>4</v>
      </c>
      <c r="H394" s="150" t="s">
        <v>4967</v>
      </c>
      <c r="I394" s="164" t="s">
        <v>4970</v>
      </c>
      <c r="J394" s="147" t="s">
        <v>4971</v>
      </c>
    </row>
    <row r="395" spans="1:10" ht="15.75" customHeight="1">
      <c r="A395" s="146" t="s">
        <v>90</v>
      </c>
      <c r="B395" s="147">
        <v>43</v>
      </c>
      <c r="C395" s="147"/>
      <c r="D395" s="149"/>
      <c r="E395" s="147"/>
      <c r="F395" s="147"/>
      <c r="G395" s="147"/>
      <c r="H395" s="150"/>
      <c r="I395" s="164"/>
      <c r="J395" s="147"/>
    </row>
    <row r="396" spans="1:10" ht="15.75" customHeight="1">
      <c r="A396" s="146" t="s">
        <v>90</v>
      </c>
      <c r="B396" s="147">
        <v>44</v>
      </c>
      <c r="C396" s="147"/>
      <c r="D396" s="149"/>
      <c r="E396" s="147"/>
      <c r="F396" s="147"/>
      <c r="G396" s="147"/>
      <c r="H396" s="150"/>
      <c r="I396" s="164"/>
      <c r="J396" s="147"/>
    </row>
    <row r="397" spans="1:10" ht="15.75" customHeight="1">
      <c r="A397" s="158"/>
      <c r="B397" s="159"/>
      <c r="C397" s="159"/>
      <c r="D397" s="160"/>
      <c r="E397" s="159"/>
      <c r="F397" s="159"/>
      <c r="G397" s="159"/>
      <c r="H397" s="161"/>
      <c r="I397" s="162"/>
      <c r="J397" s="159"/>
    </row>
    <row r="398" spans="1:10" ht="15.75" customHeight="1">
      <c r="A398" s="146" t="s">
        <v>144</v>
      </c>
      <c r="B398" s="147">
        <v>1</v>
      </c>
      <c r="C398" s="148" t="s">
        <v>4808</v>
      </c>
      <c r="D398" s="175" t="s">
        <v>4972</v>
      </c>
      <c r="E398" s="147" t="s">
        <v>2842</v>
      </c>
      <c r="F398" s="147" t="s">
        <v>4973</v>
      </c>
      <c r="G398" s="147">
        <v>3</v>
      </c>
      <c r="H398" s="150" t="s">
        <v>4974</v>
      </c>
      <c r="I398" s="164" t="s">
        <v>4975</v>
      </c>
      <c r="J398" s="147" t="s">
        <v>4976</v>
      </c>
    </row>
    <row r="399" spans="1:10" ht="15.75" customHeight="1">
      <c r="A399" s="146" t="s">
        <v>144</v>
      </c>
      <c r="B399" s="147">
        <v>2</v>
      </c>
      <c r="C399" s="148" t="s">
        <v>4808</v>
      </c>
      <c r="D399" s="175" t="s">
        <v>4972</v>
      </c>
      <c r="E399" s="147" t="s">
        <v>2842</v>
      </c>
      <c r="F399" s="147" t="s">
        <v>4973</v>
      </c>
      <c r="G399" s="147">
        <v>4</v>
      </c>
      <c r="H399" s="150" t="s">
        <v>4974</v>
      </c>
      <c r="I399" s="164" t="s">
        <v>4975</v>
      </c>
      <c r="J399" s="147" t="s">
        <v>4976</v>
      </c>
    </row>
    <row r="400" spans="1:10" ht="15.75" customHeight="1">
      <c r="A400" s="146" t="s">
        <v>144</v>
      </c>
      <c r="B400" s="147">
        <v>3</v>
      </c>
      <c r="C400" s="148" t="s">
        <v>4808</v>
      </c>
      <c r="D400" s="153" t="s">
        <v>4977</v>
      </c>
      <c r="E400" s="147" t="s">
        <v>2842</v>
      </c>
      <c r="F400" s="147" t="s">
        <v>4978</v>
      </c>
      <c r="G400" s="147">
        <v>3</v>
      </c>
      <c r="H400" s="150" t="s">
        <v>4979</v>
      </c>
      <c r="I400" s="164" t="s">
        <v>4980</v>
      </c>
      <c r="J400" s="147" t="s">
        <v>4981</v>
      </c>
    </row>
    <row r="401" spans="1:10" ht="15.75" customHeight="1">
      <c r="A401" s="146" t="s">
        <v>144</v>
      </c>
      <c r="B401" s="147">
        <v>4</v>
      </c>
      <c r="C401" s="148" t="s">
        <v>4808</v>
      </c>
      <c r="D401" s="153" t="s">
        <v>4977</v>
      </c>
      <c r="E401" s="147" t="s">
        <v>2842</v>
      </c>
      <c r="F401" s="147" t="s">
        <v>4978</v>
      </c>
      <c r="G401" s="147">
        <v>4</v>
      </c>
      <c r="H401" s="150" t="s">
        <v>4979</v>
      </c>
      <c r="I401" s="164" t="s">
        <v>4980</v>
      </c>
      <c r="J401" s="147" t="s">
        <v>4981</v>
      </c>
    </row>
    <row r="402" spans="1:10" ht="15.75" customHeight="1">
      <c r="A402" s="146" t="s">
        <v>144</v>
      </c>
      <c r="B402" s="147">
        <v>5</v>
      </c>
      <c r="C402" s="148" t="s">
        <v>4808</v>
      </c>
      <c r="D402" s="149" t="s">
        <v>4982</v>
      </c>
      <c r="E402" s="147" t="s">
        <v>4875</v>
      </c>
      <c r="F402" s="147" t="s">
        <v>4896</v>
      </c>
      <c r="G402" s="147">
        <v>4</v>
      </c>
      <c r="H402" s="150" t="s">
        <v>4983</v>
      </c>
      <c r="I402" s="164"/>
      <c r="J402" s="147"/>
    </row>
    <row r="403" spans="1:10" ht="15.75" customHeight="1">
      <c r="A403" s="146" t="s">
        <v>144</v>
      </c>
      <c r="B403" s="147">
        <v>6</v>
      </c>
      <c r="C403" s="148" t="s">
        <v>4808</v>
      </c>
      <c r="D403" s="149" t="s">
        <v>4982</v>
      </c>
      <c r="E403" s="147" t="s">
        <v>4875</v>
      </c>
      <c r="F403" s="147" t="s">
        <v>4896</v>
      </c>
      <c r="G403" s="147">
        <v>4</v>
      </c>
      <c r="H403" s="150" t="s">
        <v>4983</v>
      </c>
      <c r="I403" s="164"/>
      <c r="J403" s="147"/>
    </row>
    <row r="404" spans="1:10" ht="15.75" customHeight="1">
      <c r="A404" s="146" t="s">
        <v>144</v>
      </c>
      <c r="B404" s="147">
        <v>7</v>
      </c>
      <c r="C404" s="148" t="s">
        <v>4808</v>
      </c>
      <c r="D404" s="175" t="s">
        <v>4972</v>
      </c>
      <c r="E404" s="147" t="s">
        <v>2842</v>
      </c>
      <c r="F404" s="147" t="s">
        <v>4973</v>
      </c>
      <c r="G404" s="147">
        <v>4</v>
      </c>
      <c r="H404" s="150" t="s">
        <v>4984</v>
      </c>
      <c r="I404" s="164" t="s">
        <v>4985</v>
      </c>
      <c r="J404" s="147"/>
    </row>
    <row r="405" spans="1:10" ht="15.75" customHeight="1">
      <c r="A405" s="146" t="s">
        <v>144</v>
      </c>
      <c r="B405" s="147">
        <v>8</v>
      </c>
      <c r="C405" s="148" t="s">
        <v>4808</v>
      </c>
      <c r="D405" s="175" t="s">
        <v>4972</v>
      </c>
      <c r="E405" s="147" t="s">
        <v>2842</v>
      </c>
      <c r="F405" s="147" t="s">
        <v>4973</v>
      </c>
      <c r="G405" s="147">
        <v>5</v>
      </c>
      <c r="H405" s="150" t="s">
        <v>4984</v>
      </c>
      <c r="I405" s="164" t="s">
        <v>4985</v>
      </c>
      <c r="J405" s="147"/>
    </row>
    <row r="406" spans="1:10" ht="15.75" customHeight="1">
      <c r="A406" s="167" t="s">
        <v>144</v>
      </c>
      <c r="B406" s="168">
        <v>9</v>
      </c>
      <c r="C406" s="176"/>
      <c r="D406" s="174" t="s">
        <v>4986</v>
      </c>
      <c r="E406" s="168" t="s">
        <v>4277</v>
      </c>
      <c r="F406" s="168" t="s">
        <v>4896</v>
      </c>
      <c r="G406" s="168"/>
      <c r="H406" s="169" t="s">
        <v>4987</v>
      </c>
      <c r="I406" s="170"/>
      <c r="J406" s="168"/>
    </row>
    <row r="407" spans="1:10" ht="15.75" customHeight="1">
      <c r="A407" s="167" t="s">
        <v>144</v>
      </c>
      <c r="B407" s="168">
        <v>10</v>
      </c>
      <c r="C407" s="176"/>
      <c r="D407" s="174" t="s">
        <v>4986</v>
      </c>
      <c r="E407" s="168" t="s">
        <v>4277</v>
      </c>
      <c r="F407" s="168" t="s">
        <v>4896</v>
      </c>
      <c r="G407" s="168"/>
      <c r="H407" s="169" t="s">
        <v>4987</v>
      </c>
      <c r="I407" s="170"/>
      <c r="J407" s="168"/>
    </row>
    <row r="408" spans="1:10" ht="15.75" customHeight="1">
      <c r="A408" s="146" t="s">
        <v>144</v>
      </c>
      <c r="B408" s="147">
        <v>11</v>
      </c>
      <c r="C408" s="148" t="s">
        <v>4808</v>
      </c>
      <c r="D408" s="149" t="s">
        <v>4972</v>
      </c>
      <c r="E408" s="147" t="s">
        <v>2842</v>
      </c>
      <c r="F408" s="147" t="s">
        <v>4988</v>
      </c>
      <c r="G408" s="147">
        <v>5</v>
      </c>
      <c r="H408" s="150" t="s">
        <v>4989</v>
      </c>
      <c r="I408" s="164" t="s">
        <v>4921</v>
      </c>
      <c r="J408" s="147" t="s">
        <v>4990</v>
      </c>
    </row>
    <row r="409" spans="1:10" ht="15.75" customHeight="1">
      <c r="A409" s="146" t="s">
        <v>144</v>
      </c>
      <c r="B409" s="147">
        <v>12</v>
      </c>
      <c r="C409" s="148" t="s">
        <v>4808</v>
      </c>
      <c r="D409" s="149" t="s">
        <v>4972</v>
      </c>
      <c r="E409" s="147" t="s">
        <v>2842</v>
      </c>
      <c r="F409" s="147" t="s">
        <v>4973</v>
      </c>
      <c r="G409" s="147">
        <v>6</v>
      </c>
      <c r="H409" s="150" t="s">
        <v>4989</v>
      </c>
      <c r="I409" s="164" t="s">
        <v>4921</v>
      </c>
      <c r="J409" s="147" t="s">
        <v>4990</v>
      </c>
    </row>
    <row r="410" spans="1:10" ht="15.75" customHeight="1">
      <c r="A410" s="146" t="s">
        <v>144</v>
      </c>
      <c r="B410" s="147">
        <v>13</v>
      </c>
      <c r="C410" s="148" t="s">
        <v>4808</v>
      </c>
      <c r="D410" s="175" t="s">
        <v>4991</v>
      </c>
      <c r="E410" s="147" t="s">
        <v>4992</v>
      </c>
      <c r="F410" s="147" t="s">
        <v>4993</v>
      </c>
      <c r="G410" s="147"/>
      <c r="H410" s="150" t="s">
        <v>4994</v>
      </c>
      <c r="I410" s="164" t="s">
        <v>4921</v>
      </c>
      <c r="J410" s="147" t="s">
        <v>4990</v>
      </c>
    </row>
    <row r="411" spans="1:10" ht="15.75" customHeight="1">
      <c r="A411" s="146" t="s">
        <v>144</v>
      </c>
      <c r="B411" s="147">
        <v>14</v>
      </c>
      <c r="C411" s="148" t="s">
        <v>4808</v>
      </c>
      <c r="D411" s="175" t="s">
        <v>4991</v>
      </c>
      <c r="E411" s="147" t="s">
        <v>4992</v>
      </c>
      <c r="F411" s="147" t="s">
        <v>4993</v>
      </c>
      <c r="G411" s="147"/>
      <c r="H411" s="150" t="s">
        <v>4994</v>
      </c>
      <c r="I411" s="164" t="s">
        <v>4921</v>
      </c>
      <c r="J411" s="147" t="s">
        <v>4990</v>
      </c>
    </row>
    <row r="412" spans="1:10" ht="15.75" customHeight="1">
      <c r="A412" s="146" t="s">
        <v>144</v>
      </c>
      <c r="B412" s="147">
        <v>15</v>
      </c>
      <c r="C412" s="148" t="s">
        <v>4822</v>
      </c>
      <c r="D412" s="149" t="s">
        <v>4982</v>
      </c>
      <c r="E412" s="147" t="s">
        <v>4875</v>
      </c>
      <c r="F412" s="147" t="s">
        <v>4896</v>
      </c>
      <c r="G412" s="147">
        <v>4</v>
      </c>
      <c r="H412" s="150" t="s">
        <v>4995</v>
      </c>
      <c r="I412" s="164"/>
      <c r="J412" s="147"/>
    </row>
    <row r="413" spans="1:10" ht="15.75" customHeight="1">
      <c r="A413" s="146" t="s">
        <v>144</v>
      </c>
      <c r="B413" s="147">
        <v>16</v>
      </c>
      <c r="C413" s="148" t="s">
        <v>4822</v>
      </c>
      <c r="D413" s="149" t="s">
        <v>4982</v>
      </c>
      <c r="E413" s="147" t="s">
        <v>4875</v>
      </c>
      <c r="F413" s="147" t="s">
        <v>4896</v>
      </c>
      <c r="G413" s="147">
        <v>4</v>
      </c>
      <c r="H413" s="150" t="s">
        <v>4995</v>
      </c>
      <c r="I413" s="164"/>
      <c r="J413" s="147"/>
    </row>
    <row r="414" spans="1:10" ht="15.75" customHeight="1">
      <c r="A414" s="146" t="s">
        <v>144</v>
      </c>
      <c r="B414" s="147">
        <v>17</v>
      </c>
      <c r="C414" s="148" t="s">
        <v>4808</v>
      </c>
      <c r="D414" s="149" t="s">
        <v>4972</v>
      </c>
      <c r="E414" s="147" t="s">
        <v>2842</v>
      </c>
      <c r="F414" s="147" t="s">
        <v>4973</v>
      </c>
      <c r="G414" s="147">
        <v>4</v>
      </c>
      <c r="H414" s="150" t="s">
        <v>4996</v>
      </c>
      <c r="I414" s="164" t="s">
        <v>4997</v>
      </c>
      <c r="J414" s="147" t="s">
        <v>4998</v>
      </c>
    </row>
    <row r="415" spans="1:10" ht="15.75" customHeight="1">
      <c r="A415" s="146" t="s">
        <v>144</v>
      </c>
      <c r="B415" s="147">
        <v>18</v>
      </c>
      <c r="C415" s="148" t="s">
        <v>4808</v>
      </c>
      <c r="D415" s="149" t="s">
        <v>4972</v>
      </c>
      <c r="E415" s="147" t="s">
        <v>2842</v>
      </c>
      <c r="F415" s="147" t="s">
        <v>4973</v>
      </c>
      <c r="G415" s="147">
        <v>4</v>
      </c>
      <c r="H415" s="150" t="s">
        <v>4996</v>
      </c>
      <c r="I415" s="164" t="s">
        <v>4997</v>
      </c>
      <c r="J415" s="147" t="s">
        <v>4998</v>
      </c>
    </row>
    <row r="416" spans="1:10" ht="15.75" customHeight="1">
      <c r="A416" s="167" t="s">
        <v>144</v>
      </c>
      <c r="B416" s="168">
        <v>19</v>
      </c>
      <c r="C416" s="176"/>
      <c r="D416" s="174" t="s">
        <v>4986</v>
      </c>
      <c r="E416" s="168" t="s">
        <v>4277</v>
      </c>
      <c r="F416" s="168" t="s">
        <v>4896</v>
      </c>
      <c r="G416" s="168"/>
      <c r="H416" s="169" t="s">
        <v>4999</v>
      </c>
      <c r="I416" s="170"/>
      <c r="J416" s="168"/>
    </row>
    <row r="417" spans="1:10" ht="15.75" customHeight="1">
      <c r="A417" s="167" t="s">
        <v>144</v>
      </c>
      <c r="B417" s="168">
        <v>20</v>
      </c>
      <c r="C417" s="176"/>
      <c r="D417" s="174" t="s">
        <v>4986</v>
      </c>
      <c r="E417" s="168" t="s">
        <v>4277</v>
      </c>
      <c r="F417" s="168" t="s">
        <v>4896</v>
      </c>
      <c r="G417" s="168"/>
      <c r="H417" s="169" t="s">
        <v>4999</v>
      </c>
      <c r="I417" s="170"/>
      <c r="J417" s="168"/>
    </row>
    <row r="418" spans="1:10" ht="15.75" customHeight="1">
      <c r="A418" s="146" t="s">
        <v>144</v>
      </c>
      <c r="B418" s="147">
        <v>21</v>
      </c>
      <c r="C418" s="148" t="s">
        <v>4827</v>
      </c>
      <c r="D418" s="149" t="s">
        <v>5000</v>
      </c>
      <c r="E418" s="147" t="s">
        <v>2842</v>
      </c>
      <c r="F418" s="147" t="s">
        <v>4937</v>
      </c>
      <c r="G418" s="147">
        <v>4</v>
      </c>
      <c r="H418" s="150" t="s">
        <v>5001</v>
      </c>
      <c r="I418" s="164" t="s">
        <v>5002</v>
      </c>
      <c r="J418" s="147"/>
    </row>
    <row r="419" spans="1:10" ht="15.75" customHeight="1">
      <c r="A419" s="146" t="s">
        <v>144</v>
      </c>
      <c r="B419" s="147">
        <v>22</v>
      </c>
      <c r="C419" s="148" t="s">
        <v>4827</v>
      </c>
      <c r="D419" s="149" t="s">
        <v>5000</v>
      </c>
      <c r="E419" s="147" t="s">
        <v>2842</v>
      </c>
      <c r="F419" s="147" t="s">
        <v>4937</v>
      </c>
      <c r="G419" s="147">
        <v>5</v>
      </c>
      <c r="H419" s="150" t="s">
        <v>5001</v>
      </c>
      <c r="I419" s="164" t="s">
        <v>5002</v>
      </c>
      <c r="J419" s="147"/>
    </row>
    <row r="420" spans="1:10" ht="15.75" customHeight="1">
      <c r="A420" s="146" t="s">
        <v>144</v>
      </c>
      <c r="B420" s="147">
        <v>23</v>
      </c>
      <c r="C420" s="148" t="s">
        <v>4827</v>
      </c>
      <c r="D420" s="149" t="s">
        <v>5003</v>
      </c>
      <c r="E420" s="147" t="s">
        <v>2842</v>
      </c>
      <c r="F420" s="147" t="s">
        <v>4937</v>
      </c>
      <c r="G420" s="147">
        <v>5</v>
      </c>
      <c r="H420" s="150" t="s">
        <v>5004</v>
      </c>
      <c r="I420" s="164" t="s">
        <v>5005</v>
      </c>
      <c r="J420" s="147" t="s">
        <v>4888</v>
      </c>
    </row>
    <row r="421" spans="1:10" ht="15.75" customHeight="1">
      <c r="A421" s="146" t="s">
        <v>144</v>
      </c>
      <c r="B421" s="147">
        <v>24</v>
      </c>
      <c r="C421" s="148" t="s">
        <v>4827</v>
      </c>
      <c r="D421" s="149" t="s">
        <v>4947</v>
      </c>
      <c r="E421" s="147" t="s">
        <v>2842</v>
      </c>
      <c r="F421" s="147" t="s">
        <v>4937</v>
      </c>
      <c r="G421" s="147">
        <v>6</v>
      </c>
      <c r="H421" s="150" t="s">
        <v>5004</v>
      </c>
      <c r="I421" s="164" t="s">
        <v>5005</v>
      </c>
      <c r="J421" s="147" t="s">
        <v>4888</v>
      </c>
    </row>
    <row r="422" spans="1:10" ht="15.75" customHeight="1">
      <c r="A422" s="146" t="s">
        <v>144</v>
      </c>
      <c r="B422" s="147">
        <v>25</v>
      </c>
      <c r="C422" s="148" t="s">
        <v>4827</v>
      </c>
      <c r="D422" s="149" t="s">
        <v>5000</v>
      </c>
      <c r="E422" s="147" t="s">
        <v>2842</v>
      </c>
      <c r="F422" s="147" t="s">
        <v>4937</v>
      </c>
      <c r="G422" s="147">
        <v>4</v>
      </c>
      <c r="H422" s="150" t="s">
        <v>5006</v>
      </c>
      <c r="I422" s="164" t="s">
        <v>5007</v>
      </c>
      <c r="J422" s="147"/>
    </row>
    <row r="423" spans="1:10" ht="15.75" customHeight="1">
      <c r="A423" s="146" t="s">
        <v>144</v>
      </c>
      <c r="B423" s="147">
        <v>26</v>
      </c>
      <c r="C423" s="148" t="s">
        <v>4827</v>
      </c>
      <c r="D423" s="149" t="s">
        <v>5000</v>
      </c>
      <c r="E423" s="147" t="s">
        <v>2842</v>
      </c>
      <c r="F423" s="147" t="s">
        <v>4937</v>
      </c>
      <c r="G423" s="147">
        <v>5</v>
      </c>
      <c r="H423" s="150" t="s">
        <v>5006</v>
      </c>
      <c r="I423" s="164" t="s">
        <v>5007</v>
      </c>
      <c r="J423" s="147"/>
    </row>
    <row r="424" spans="1:10" ht="15.75" customHeight="1">
      <c r="A424" s="167" t="s">
        <v>144</v>
      </c>
      <c r="B424" s="168">
        <v>27</v>
      </c>
      <c r="C424" s="176"/>
      <c r="D424" s="174" t="s">
        <v>4986</v>
      </c>
      <c r="E424" s="168" t="s">
        <v>4277</v>
      </c>
      <c r="F424" s="168" t="s">
        <v>4896</v>
      </c>
      <c r="G424" s="168"/>
      <c r="H424" s="169" t="s">
        <v>5008</v>
      </c>
      <c r="I424" s="170"/>
      <c r="J424" s="168"/>
    </row>
    <row r="425" spans="1:10" ht="15.75" customHeight="1">
      <c r="A425" s="167" t="s">
        <v>144</v>
      </c>
      <c r="B425" s="168">
        <v>28</v>
      </c>
      <c r="C425" s="176"/>
      <c r="D425" s="174" t="s">
        <v>4986</v>
      </c>
      <c r="E425" s="168" t="s">
        <v>4277</v>
      </c>
      <c r="F425" s="168" t="s">
        <v>4896</v>
      </c>
      <c r="G425" s="168"/>
      <c r="H425" s="169" t="s">
        <v>5008</v>
      </c>
      <c r="I425" s="170"/>
      <c r="J425" s="168"/>
    </row>
    <row r="426" spans="1:10" ht="15.75" customHeight="1">
      <c r="A426" s="146" t="s">
        <v>144</v>
      </c>
      <c r="B426" s="147">
        <v>29</v>
      </c>
      <c r="C426" s="148" t="s">
        <v>4827</v>
      </c>
      <c r="D426" s="149" t="s">
        <v>4947</v>
      </c>
      <c r="E426" s="147" t="s">
        <v>2842</v>
      </c>
      <c r="F426" s="147" t="s">
        <v>5009</v>
      </c>
      <c r="G426" s="147">
        <v>5</v>
      </c>
      <c r="H426" s="150" t="s">
        <v>5010</v>
      </c>
      <c r="I426" s="164" t="s">
        <v>5011</v>
      </c>
      <c r="J426" s="147" t="s">
        <v>4888</v>
      </c>
    </row>
    <row r="427" spans="1:10" ht="15.75" customHeight="1">
      <c r="A427" s="146" t="s">
        <v>144</v>
      </c>
      <c r="B427" s="147">
        <v>30</v>
      </c>
      <c r="C427" s="148" t="s">
        <v>4827</v>
      </c>
      <c r="D427" s="149" t="s">
        <v>5012</v>
      </c>
      <c r="E427" s="147" t="s">
        <v>2842</v>
      </c>
      <c r="F427" s="147" t="s">
        <v>5009</v>
      </c>
      <c r="G427" s="147">
        <v>5</v>
      </c>
      <c r="H427" s="150" t="s">
        <v>5010</v>
      </c>
      <c r="I427" s="164" t="s">
        <v>5011</v>
      </c>
      <c r="J427" s="147" t="s">
        <v>4888</v>
      </c>
    </row>
    <row r="428" spans="1:10" ht="15.75" customHeight="1">
      <c r="A428" s="146" t="s">
        <v>144</v>
      </c>
      <c r="B428" s="147">
        <v>31</v>
      </c>
      <c r="C428" s="148" t="s">
        <v>4827</v>
      </c>
      <c r="D428" s="149" t="s">
        <v>5012</v>
      </c>
      <c r="E428" s="147" t="s">
        <v>2842</v>
      </c>
      <c r="F428" s="147" t="s">
        <v>5009</v>
      </c>
      <c r="G428" s="147">
        <v>5</v>
      </c>
      <c r="H428" s="150" t="s">
        <v>5013</v>
      </c>
      <c r="I428" s="164" t="s">
        <v>5014</v>
      </c>
      <c r="J428" s="147"/>
    </row>
    <row r="429" spans="1:10" ht="15.75" customHeight="1">
      <c r="A429" s="146" t="s">
        <v>144</v>
      </c>
      <c r="B429" s="147">
        <v>32</v>
      </c>
      <c r="C429" s="148" t="s">
        <v>4827</v>
      </c>
      <c r="D429" s="149" t="s">
        <v>5012</v>
      </c>
      <c r="E429" s="147" t="s">
        <v>2842</v>
      </c>
      <c r="F429" s="147" t="s">
        <v>5009</v>
      </c>
      <c r="G429" s="147">
        <v>6</v>
      </c>
      <c r="H429" s="150" t="s">
        <v>5013</v>
      </c>
      <c r="I429" s="164" t="s">
        <v>5014</v>
      </c>
      <c r="J429" s="147"/>
    </row>
    <row r="430" spans="1:10" ht="15.75" customHeight="1">
      <c r="A430" s="146" t="s">
        <v>144</v>
      </c>
      <c r="B430" s="147">
        <v>33</v>
      </c>
      <c r="C430" s="148" t="s">
        <v>4827</v>
      </c>
      <c r="D430" s="149" t="s">
        <v>5003</v>
      </c>
      <c r="E430" s="147" t="s">
        <v>2842</v>
      </c>
      <c r="F430" s="147" t="s">
        <v>5015</v>
      </c>
      <c r="G430" s="147">
        <v>5</v>
      </c>
      <c r="H430" s="150" t="s">
        <v>5016</v>
      </c>
      <c r="I430" s="177"/>
      <c r="J430" s="164" t="s">
        <v>4874</v>
      </c>
    </row>
    <row r="431" spans="1:10" ht="15.75" customHeight="1">
      <c r="A431" s="146" t="s">
        <v>144</v>
      </c>
      <c r="B431" s="147">
        <v>34</v>
      </c>
      <c r="C431" s="148" t="s">
        <v>4827</v>
      </c>
      <c r="D431" s="149" t="s">
        <v>5003</v>
      </c>
      <c r="E431" s="147" t="s">
        <v>2842</v>
      </c>
      <c r="F431" s="147" t="s">
        <v>5015</v>
      </c>
      <c r="G431" s="147">
        <v>6</v>
      </c>
      <c r="H431" s="150" t="s">
        <v>5016</v>
      </c>
      <c r="I431" s="164"/>
      <c r="J431" s="164" t="s">
        <v>4874</v>
      </c>
    </row>
    <row r="432" spans="1:10" ht="15.75" customHeight="1">
      <c r="A432" s="167" t="s">
        <v>144</v>
      </c>
      <c r="B432" s="168">
        <v>35</v>
      </c>
      <c r="C432" s="176" t="s">
        <v>5017</v>
      </c>
      <c r="D432" s="174" t="s">
        <v>4986</v>
      </c>
      <c r="E432" s="168" t="s">
        <v>4277</v>
      </c>
      <c r="F432" s="168" t="s">
        <v>4965</v>
      </c>
      <c r="G432" s="168"/>
      <c r="H432" s="169" t="s">
        <v>5018</v>
      </c>
      <c r="I432" s="170"/>
      <c r="J432" s="168"/>
    </row>
    <row r="433" spans="1:10" ht="15.75" customHeight="1">
      <c r="A433" s="167" t="s">
        <v>144</v>
      </c>
      <c r="B433" s="168">
        <v>36</v>
      </c>
      <c r="C433" s="176"/>
      <c r="D433" s="174" t="s">
        <v>4986</v>
      </c>
      <c r="E433" s="168" t="s">
        <v>4277</v>
      </c>
      <c r="F433" s="168" t="s">
        <v>4965</v>
      </c>
      <c r="G433" s="168"/>
      <c r="H433" s="169" t="s">
        <v>5018</v>
      </c>
      <c r="I433" s="170"/>
      <c r="J433" s="168"/>
    </row>
    <row r="434" spans="1:10" ht="15.75" customHeight="1">
      <c r="A434" s="146" t="s">
        <v>144</v>
      </c>
      <c r="B434" s="147">
        <v>37</v>
      </c>
      <c r="C434" s="148" t="s">
        <v>4855</v>
      </c>
      <c r="D434" s="149" t="s">
        <v>5019</v>
      </c>
      <c r="E434" s="147" t="s">
        <v>2842</v>
      </c>
      <c r="F434" s="147" t="s">
        <v>5020</v>
      </c>
      <c r="G434" s="147">
        <v>4</v>
      </c>
      <c r="H434" s="150" t="s">
        <v>5021</v>
      </c>
      <c r="I434" s="164" t="s">
        <v>5022</v>
      </c>
      <c r="J434" s="147"/>
    </row>
    <row r="435" spans="1:10" ht="15.75" customHeight="1">
      <c r="A435" s="146" t="s">
        <v>144</v>
      </c>
      <c r="B435" s="147">
        <v>38</v>
      </c>
      <c r="C435" s="148" t="s">
        <v>4855</v>
      </c>
      <c r="D435" s="149" t="s">
        <v>5019</v>
      </c>
      <c r="E435" s="147" t="s">
        <v>2842</v>
      </c>
      <c r="F435" s="147" t="s">
        <v>5020</v>
      </c>
      <c r="G435" s="147">
        <v>4</v>
      </c>
      <c r="H435" s="150" t="s">
        <v>5021</v>
      </c>
      <c r="I435" s="164" t="s">
        <v>5022</v>
      </c>
      <c r="J435" s="147"/>
    </row>
    <row r="436" spans="1:10" ht="15.75" customHeight="1">
      <c r="A436" s="146" t="s">
        <v>144</v>
      </c>
      <c r="B436" s="147">
        <v>39</v>
      </c>
      <c r="C436" s="148" t="s">
        <v>4855</v>
      </c>
      <c r="D436" s="149" t="s">
        <v>5019</v>
      </c>
      <c r="E436" s="147" t="s">
        <v>2842</v>
      </c>
      <c r="F436" s="147" t="s">
        <v>5020</v>
      </c>
      <c r="G436" s="147">
        <v>4</v>
      </c>
      <c r="H436" s="150" t="s">
        <v>5023</v>
      </c>
      <c r="I436" s="164" t="s">
        <v>5024</v>
      </c>
      <c r="J436" s="147"/>
    </row>
    <row r="437" spans="1:10" ht="15.75" customHeight="1">
      <c r="A437" s="146" t="s">
        <v>144</v>
      </c>
      <c r="B437" s="147">
        <v>40</v>
      </c>
      <c r="C437" s="148" t="s">
        <v>4855</v>
      </c>
      <c r="D437" s="149" t="s">
        <v>5019</v>
      </c>
      <c r="E437" s="147" t="s">
        <v>2842</v>
      </c>
      <c r="F437" s="147" t="s">
        <v>5020</v>
      </c>
      <c r="G437" s="147">
        <v>4</v>
      </c>
      <c r="H437" s="150" t="s">
        <v>5023</v>
      </c>
      <c r="I437" s="164" t="s">
        <v>5024</v>
      </c>
      <c r="J437" s="147"/>
    </row>
    <row r="438" spans="1:10" ht="15.75" customHeight="1">
      <c r="A438" s="146" t="s">
        <v>144</v>
      </c>
      <c r="B438" s="147">
        <v>41</v>
      </c>
      <c r="C438" s="148" t="s">
        <v>4855</v>
      </c>
      <c r="D438" s="149" t="s">
        <v>5019</v>
      </c>
      <c r="E438" s="147" t="s">
        <v>2842</v>
      </c>
      <c r="F438" s="147" t="s">
        <v>5020</v>
      </c>
      <c r="G438" s="147">
        <v>5</v>
      </c>
      <c r="H438" s="150" t="s">
        <v>5025</v>
      </c>
      <c r="I438" s="164"/>
      <c r="J438" s="147"/>
    </row>
    <row r="439" spans="1:10" ht="15.75" customHeight="1">
      <c r="A439" s="146" t="s">
        <v>144</v>
      </c>
      <c r="B439" s="147">
        <v>42</v>
      </c>
      <c r="C439" s="148" t="s">
        <v>4855</v>
      </c>
      <c r="D439" s="149" t="s">
        <v>5019</v>
      </c>
      <c r="E439" s="147" t="s">
        <v>2842</v>
      </c>
      <c r="F439" s="147" t="s">
        <v>5020</v>
      </c>
      <c r="G439" s="147">
        <v>5</v>
      </c>
      <c r="H439" s="150" t="s">
        <v>5025</v>
      </c>
      <c r="I439" s="164"/>
      <c r="J439" s="147"/>
    </row>
    <row r="440" spans="1:10" ht="15.75" customHeight="1">
      <c r="A440" s="167" t="s">
        <v>144</v>
      </c>
      <c r="B440" s="168">
        <v>43</v>
      </c>
      <c r="C440" s="176"/>
      <c r="D440" s="174" t="s">
        <v>4986</v>
      </c>
      <c r="E440" s="168" t="s">
        <v>4277</v>
      </c>
      <c r="F440" s="168" t="s">
        <v>5026</v>
      </c>
      <c r="G440" s="168"/>
      <c r="H440" s="169" t="s">
        <v>5027</v>
      </c>
      <c r="I440" s="170"/>
      <c r="J440" s="168"/>
    </row>
    <row r="441" spans="1:10" ht="15.75" customHeight="1">
      <c r="A441" s="167" t="s">
        <v>144</v>
      </c>
      <c r="B441" s="168">
        <v>44</v>
      </c>
      <c r="C441" s="176"/>
      <c r="D441" s="174" t="s">
        <v>4986</v>
      </c>
      <c r="E441" s="168" t="s">
        <v>4277</v>
      </c>
      <c r="F441" s="168" t="s">
        <v>5026</v>
      </c>
      <c r="G441" s="168"/>
      <c r="H441" s="169" t="s">
        <v>5027</v>
      </c>
      <c r="I441" s="170"/>
      <c r="J441" s="168"/>
    </row>
    <row r="442" spans="1:10" ht="15.75" customHeight="1">
      <c r="A442" s="158"/>
      <c r="B442" s="159"/>
      <c r="C442" s="159"/>
      <c r="D442" s="160"/>
      <c r="E442" s="159"/>
      <c r="F442" s="159"/>
      <c r="G442" s="159"/>
      <c r="H442" s="161"/>
      <c r="I442" s="162"/>
      <c r="J442" s="159"/>
    </row>
    <row r="443" spans="1:10" ht="15.75" customHeight="1">
      <c r="A443" s="146" t="s">
        <v>188</v>
      </c>
      <c r="B443" s="147">
        <v>1</v>
      </c>
      <c r="C443" s="148" t="s">
        <v>4808</v>
      </c>
      <c r="D443" s="149" t="s">
        <v>4972</v>
      </c>
      <c r="E443" s="147" t="s">
        <v>2842</v>
      </c>
      <c r="F443" s="147" t="s">
        <v>5028</v>
      </c>
      <c r="G443" s="147">
        <v>4</v>
      </c>
      <c r="H443" s="150" t="s">
        <v>5029</v>
      </c>
      <c r="I443" s="164" t="s">
        <v>5030</v>
      </c>
      <c r="J443" s="147"/>
    </row>
    <row r="444" spans="1:10" ht="15.75" customHeight="1">
      <c r="A444" s="146" t="s">
        <v>188</v>
      </c>
      <c r="B444" s="147">
        <v>2</v>
      </c>
      <c r="C444" s="148" t="s">
        <v>4808</v>
      </c>
      <c r="D444" s="149" t="s">
        <v>4972</v>
      </c>
      <c r="E444" s="147" t="s">
        <v>2842</v>
      </c>
      <c r="F444" s="147" t="s">
        <v>5028</v>
      </c>
      <c r="G444" s="147">
        <v>5</v>
      </c>
      <c r="H444" s="150" t="s">
        <v>5029</v>
      </c>
      <c r="I444" s="164" t="s">
        <v>5030</v>
      </c>
      <c r="J444" s="147"/>
    </row>
    <row r="445" spans="1:10" ht="15.75" customHeight="1">
      <c r="A445" s="146" t="s">
        <v>188</v>
      </c>
      <c r="B445" s="147">
        <v>3</v>
      </c>
      <c r="C445" s="148" t="s">
        <v>4808</v>
      </c>
      <c r="D445" s="149" t="s">
        <v>4972</v>
      </c>
      <c r="E445" s="147" t="s">
        <v>2842</v>
      </c>
      <c r="F445" s="147" t="s">
        <v>5028</v>
      </c>
      <c r="G445" s="147">
        <v>4</v>
      </c>
      <c r="H445" s="150" t="s">
        <v>5031</v>
      </c>
      <c r="I445" s="164"/>
      <c r="J445" s="147"/>
    </row>
    <row r="446" spans="1:10" ht="15.75" customHeight="1">
      <c r="A446" s="146" t="s">
        <v>188</v>
      </c>
      <c r="B446" s="147">
        <v>4</v>
      </c>
      <c r="C446" s="148" t="s">
        <v>4808</v>
      </c>
      <c r="D446" s="149" t="s">
        <v>4972</v>
      </c>
      <c r="E446" s="147" t="s">
        <v>2842</v>
      </c>
      <c r="F446" s="147" t="s">
        <v>5028</v>
      </c>
      <c r="G446" s="147">
        <v>4</v>
      </c>
      <c r="H446" s="150" t="s">
        <v>5031</v>
      </c>
      <c r="I446" s="164"/>
      <c r="J446" s="147"/>
    </row>
    <row r="447" spans="1:10" ht="15.75" customHeight="1">
      <c r="A447" s="146" t="s">
        <v>188</v>
      </c>
      <c r="B447" s="147">
        <v>5</v>
      </c>
      <c r="C447" s="148" t="s">
        <v>4808</v>
      </c>
      <c r="D447" s="149" t="s">
        <v>4977</v>
      </c>
      <c r="E447" s="147" t="s">
        <v>2842</v>
      </c>
      <c r="F447" s="147" t="s">
        <v>4978</v>
      </c>
      <c r="G447" s="147">
        <v>5</v>
      </c>
      <c r="H447" s="150" t="s">
        <v>5032</v>
      </c>
      <c r="I447" s="151" t="s">
        <v>4851</v>
      </c>
      <c r="J447" s="152" t="s">
        <v>2850</v>
      </c>
    </row>
    <row r="448" spans="1:10" ht="15.75" customHeight="1">
      <c r="A448" s="146" t="s">
        <v>188</v>
      </c>
      <c r="B448" s="147">
        <v>6</v>
      </c>
      <c r="C448" s="148" t="s">
        <v>4808</v>
      </c>
      <c r="D448" s="149" t="s">
        <v>4977</v>
      </c>
      <c r="E448" s="147" t="s">
        <v>2842</v>
      </c>
      <c r="F448" s="147" t="s">
        <v>4978</v>
      </c>
      <c r="G448" s="147">
        <v>5</v>
      </c>
      <c r="H448" s="150" t="s">
        <v>5032</v>
      </c>
      <c r="I448" s="151" t="s">
        <v>4851</v>
      </c>
      <c r="J448" s="152" t="s">
        <v>2850</v>
      </c>
    </row>
    <row r="449" spans="1:10" ht="15.75" customHeight="1">
      <c r="A449" s="167" t="s">
        <v>188</v>
      </c>
      <c r="B449" s="168">
        <v>7</v>
      </c>
      <c r="C449" s="176"/>
      <c r="D449" s="174" t="s">
        <v>4986</v>
      </c>
      <c r="E449" s="168" t="s">
        <v>4277</v>
      </c>
      <c r="F449" s="168" t="s">
        <v>4896</v>
      </c>
      <c r="G449" s="168"/>
      <c r="H449" s="169" t="s">
        <v>5033</v>
      </c>
      <c r="I449" s="170"/>
      <c r="J449" s="168"/>
    </row>
    <row r="450" spans="1:10" ht="15.75" customHeight="1">
      <c r="A450" s="167" t="s">
        <v>188</v>
      </c>
      <c r="B450" s="168">
        <v>8</v>
      </c>
      <c r="C450" s="176"/>
      <c r="D450" s="174" t="s">
        <v>4986</v>
      </c>
      <c r="E450" s="168" t="s">
        <v>4277</v>
      </c>
      <c r="F450" s="168" t="s">
        <v>4896</v>
      </c>
      <c r="G450" s="168"/>
      <c r="H450" s="169" t="s">
        <v>5033</v>
      </c>
      <c r="I450" s="170"/>
      <c r="J450" s="168"/>
    </row>
    <row r="451" spans="1:10" ht="15.75" customHeight="1">
      <c r="A451" s="146" t="s">
        <v>188</v>
      </c>
      <c r="B451" s="147">
        <v>9</v>
      </c>
      <c r="C451" s="148" t="s">
        <v>4808</v>
      </c>
      <c r="D451" s="175" t="s">
        <v>5034</v>
      </c>
      <c r="E451" s="147" t="s">
        <v>2842</v>
      </c>
      <c r="F451" s="147" t="s">
        <v>5028</v>
      </c>
      <c r="G451" s="147">
        <v>5</v>
      </c>
      <c r="H451" s="150" t="s">
        <v>5035</v>
      </c>
      <c r="I451" s="164" t="s">
        <v>5036</v>
      </c>
      <c r="J451" s="147"/>
    </row>
    <row r="452" spans="1:10" ht="15.75" customHeight="1">
      <c r="A452" s="146" t="s">
        <v>188</v>
      </c>
      <c r="B452" s="147">
        <v>10</v>
      </c>
      <c r="C452" s="148" t="s">
        <v>4808</v>
      </c>
      <c r="D452" s="175" t="s">
        <v>5034</v>
      </c>
      <c r="E452" s="147" t="s">
        <v>2842</v>
      </c>
      <c r="F452" s="147" t="s">
        <v>5028</v>
      </c>
      <c r="G452" s="147">
        <v>6</v>
      </c>
      <c r="H452" s="150" t="s">
        <v>5035</v>
      </c>
      <c r="I452" s="164" t="s">
        <v>5036</v>
      </c>
      <c r="J452" s="147"/>
    </row>
    <row r="453" spans="1:10" ht="15.75" customHeight="1">
      <c r="A453" s="146" t="s">
        <v>188</v>
      </c>
      <c r="B453" s="147">
        <v>11</v>
      </c>
      <c r="C453" s="148" t="s">
        <v>4808</v>
      </c>
      <c r="D453" s="175" t="s">
        <v>5034</v>
      </c>
      <c r="E453" s="147" t="s">
        <v>2842</v>
      </c>
      <c r="F453" s="147" t="s">
        <v>5028</v>
      </c>
      <c r="G453" s="147">
        <v>5</v>
      </c>
      <c r="H453" s="150" t="s">
        <v>5037</v>
      </c>
      <c r="I453" s="164" t="s">
        <v>5038</v>
      </c>
      <c r="J453" s="147"/>
    </row>
    <row r="454" spans="1:10" ht="15.75" customHeight="1">
      <c r="A454" s="146" t="s">
        <v>188</v>
      </c>
      <c r="B454" s="147">
        <v>12</v>
      </c>
      <c r="C454" s="148" t="s">
        <v>4808</v>
      </c>
      <c r="D454" s="175" t="s">
        <v>5034</v>
      </c>
      <c r="E454" s="147" t="s">
        <v>2842</v>
      </c>
      <c r="F454" s="147" t="s">
        <v>5028</v>
      </c>
      <c r="G454" s="147">
        <v>6</v>
      </c>
      <c r="H454" s="150" t="s">
        <v>5037</v>
      </c>
      <c r="I454" s="164" t="s">
        <v>5038</v>
      </c>
      <c r="J454" s="147"/>
    </row>
    <row r="455" spans="1:10" ht="15.75" customHeight="1">
      <c r="A455" s="146" t="s">
        <v>188</v>
      </c>
      <c r="B455" s="147">
        <v>13</v>
      </c>
      <c r="C455" s="148" t="s">
        <v>4808</v>
      </c>
      <c r="D455" s="175" t="s">
        <v>5034</v>
      </c>
      <c r="E455" s="147" t="s">
        <v>2842</v>
      </c>
      <c r="F455" s="147" t="s">
        <v>5028</v>
      </c>
      <c r="G455" s="147">
        <v>5</v>
      </c>
      <c r="H455" s="150" t="s">
        <v>5039</v>
      </c>
      <c r="I455" s="164" t="s">
        <v>5038</v>
      </c>
      <c r="J455" s="147"/>
    </row>
    <row r="456" spans="1:10" ht="15.75" customHeight="1">
      <c r="A456" s="146" t="s">
        <v>188</v>
      </c>
      <c r="B456" s="147">
        <v>14</v>
      </c>
      <c r="C456" s="148" t="s">
        <v>4808</v>
      </c>
      <c r="D456" s="175" t="s">
        <v>5034</v>
      </c>
      <c r="E456" s="147" t="s">
        <v>2842</v>
      </c>
      <c r="F456" s="147" t="s">
        <v>5028</v>
      </c>
      <c r="G456" s="147">
        <v>6</v>
      </c>
      <c r="H456" s="150" t="s">
        <v>5039</v>
      </c>
      <c r="I456" s="164" t="s">
        <v>5038</v>
      </c>
      <c r="J456" s="147"/>
    </row>
    <row r="457" spans="1:10" ht="15.75" customHeight="1">
      <c r="A457" s="167" t="s">
        <v>188</v>
      </c>
      <c r="B457" s="168">
        <v>15</v>
      </c>
      <c r="C457" s="176"/>
      <c r="D457" s="174" t="s">
        <v>4986</v>
      </c>
      <c r="E457" s="168" t="s">
        <v>4277</v>
      </c>
      <c r="F457" s="168" t="s">
        <v>4896</v>
      </c>
      <c r="G457" s="168"/>
      <c r="H457" s="169" t="s">
        <v>5040</v>
      </c>
      <c r="I457" s="170"/>
      <c r="J457" s="168"/>
    </row>
    <row r="458" spans="1:10" ht="15.75" customHeight="1">
      <c r="A458" s="167" t="s">
        <v>188</v>
      </c>
      <c r="B458" s="168">
        <v>16</v>
      </c>
      <c r="C458" s="176"/>
      <c r="D458" s="174" t="s">
        <v>4986</v>
      </c>
      <c r="E458" s="168" t="s">
        <v>4277</v>
      </c>
      <c r="F458" s="168" t="s">
        <v>4896</v>
      </c>
      <c r="G458" s="168"/>
      <c r="H458" s="169" t="s">
        <v>5040</v>
      </c>
      <c r="I458" s="170"/>
      <c r="J458" s="168"/>
    </row>
    <row r="459" spans="1:10" ht="15.75" customHeight="1">
      <c r="A459" s="146" t="s">
        <v>188</v>
      </c>
      <c r="B459" s="147">
        <v>17</v>
      </c>
      <c r="C459" s="148" t="s">
        <v>4827</v>
      </c>
      <c r="D459" s="149" t="s">
        <v>5041</v>
      </c>
      <c r="E459" s="147" t="s">
        <v>2842</v>
      </c>
      <c r="F459" s="147" t="s">
        <v>4937</v>
      </c>
      <c r="G459" s="147">
        <v>5</v>
      </c>
      <c r="H459" s="150" t="s">
        <v>5042</v>
      </c>
      <c r="I459" s="164" t="s">
        <v>5043</v>
      </c>
      <c r="J459" s="147"/>
    </row>
    <row r="460" spans="1:10" ht="15.75" customHeight="1">
      <c r="A460" s="146" t="s">
        <v>188</v>
      </c>
      <c r="B460" s="147">
        <v>18</v>
      </c>
      <c r="C460" s="148" t="s">
        <v>4827</v>
      </c>
      <c r="D460" s="149" t="s">
        <v>5041</v>
      </c>
      <c r="E460" s="147" t="s">
        <v>2842</v>
      </c>
      <c r="F460" s="147" t="s">
        <v>4937</v>
      </c>
      <c r="G460" s="147">
        <v>6</v>
      </c>
      <c r="H460" s="150" t="s">
        <v>5042</v>
      </c>
      <c r="I460" s="164" t="s">
        <v>5043</v>
      </c>
      <c r="J460" s="147"/>
    </row>
    <row r="461" spans="1:10" ht="15.75" customHeight="1">
      <c r="A461" s="146" t="s">
        <v>188</v>
      </c>
      <c r="B461" s="147">
        <v>19</v>
      </c>
      <c r="C461" s="148" t="s">
        <v>4827</v>
      </c>
      <c r="D461" s="149" t="s">
        <v>4947</v>
      </c>
      <c r="E461" s="147" t="s">
        <v>2842</v>
      </c>
      <c r="F461" s="147" t="s">
        <v>4829</v>
      </c>
      <c r="G461" s="147">
        <v>5</v>
      </c>
      <c r="H461" s="150" t="s">
        <v>5044</v>
      </c>
      <c r="I461" s="164" t="s">
        <v>5045</v>
      </c>
      <c r="J461" s="147"/>
    </row>
    <row r="462" spans="1:10" ht="15.75" customHeight="1">
      <c r="A462" s="146" t="s">
        <v>188</v>
      </c>
      <c r="B462" s="147">
        <v>20</v>
      </c>
      <c r="C462" s="148" t="s">
        <v>4827</v>
      </c>
      <c r="D462" s="149" t="s">
        <v>4947</v>
      </c>
      <c r="E462" s="147" t="s">
        <v>2842</v>
      </c>
      <c r="F462" s="147" t="s">
        <v>4829</v>
      </c>
      <c r="G462" s="147">
        <v>6</v>
      </c>
      <c r="H462" s="150" t="s">
        <v>5044</v>
      </c>
      <c r="I462" s="164" t="s">
        <v>5045</v>
      </c>
      <c r="J462" s="147"/>
    </row>
    <row r="463" spans="1:10" ht="15.75" customHeight="1">
      <c r="A463" s="146" t="s">
        <v>188</v>
      </c>
      <c r="B463" s="147">
        <v>21</v>
      </c>
      <c r="C463" s="148" t="s">
        <v>4827</v>
      </c>
      <c r="D463" s="175" t="s">
        <v>5046</v>
      </c>
      <c r="E463" s="147" t="s">
        <v>4992</v>
      </c>
      <c r="F463" s="147" t="s">
        <v>4993</v>
      </c>
      <c r="G463" s="147"/>
      <c r="H463" s="150" t="s">
        <v>5047</v>
      </c>
      <c r="I463" s="151" t="s">
        <v>4851</v>
      </c>
      <c r="J463" s="152" t="s">
        <v>2850</v>
      </c>
    </row>
    <row r="464" spans="1:10" ht="15.75" customHeight="1">
      <c r="A464" s="146" t="s">
        <v>188</v>
      </c>
      <c r="B464" s="147">
        <v>22</v>
      </c>
      <c r="C464" s="148" t="s">
        <v>4827</v>
      </c>
      <c r="D464" s="175" t="s">
        <v>5046</v>
      </c>
      <c r="E464" s="147" t="s">
        <v>4992</v>
      </c>
      <c r="F464" s="147" t="s">
        <v>4993</v>
      </c>
      <c r="G464" s="147"/>
      <c r="H464" s="150" t="s">
        <v>5047</v>
      </c>
      <c r="I464" s="151" t="s">
        <v>4851</v>
      </c>
      <c r="J464" s="152" t="s">
        <v>2850</v>
      </c>
    </row>
    <row r="465" spans="1:10" ht="15.75" customHeight="1">
      <c r="A465" s="146" t="s">
        <v>188</v>
      </c>
      <c r="B465" s="147">
        <v>23</v>
      </c>
      <c r="C465" s="148" t="s">
        <v>4842</v>
      </c>
      <c r="D465" s="149" t="s">
        <v>5048</v>
      </c>
      <c r="E465" s="147" t="s">
        <v>2842</v>
      </c>
      <c r="F465" s="147" t="s">
        <v>4937</v>
      </c>
      <c r="G465" s="147">
        <v>5</v>
      </c>
      <c r="H465" s="150" t="s">
        <v>5049</v>
      </c>
      <c r="I465" s="164" t="s">
        <v>5050</v>
      </c>
      <c r="J465" s="147"/>
    </row>
    <row r="466" spans="1:10" ht="15.75" customHeight="1">
      <c r="A466" s="146" t="s">
        <v>188</v>
      </c>
      <c r="B466" s="147">
        <v>24</v>
      </c>
      <c r="C466" s="148" t="s">
        <v>4842</v>
      </c>
      <c r="D466" s="149" t="s">
        <v>5048</v>
      </c>
      <c r="E466" s="147" t="s">
        <v>2842</v>
      </c>
      <c r="F466" s="147" t="s">
        <v>4937</v>
      </c>
      <c r="G466" s="147">
        <v>6</v>
      </c>
      <c r="H466" s="150" t="s">
        <v>5049</v>
      </c>
      <c r="I466" s="164" t="s">
        <v>5050</v>
      </c>
      <c r="J466" s="147"/>
    </row>
    <row r="467" spans="1:10" ht="15.75" customHeight="1">
      <c r="A467" s="167" t="s">
        <v>188</v>
      </c>
      <c r="B467" s="168">
        <v>25</v>
      </c>
      <c r="C467" s="176"/>
      <c r="D467" s="174" t="s">
        <v>5051</v>
      </c>
      <c r="E467" s="168" t="s">
        <v>4277</v>
      </c>
      <c r="F467" s="168" t="s">
        <v>5052</v>
      </c>
      <c r="G467" s="168"/>
      <c r="H467" s="169" t="s">
        <v>5053</v>
      </c>
      <c r="I467" s="170"/>
      <c r="J467" s="168"/>
    </row>
    <row r="468" spans="1:10" ht="15.75" customHeight="1">
      <c r="A468" s="167" t="s">
        <v>188</v>
      </c>
      <c r="B468" s="168">
        <v>26</v>
      </c>
      <c r="C468" s="176"/>
      <c r="D468" s="174" t="s">
        <v>5051</v>
      </c>
      <c r="E468" s="168" t="s">
        <v>4277</v>
      </c>
      <c r="F468" s="168" t="s">
        <v>5052</v>
      </c>
      <c r="G468" s="168"/>
      <c r="H468" s="169" t="s">
        <v>5053</v>
      </c>
      <c r="I468" s="170"/>
      <c r="J468" s="168"/>
    </row>
    <row r="469" spans="1:10" ht="15.75" customHeight="1">
      <c r="A469" s="146" t="s">
        <v>188</v>
      </c>
      <c r="B469" s="147">
        <v>27</v>
      </c>
      <c r="C469" s="148" t="s">
        <v>4842</v>
      </c>
      <c r="D469" s="175" t="s">
        <v>4843</v>
      </c>
      <c r="E469" s="147" t="s">
        <v>2842</v>
      </c>
      <c r="F469" s="147" t="s">
        <v>4844</v>
      </c>
      <c r="G469" s="147">
        <v>5</v>
      </c>
      <c r="H469" s="150" t="s">
        <v>5054</v>
      </c>
      <c r="I469" s="164" t="s">
        <v>5055</v>
      </c>
      <c r="J469" s="147"/>
    </row>
    <row r="470" spans="1:10" ht="15.75" customHeight="1">
      <c r="A470" s="146" t="s">
        <v>188</v>
      </c>
      <c r="B470" s="147">
        <v>28</v>
      </c>
      <c r="C470" s="148" t="s">
        <v>4842</v>
      </c>
      <c r="D470" s="175" t="s">
        <v>4843</v>
      </c>
      <c r="E470" s="147" t="s">
        <v>2842</v>
      </c>
      <c r="F470" s="147" t="s">
        <v>4844</v>
      </c>
      <c r="G470" s="147">
        <v>6</v>
      </c>
      <c r="H470" s="150" t="s">
        <v>5054</v>
      </c>
      <c r="I470" s="164" t="s">
        <v>5055</v>
      </c>
      <c r="J470" s="147"/>
    </row>
    <row r="471" spans="1:10" ht="15.75" customHeight="1">
      <c r="A471" s="146" t="s">
        <v>188</v>
      </c>
      <c r="B471" s="147">
        <v>29</v>
      </c>
      <c r="C471" s="148" t="s">
        <v>4842</v>
      </c>
      <c r="D471" s="175" t="s">
        <v>4843</v>
      </c>
      <c r="E471" s="147" t="s">
        <v>2842</v>
      </c>
      <c r="F471" s="147" t="s">
        <v>4844</v>
      </c>
      <c r="G471" s="147">
        <v>5</v>
      </c>
      <c r="H471" s="150" t="s">
        <v>5056</v>
      </c>
      <c r="I471" s="164" t="s">
        <v>5057</v>
      </c>
      <c r="J471" s="147"/>
    </row>
    <row r="472" spans="1:10" ht="15.75" customHeight="1">
      <c r="A472" s="146" t="s">
        <v>188</v>
      </c>
      <c r="B472" s="147">
        <v>30</v>
      </c>
      <c r="C472" s="148" t="s">
        <v>4842</v>
      </c>
      <c r="D472" s="175" t="s">
        <v>4843</v>
      </c>
      <c r="E472" s="147" t="s">
        <v>2842</v>
      </c>
      <c r="F472" s="147" t="s">
        <v>4844</v>
      </c>
      <c r="G472" s="147">
        <v>6</v>
      </c>
      <c r="H472" s="150" t="s">
        <v>5056</v>
      </c>
      <c r="I472" s="164" t="s">
        <v>5057</v>
      </c>
      <c r="J472" s="147"/>
    </row>
    <row r="473" spans="1:10" ht="15.75" customHeight="1">
      <c r="A473" s="146" t="s">
        <v>188</v>
      </c>
      <c r="B473" s="147">
        <v>31</v>
      </c>
      <c r="C473" s="148" t="s">
        <v>4842</v>
      </c>
      <c r="D473" s="175" t="s">
        <v>4843</v>
      </c>
      <c r="E473" s="147" t="s">
        <v>2842</v>
      </c>
      <c r="F473" s="147" t="s">
        <v>4844</v>
      </c>
      <c r="G473" s="147">
        <v>5</v>
      </c>
      <c r="H473" s="150" t="s">
        <v>5058</v>
      </c>
      <c r="I473" s="164" t="s">
        <v>4911</v>
      </c>
      <c r="J473" s="147"/>
    </row>
    <row r="474" spans="1:10" ht="15.75" customHeight="1">
      <c r="A474" s="146" t="s">
        <v>188</v>
      </c>
      <c r="B474" s="147">
        <v>32</v>
      </c>
      <c r="C474" s="148" t="s">
        <v>4842</v>
      </c>
      <c r="D474" s="175" t="s">
        <v>4843</v>
      </c>
      <c r="E474" s="147" t="s">
        <v>2842</v>
      </c>
      <c r="F474" s="147" t="s">
        <v>4844</v>
      </c>
      <c r="G474" s="147">
        <v>6</v>
      </c>
      <c r="H474" s="150" t="s">
        <v>5058</v>
      </c>
      <c r="I474" s="164" t="s">
        <v>4911</v>
      </c>
      <c r="J474" s="147"/>
    </row>
    <row r="475" spans="1:10" ht="15.75" customHeight="1">
      <c r="A475" s="167" t="s">
        <v>188</v>
      </c>
      <c r="B475" s="168">
        <v>33</v>
      </c>
      <c r="C475" s="176"/>
      <c r="D475" s="174" t="s">
        <v>5059</v>
      </c>
      <c r="E475" s="168" t="s">
        <v>4277</v>
      </c>
      <c r="F475" s="168" t="s">
        <v>5060</v>
      </c>
      <c r="G475" s="168"/>
      <c r="H475" s="169" t="s">
        <v>5061</v>
      </c>
      <c r="I475" s="170"/>
      <c r="J475" s="168"/>
    </row>
    <row r="476" spans="1:10" ht="15.75" customHeight="1">
      <c r="A476" s="167" t="s">
        <v>188</v>
      </c>
      <c r="B476" s="168">
        <v>34</v>
      </c>
      <c r="C476" s="176"/>
      <c r="D476" s="174" t="s">
        <v>5059</v>
      </c>
      <c r="E476" s="168" t="s">
        <v>4277</v>
      </c>
      <c r="F476" s="168" t="s">
        <v>5060</v>
      </c>
      <c r="G476" s="168"/>
      <c r="H476" s="169" t="s">
        <v>5061</v>
      </c>
      <c r="I476" s="170"/>
      <c r="J476" s="168"/>
    </row>
    <row r="477" spans="1:10" ht="15.75" customHeight="1">
      <c r="A477" s="146" t="s">
        <v>188</v>
      </c>
      <c r="B477" s="147">
        <v>35</v>
      </c>
      <c r="C477" s="148" t="s">
        <v>4842</v>
      </c>
      <c r="D477" s="175" t="s">
        <v>5062</v>
      </c>
      <c r="E477" s="147" t="s">
        <v>2842</v>
      </c>
      <c r="F477" s="147" t="s">
        <v>5063</v>
      </c>
      <c r="G477" s="147">
        <v>4</v>
      </c>
      <c r="H477" s="150" t="s">
        <v>5064</v>
      </c>
      <c r="I477" s="164" t="s">
        <v>5065</v>
      </c>
      <c r="J477" s="147"/>
    </row>
    <row r="478" spans="1:10" ht="15.75" customHeight="1">
      <c r="A478" s="146" t="s">
        <v>188</v>
      </c>
      <c r="B478" s="147">
        <v>36</v>
      </c>
      <c r="C478" s="148" t="s">
        <v>4842</v>
      </c>
      <c r="D478" s="175" t="s">
        <v>5062</v>
      </c>
      <c r="E478" s="147" t="s">
        <v>2842</v>
      </c>
      <c r="F478" s="147" t="s">
        <v>5063</v>
      </c>
      <c r="G478" s="147">
        <v>5</v>
      </c>
      <c r="H478" s="150" t="s">
        <v>5064</v>
      </c>
      <c r="I478" s="164" t="s">
        <v>5065</v>
      </c>
      <c r="J478" s="147"/>
    </row>
    <row r="479" spans="1:10" ht="15.75" customHeight="1">
      <c r="A479" s="146" t="s">
        <v>188</v>
      </c>
      <c r="B479" s="147">
        <v>37</v>
      </c>
      <c r="C479" s="148" t="s">
        <v>4842</v>
      </c>
      <c r="D479" s="178" t="s">
        <v>5066</v>
      </c>
      <c r="E479" s="179" t="s">
        <v>2842</v>
      </c>
      <c r="F479" s="179" t="s">
        <v>5067</v>
      </c>
      <c r="G479" s="147"/>
      <c r="H479" s="150" t="s">
        <v>5068</v>
      </c>
      <c r="I479" s="164"/>
      <c r="J479" s="147"/>
    </row>
    <row r="480" spans="1:10" ht="15.75" customHeight="1">
      <c r="A480" s="146" t="s">
        <v>188</v>
      </c>
      <c r="B480" s="147">
        <v>38</v>
      </c>
      <c r="C480" s="148" t="s">
        <v>4842</v>
      </c>
      <c r="D480" s="178" t="s">
        <v>5066</v>
      </c>
      <c r="E480" s="179" t="s">
        <v>2842</v>
      </c>
      <c r="F480" s="179" t="s">
        <v>5067</v>
      </c>
      <c r="G480" s="147"/>
      <c r="H480" s="150" t="s">
        <v>5068</v>
      </c>
      <c r="I480" s="164"/>
      <c r="J480" s="147"/>
    </row>
    <row r="481" spans="1:10" ht="15.75" customHeight="1">
      <c r="A481" s="146" t="s">
        <v>188</v>
      </c>
      <c r="B481" s="147">
        <v>39</v>
      </c>
      <c r="C481" s="148" t="s">
        <v>4842</v>
      </c>
      <c r="D481" s="175" t="s">
        <v>5069</v>
      </c>
      <c r="E481" s="147" t="s">
        <v>2842</v>
      </c>
      <c r="F481" s="147" t="s">
        <v>5070</v>
      </c>
      <c r="G481" s="147">
        <v>5</v>
      </c>
      <c r="H481" s="150" t="s">
        <v>5071</v>
      </c>
      <c r="I481" s="164" t="s">
        <v>5072</v>
      </c>
      <c r="J481" s="147"/>
    </row>
    <row r="482" spans="1:10" ht="15.75" customHeight="1">
      <c r="A482" s="146" t="s">
        <v>188</v>
      </c>
      <c r="B482" s="147">
        <v>40</v>
      </c>
      <c r="C482" s="148" t="s">
        <v>4842</v>
      </c>
      <c r="D482" s="175" t="s">
        <v>5069</v>
      </c>
      <c r="E482" s="147" t="s">
        <v>2842</v>
      </c>
      <c r="F482" s="147" t="s">
        <v>5070</v>
      </c>
      <c r="G482" s="147">
        <v>6</v>
      </c>
      <c r="H482" s="150" t="s">
        <v>5071</v>
      </c>
      <c r="I482" s="164" t="s">
        <v>5072</v>
      </c>
      <c r="J482" s="147"/>
    </row>
    <row r="483" spans="1:10" ht="15.75" customHeight="1">
      <c r="A483" s="167" t="s">
        <v>188</v>
      </c>
      <c r="B483" s="168">
        <v>41</v>
      </c>
      <c r="C483" s="176" t="s">
        <v>5017</v>
      </c>
      <c r="D483" s="174" t="s">
        <v>4986</v>
      </c>
      <c r="E483" s="168" t="s">
        <v>4277</v>
      </c>
      <c r="F483" s="168" t="s">
        <v>5060</v>
      </c>
      <c r="G483" s="168"/>
      <c r="H483" s="169" t="s">
        <v>5073</v>
      </c>
      <c r="I483" s="170"/>
      <c r="J483" s="168"/>
    </row>
    <row r="484" spans="1:10" ht="15.75" customHeight="1">
      <c r="A484" s="167" t="s">
        <v>188</v>
      </c>
      <c r="B484" s="168">
        <v>42</v>
      </c>
      <c r="C484" s="176"/>
      <c r="D484" s="174" t="s">
        <v>4986</v>
      </c>
      <c r="E484" s="168" t="s">
        <v>4277</v>
      </c>
      <c r="F484" s="168" t="s">
        <v>5060</v>
      </c>
      <c r="G484" s="168"/>
      <c r="H484" s="169" t="s">
        <v>5073</v>
      </c>
      <c r="I484" s="170"/>
      <c r="J484" s="168"/>
    </row>
    <row r="485" spans="1:10" ht="15.75" customHeight="1">
      <c r="A485" s="146" t="s">
        <v>188</v>
      </c>
      <c r="B485" s="147">
        <v>43</v>
      </c>
      <c r="C485" s="148" t="s">
        <v>4827</v>
      </c>
      <c r="D485" s="175" t="s">
        <v>5074</v>
      </c>
      <c r="E485" s="147" t="s">
        <v>2842</v>
      </c>
      <c r="F485" s="147" t="s">
        <v>5075</v>
      </c>
      <c r="G485" s="147">
        <v>4</v>
      </c>
      <c r="H485" s="150" t="s">
        <v>5076</v>
      </c>
      <c r="I485" s="164" t="s">
        <v>4911</v>
      </c>
      <c r="J485" s="147"/>
    </row>
    <row r="486" spans="1:10" ht="15.75" customHeight="1">
      <c r="A486" s="146" t="s">
        <v>188</v>
      </c>
      <c r="B486" s="147">
        <v>44</v>
      </c>
      <c r="C486" s="148" t="s">
        <v>4827</v>
      </c>
      <c r="D486" s="175" t="s">
        <v>5074</v>
      </c>
      <c r="E486" s="147" t="s">
        <v>2842</v>
      </c>
      <c r="F486" s="147" t="s">
        <v>5075</v>
      </c>
      <c r="G486" s="147">
        <v>5</v>
      </c>
      <c r="H486" s="150" t="s">
        <v>5077</v>
      </c>
      <c r="I486" s="164" t="s">
        <v>4911</v>
      </c>
      <c r="J486" s="147"/>
    </row>
    <row r="487" spans="1:10" ht="15.75" customHeight="1">
      <c r="A487" s="147"/>
      <c r="B487" s="147"/>
      <c r="C487" s="147"/>
      <c r="D487" s="149"/>
      <c r="E487" s="147"/>
      <c r="F487" s="147"/>
      <c r="G487" s="147"/>
      <c r="H487" s="150"/>
      <c r="I487" s="164"/>
      <c r="J487" s="147"/>
    </row>
    <row r="488" spans="1:10" ht="15.75" customHeight="1">
      <c r="A488" s="147"/>
      <c r="B488" s="147"/>
      <c r="C488" s="147"/>
      <c r="D488" s="149"/>
      <c r="E488" s="147"/>
      <c r="F488" s="147"/>
      <c r="G488" s="165" t="s">
        <v>4801</v>
      </c>
      <c r="H488" s="165" t="s">
        <v>4802</v>
      </c>
      <c r="I488" s="166" t="s">
        <v>4803</v>
      </c>
      <c r="J488" s="165" t="s">
        <v>4804</v>
      </c>
    </row>
    <row r="489" spans="1:10" ht="15.75" customHeight="1">
      <c r="A489" s="147"/>
      <c r="B489" s="147"/>
      <c r="C489" s="147"/>
      <c r="D489" s="149"/>
      <c r="E489" s="147"/>
      <c r="F489" s="147"/>
      <c r="G489" s="147"/>
      <c r="H489" s="150"/>
      <c r="I489" s="164"/>
      <c r="J489" s="147"/>
    </row>
    <row r="490" spans="1:10" ht="15.75" customHeight="1">
      <c r="A490" s="268" t="s">
        <v>5078</v>
      </c>
      <c r="B490" s="269"/>
      <c r="C490" s="269"/>
      <c r="D490" s="269"/>
      <c r="E490" s="269"/>
      <c r="F490" s="269"/>
      <c r="G490" s="269"/>
      <c r="H490" s="269"/>
      <c r="I490" s="269"/>
      <c r="J490" s="270"/>
    </row>
    <row r="491" spans="1:10" ht="15.75" customHeight="1">
      <c r="A491" s="142" t="s">
        <v>23</v>
      </c>
      <c r="B491" s="142" t="s">
        <v>24</v>
      </c>
      <c r="C491" s="142" t="s">
        <v>4796</v>
      </c>
      <c r="D491" s="143" t="s">
        <v>27</v>
      </c>
      <c r="E491" s="142" t="s">
        <v>4797</v>
      </c>
      <c r="F491" s="142" t="s">
        <v>835</v>
      </c>
      <c r="G491" s="142" t="s">
        <v>4798</v>
      </c>
      <c r="H491" s="144" t="s">
        <v>30</v>
      </c>
      <c r="I491" s="145" t="s">
        <v>4799</v>
      </c>
      <c r="J491" s="142" t="s">
        <v>4800</v>
      </c>
    </row>
    <row r="492" spans="1:10" ht="15.75" customHeight="1">
      <c r="A492" s="146" t="s">
        <v>35</v>
      </c>
      <c r="B492" s="147">
        <v>1</v>
      </c>
      <c r="C492" s="148"/>
      <c r="D492" s="149"/>
      <c r="E492" s="147"/>
      <c r="F492" s="147"/>
      <c r="G492" s="147"/>
      <c r="H492" s="150"/>
      <c r="I492" s="151"/>
      <c r="J492" s="152"/>
    </row>
    <row r="493" spans="1:10" ht="15.75" customHeight="1">
      <c r="A493" s="146" t="s">
        <v>35</v>
      </c>
      <c r="B493" s="147">
        <v>2</v>
      </c>
      <c r="C493" s="148"/>
      <c r="D493" s="149"/>
      <c r="E493" s="147"/>
      <c r="F493" s="147"/>
      <c r="G493" s="147"/>
      <c r="H493" s="150"/>
      <c r="I493" s="151"/>
      <c r="J493" s="152"/>
    </row>
    <row r="494" spans="1:10" ht="15.75" customHeight="1">
      <c r="A494" s="146" t="s">
        <v>35</v>
      </c>
      <c r="B494" s="147">
        <v>3</v>
      </c>
      <c r="C494" s="148"/>
      <c r="D494" s="149"/>
      <c r="E494" s="147"/>
      <c r="F494" s="147"/>
      <c r="G494" s="147"/>
      <c r="H494" s="150"/>
      <c r="I494" s="151"/>
      <c r="J494" s="153"/>
    </row>
    <row r="495" spans="1:10" ht="15.75" customHeight="1">
      <c r="A495" s="146" t="s">
        <v>35</v>
      </c>
      <c r="B495" s="147">
        <v>4</v>
      </c>
      <c r="C495" s="148"/>
      <c r="D495" s="149"/>
      <c r="E495" s="147"/>
      <c r="F495" s="147"/>
      <c r="G495" s="147"/>
      <c r="H495" s="150"/>
      <c r="I495" s="151"/>
      <c r="J495" s="153"/>
    </row>
    <row r="496" spans="1:10" ht="15.75" customHeight="1">
      <c r="A496" s="146" t="s">
        <v>35</v>
      </c>
      <c r="B496" s="147">
        <v>5</v>
      </c>
      <c r="C496" s="148"/>
      <c r="D496" s="149"/>
      <c r="E496" s="147"/>
      <c r="F496" s="147"/>
      <c r="G496" s="147"/>
      <c r="H496" s="150"/>
      <c r="I496" s="151"/>
      <c r="J496" s="153"/>
    </row>
    <row r="497" spans="1:10" ht="15.75" customHeight="1">
      <c r="A497" s="146" t="s">
        <v>35</v>
      </c>
      <c r="B497" s="147">
        <v>6</v>
      </c>
      <c r="C497" s="148"/>
      <c r="D497" s="149"/>
      <c r="E497" s="147"/>
      <c r="F497" s="147"/>
      <c r="G497" s="147"/>
      <c r="H497" s="150"/>
      <c r="I497" s="151"/>
      <c r="J497" s="153"/>
    </row>
    <row r="498" spans="1:10" ht="15.75" customHeight="1">
      <c r="A498" s="154" t="s">
        <v>35</v>
      </c>
      <c r="B498" s="152">
        <v>7</v>
      </c>
      <c r="C498" s="152"/>
      <c r="D498" s="152"/>
      <c r="E498" s="152"/>
      <c r="F498" s="152"/>
      <c r="G498" s="152"/>
      <c r="H498" s="155"/>
      <c r="I498" s="151"/>
      <c r="J498" s="152"/>
    </row>
    <row r="499" spans="1:10" ht="15.75" customHeight="1">
      <c r="A499" s="154" t="s">
        <v>35</v>
      </c>
      <c r="B499" s="152">
        <v>8</v>
      </c>
      <c r="C499" s="152"/>
      <c r="D499" s="152"/>
      <c r="E499" s="152"/>
      <c r="F499" s="152"/>
      <c r="G499" s="152"/>
      <c r="H499" s="155"/>
      <c r="I499" s="151"/>
      <c r="J499" s="152"/>
    </row>
    <row r="500" spans="1:10" ht="15.75" customHeight="1">
      <c r="A500" s="154" t="s">
        <v>35</v>
      </c>
      <c r="B500" s="152">
        <v>9</v>
      </c>
      <c r="C500" s="156"/>
      <c r="D500" s="153"/>
      <c r="E500" s="152"/>
      <c r="F500" s="152"/>
      <c r="G500" s="152"/>
      <c r="H500" s="155"/>
      <c r="I500" s="151"/>
      <c r="J500" s="153"/>
    </row>
    <row r="501" spans="1:10" ht="15.75" customHeight="1">
      <c r="A501" s="154" t="s">
        <v>35</v>
      </c>
      <c r="B501" s="152">
        <v>10</v>
      </c>
      <c r="C501" s="156"/>
      <c r="D501" s="153"/>
      <c r="E501" s="152"/>
      <c r="F501" s="152"/>
      <c r="G501" s="152"/>
      <c r="H501" s="155"/>
      <c r="I501" s="151"/>
      <c r="J501" s="153"/>
    </row>
    <row r="502" spans="1:10" ht="15.75" customHeight="1">
      <c r="A502" s="154" t="s">
        <v>35</v>
      </c>
      <c r="B502" s="152">
        <v>11</v>
      </c>
      <c r="C502" s="156"/>
      <c r="D502" s="153"/>
      <c r="E502" s="152"/>
      <c r="F502" s="152"/>
      <c r="G502" s="152"/>
      <c r="H502" s="155"/>
      <c r="I502" s="151"/>
      <c r="J502" s="153"/>
    </row>
    <row r="503" spans="1:10" ht="15.75" customHeight="1">
      <c r="A503" s="154" t="s">
        <v>35</v>
      </c>
      <c r="B503" s="152">
        <v>12</v>
      </c>
      <c r="C503" s="156"/>
      <c r="D503" s="153"/>
      <c r="E503" s="152"/>
      <c r="F503" s="152"/>
      <c r="G503" s="152"/>
      <c r="H503" s="155"/>
      <c r="I503" s="151"/>
      <c r="J503" s="153"/>
    </row>
    <row r="504" spans="1:10" ht="15.75" customHeight="1">
      <c r="A504" s="154" t="s">
        <v>35</v>
      </c>
      <c r="B504" s="152">
        <v>13</v>
      </c>
      <c r="C504" s="156"/>
      <c r="D504" s="153"/>
      <c r="E504" s="152"/>
      <c r="F504" s="152"/>
      <c r="G504" s="152"/>
      <c r="H504" s="155"/>
      <c r="I504" s="151"/>
      <c r="J504" s="153"/>
    </row>
    <row r="505" spans="1:10" ht="15.75" customHeight="1">
      <c r="A505" s="154" t="s">
        <v>35</v>
      </c>
      <c r="B505" s="152">
        <v>14</v>
      </c>
      <c r="C505" s="156"/>
      <c r="D505" s="153"/>
      <c r="E505" s="152"/>
      <c r="F505" s="152"/>
      <c r="G505" s="152"/>
      <c r="H505" s="155"/>
      <c r="I505" s="151"/>
      <c r="J505" s="153"/>
    </row>
    <row r="506" spans="1:10" ht="15.75" customHeight="1">
      <c r="A506" s="154" t="s">
        <v>35</v>
      </c>
      <c r="B506" s="152">
        <v>15</v>
      </c>
      <c r="C506" s="156"/>
      <c r="D506" s="153"/>
      <c r="E506" s="152"/>
      <c r="F506" s="152"/>
      <c r="G506" s="152"/>
      <c r="H506" s="155"/>
      <c r="I506" s="151"/>
      <c r="J506" s="152"/>
    </row>
    <row r="507" spans="1:10" ht="15.75" customHeight="1">
      <c r="A507" s="154" t="s">
        <v>35</v>
      </c>
      <c r="B507" s="152">
        <v>16</v>
      </c>
      <c r="C507" s="156"/>
      <c r="D507" s="153"/>
      <c r="E507" s="152"/>
      <c r="F507" s="152"/>
      <c r="G507" s="152"/>
      <c r="H507" s="155"/>
      <c r="I507" s="151"/>
      <c r="J507" s="152"/>
    </row>
    <row r="508" spans="1:10" ht="15.75" customHeight="1">
      <c r="A508" s="154" t="s">
        <v>35</v>
      </c>
      <c r="B508" s="152">
        <v>17</v>
      </c>
      <c r="C508" s="152"/>
      <c r="D508" s="152"/>
      <c r="E508" s="152"/>
      <c r="F508" s="152"/>
      <c r="G508" s="152"/>
      <c r="H508" s="155"/>
      <c r="I508" s="151"/>
      <c r="J508" s="152"/>
    </row>
    <row r="509" spans="1:10" ht="15.75" customHeight="1">
      <c r="A509" s="154" t="s">
        <v>35</v>
      </c>
      <c r="B509" s="152">
        <v>18</v>
      </c>
      <c r="C509" s="152"/>
      <c r="D509" s="152"/>
      <c r="E509" s="152"/>
      <c r="F509" s="152"/>
      <c r="G509" s="152"/>
      <c r="H509" s="155"/>
      <c r="I509" s="151"/>
      <c r="J509" s="152"/>
    </row>
    <row r="510" spans="1:10" ht="15.75" customHeight="1">
      <c r="A510" s="154" t="s">
        <v>35</v>
      </c>
      <c r="B510" s="152">
        <v>19</v>
      </c>
      <c r="C510" s="155"/>
      <c r="D510" s="153"/>
      <c r="E510" s="152"/>
      <c r="F510" s="152"/>
      <c r="G510" s="152"/>
      <c r="H510" s="155"/>
      <c r="I510" s="151"/>
      <c r="J510" s="152"/>
    </row>
    <row r="511" spans="1:10" ht="15.75" customHeight="1">
      <c r="A511" s="154" t="s">
        <v>35</v>
      </c>
      <c r="B511" s="152">
        <v>20</v>
      </c>
      <c r="C511" s="155"/>
      <c r="D511" s="153"/>
      <c r="E511" s="152"/>
      <c r="F511" s="152"/>
      <c r="G511" s="152"/>
      <c r="H511" s="155"/>
      <c r="I511" s="151"/>
      <c r="J511" s="152"/>
    </row>
    <row r="512" spans="1:10" ht="15.75" customHeight="1">
      <c r="A512" s="154" t="s">
        <v>35</v>
      </c>
      <c r="B512" s="152">
        <v>21</v>
      </c>
      <c r="C512" s="156"/>
      <c r="D512" s="153"/>
      <c r="E512" s="152"/>
      <c r="F512" s="152"/>
      <c r="G512" s="152"/>
      <c r="H512" s="157"/>
      <c r="I512" s="151"/>
      <c r="J512" s="152"/>
    </row>
    <row r="513" spans="1:10" ht="15.75" customHeight="1">
      <c r="A513" s="154" t="s">
        <v>35</v>
      </c>
      <c r="B513" s="152">
        <v>22</v>
      </c>
      <c r="C513" s="156"/>
      <c r="D513" s="153"/>
      <c r="E513" s="152"/>
      <c r="F513" s="152"/>
      <c r="G513" s="152"/>
      <c r="H513" s="157"/>
      <c r="I513" s="151"/>
      <c r="J513" s="152"/>
    </row>
    <row r="514" spans="1:10" ht="15.75" customHeight="1">
      <c r="A514" s="154" t="s">
        <v>35</v>
      </c>
      <c r="B514" s="152">
        <v>23</v>
      </c>
      <c r="C514" s="155"/>
      <c r="D514" s="153"/>
      <c r="E514" s="152"/>
      <c r="F514" s="152"/>
      <c r="G514" s="152"/>
      <c r="H514" s="155"/>
      <c r="I514" s="151"/>
      <c r="J514" s="152"/>
    </row>
    <row r="515" spans="1:10" ht="15.75" customHeight="1">
      <c r="A515" s="154" t="s">
        <v>35</v>
      </c>
      <c r="B515" s="152">
        <v>24</v>
      </c>
      <c r="C515" s="155"/>
      <c r="D515" s="153"/>
      <c r="E515" s="152"/>
      <c r="F515" s="152"/>
      <c r="G515" s="152"/>
      <c r="H515" s="155"/>
      <c r="I515" s="151"/>
      <c r="J515" s="152"/>
    </row>
    <row r="516" spans="1:10" ht="15.75" customHeight="1">
      <c r="A516" s="158"/>
      <c r="B516" s="159"/>
      <c r="C516" s="159"/>
      <c r="D516" s="160"/>
      <c r="E516" s="159"/>
      <c r="F516" s="159"/>
      <c r="G516" s="159"/>
      <c r="H516" s="161"/>
      <c r="I516" s="162"/>
      <c r="J516" s="159"/>
    </row>
    <row r="517" spans="1:10" ht="15.75" customHeight="1">
      <c r="A517" s="146" t="s">
        <v>90</v>
      </c>
      <c r="B517" s="147">
        <v>1</v>
      </c>
      <c r="C517" s="148"/>
      <c r="D517" s="149"/>
      <c r="E517" s="147"/>
      <c r="F517" s="147"/>
      <c r="G517" s="147"/>
      <c r="H517" s="150"/>
      <c r="I517" s="163"/>
    </row>
    <row r="518" spans="1:10" ht="15.75" customHeight="1">
      <c r="A518" s="146" t="s">
        <v>90</v>
      </c>
      <c r="B518" s="147">
        <v>3</v>
      </c>
      <c r="C518" s="148"/>
      <c r="D518" s="149"/>
      <c r="E518" s="147"/>
      <c r="F518" s="147"/>
      <c r="G518" s="147"/>
      <c r="H518" s="150"/>
      <c r="I518" s="164"/>
      <c r="J518" s="147"/>
    </row>
    <row r="519" spans="1:10" ht="15.75" customHeight="1">
      <c r="A519" s="146" t="s">
        <v>90</v>
      </c>
      <c r="B519" s="147">
        <v>4</v>
      </c>
      <c r="C519" s="148"/>
      <c r="D519" s="149"/>
      <c r="E519" s="147"/>
      <c r="F519" s="147"/>
      <c r="G519" s="147"/>
      <c r="H519" s="150"/>
      <c r="I519" s="164"/>
      <c r="J519" s="147"/>
    </row>
    <row r="520" spans="1:10" ht="15.75" customHeight="1">
      <c r="A520" s="146" t="s">
        <v>90</v>
      </c>
      <c r="B520" s="147">
        <v>5</v>
      </c>
      <c r="C520" s="148"/>
      <c r="D520" s="149"/>
      <c r="E520" s="147"/>
      <c r="F520" s="147"/>
      <c r="G520" s="147"/>
      <c r="H520" s="150"/>
      <c r="I520" s="164"/>
      <c r="J520" s="147"/>
    </row>
    <row r="521" spans="1:10" ht="15.75" customHeight="1">
      <c r="A521" s="146" t="s">
        <v>90</v>
      </c>
      <c r="B521" s="147">
        <v>6</v>
      </c>
      <c r="C521" s="148"/>
      <c r="D521" s="149"/>
      <c r="E521" s="147"/>
      <c r="F521" s="147"/>
      <c r="G521" s="147"/>
      <c r="H521" s="150"/>
      <c r="I521" s="164"/>
      <c r="J521" s="147"/>
    </row>
    <row r="522" spans="1:10" ht="15.75" customHeight="1">
      <c r="A522" s="146" t="s">
        <v>90</v>
      </c>
      <c r="B522" s="147">
        <v>7</v>
      </c>
      <c r="C522" s="147"/>
      <c r="D522" s="149"/>
      <c r="E522" s="147"/>
      <c r="F522" s="147"/>
      <c r="G522" s="147"/>
      <c r="H522" s="150"/>
      <c r="I522" s="164"/>
      <c r="J522" s="147"/>
    </row>
    <row r="523" spans="1:10" ht="15.75" customHeight="1">
      <c r="A523" s="146" t="s">
        <v>90</v>
      </c>
      <c r="B523" s="147">
        <v>8</v>
      </c>
      <c r="C523" s="147"/>
      <c r="D523" s="149"/>
      <c r="E523" s="147"/>
      <c r="F523" s="147"/>
      <c r="G523" s="147"/>
      <c r="H523" s="150"/>
      <c r="I523" s="164"/>
      <c r="J523" s="147"/>
    </row>
    <row r="524" spans="1:10" ht="15.75" customHeight="1">
      <c r="A524" s="146" t="s">
        <v>90</v>
      </c>
      <c r="B524" s="147">
        <v>9</v>
      </c>
      <c r="C524" s="147"/>
      <c r="D524" s="149"/>
      <c r="E524" s="147"/>
      <c r="F524" s="147"/>
      <c r="G524" s="147"/>
      <c r="H524" s="150"/>
      <c r="I524" s="164"/>
      <c r="J524" s="147"/>
    </row>
    <row r="525" spans="1:10" ht="15.75" customHeight="1">
      <c r="A525" s="146" t="s">
        <v>90</v>
      </c>
      <c r="B525" s="147">
        <v>10</v>
      </c>
      <c r="C525" s="147"/>
      <c r="D525" s="149"/>
      <c r="E525" s="147"/>
      <c r="F525" s="147"/>
      <c r="G525" s="147"/>
      <c r="H525" s="150"/>
      <c r="I525" s="164"/>
      <c r="J525" s="147"/>
    </row>
    <row r="526" spans="1:10" ht="15.75" customHeight="1">
      <c r="A526" s="146" t="s">
        <v>90</v>
      </c>
      <c r="B526" s="147">
        <v>11</v>
      </c>
      <c r="C526" s="147"/>
      <c r="D526" s="149"/>
      <c r="E526" s="147"/>
      <c r="F526" s="147"/>
      <c r="G526" s="147"/>
      <c r="H526" s="150"/>
      <c r="I526" s="164"/>
      <c r="J526" s="147"/>
    </row>
    <row r="527" spans="1:10" ht="15.75" customHeight="1">
      <c r="A527" s="146" t="s">
        <v>90</v>
      </c>
      <c r="B527" s="147">
        <v>12</v>
      </c>
      <c r="C527" s="147"/>
      <c r="D527" s="149"/>
      <c r="E527" s="147"/>
      <c r="F527" s="147"/>
      <c r="G527" s="147"/>
      <c r="H527" s="150"/>
      <c r="I527" s="164"/>
      <c r="J527" s="147"/>
    </row>
    <row r="528" spans="1:10" ht="15.75" customHeight="1">
      <c r="A528" s="146" t="s">
        <v>90</v>
      </c>
      <c r="B528" s="147">
        <v>13</v>
      </c>
      <c r="C528" s="147"/>
      <c r="D528" s="149"/>
      <c r="E528" s="147"/>
      <c r="F528" s="147"/>
      <c r="G528" s="147"/>
      <c r="H528" s="150"/>
      <c r="I528" s="164"/>
      <c r="J528" s="147"/>
    </row>
    <row r="529" spans="1:10" ht="15.75" customHeight="1">
      <c r="A529" s="146" t="s">
        <v>90</v>
      </c>
      <c r="B529" s="147">
        <v>14</v>
      </c>
      <c r="C529" s="147"/>
      <c r="D529" s="149"/>
      <c r="E529" s="147"/>
      <c r="F529" s="147"/>
      <c r="G529" s="147"/>
      <c r="H529" s="150"/>
      <c r="I529" s="164"/>
      <c r="J529" s="147"/>
    </row>
    <row r="530" spans="1:10" ht="15.75" customHeight="1">
      <c r="A530" s="146" t="s">
        <v>90</v>
      </c>
      <c r="B530" s="147">
        <v>15</v>
      </c>
      <c r="C530" s="147"/>
      <c r="D530" s="149"/>
      <c r="E530" s="147"/>
      <c r="F530" s="147"/>
      <c r="G530" s="147"/>
      <c r="H530" s="150"/>
      <c r="I530" s="164"/>
      <c r="J530" s="147"/>
    </row>
    <row r="531" spans="1:10" ht="15.75" customHeight="1">
      <c r="A531" s="146" t="s">
        <v>90</v>
      </c>
      <c r="B531" s="147">
        <v>16</v>
      </c>
      <c r="C531" s="147"/>
      <c r="D531" s="149"/>
      <c r="E531" s="147"/>
      <c r="F531" s="147"/>
      <c r="G531" s="147"/>
      <c r="H531" s="150"/>
      <c r="I531" s="164"/>
      <c r="J531" s="147"/>
    </row>
    <row r="532" spans="1:10" ht="15.75" customHeight="1">
      <c r="A532" s="146" t="s">
        <v>90</v>
      </c>
      <c r="B532" s="147">
        <v>17</v>
      </c>
      <c r="C532" s="147"/>
      <c r="D532" s="149"/>
      <c r="E532" s="147"/>
      <c r="F532" s="147"/>
      <c r="G532" s="147"/>
      <c r="H532" s="150"/>
      <c r="I532" s="163"/>
    </row>
    <row r="533" spans="1:10" ht="15.75" customHeight="1">
      <c r="A533" s="146" t="s">
        <v>90</v>
      </c>
      <c r="B533" s="147">
        <v>18</v>
      </c>
      <c r="C533" s="147"/>
      <c r="D533" s="149"/>
      <c r="E533" s="147"/>
      <c r="F533" s="147"/>
      <c r="G533" s="147"/>
      <c r="H533" s="150"/>
      <c r="I533" s="163"/>
      <c r="J533" s="147"/>
    </row>
    <row r="534" spans="1:10" ht="15.75" customHeight="1">
      <c r="A534" s="146" t="s">
        <v>90</v>
      </c>
      <c r="B534" s="147">
        <v>19</v>
      </c>
      <c r="C534" s="147"/>
      <c r="D534" s="149"/>
      <c r="E534" s="147"/>
      <c r="F534" s="147"/>
      <c r="G534" s="147"/>
      <c r="H534" s="150"/>
      <c r="I534" s="164"/>
      <c r="J534" s="147"/>
    </row>
    <row r="535" spans="1:10" ht="15.75" customHeight="1">
      <c r="A535" s="146" t="s">
        <v>90</v>
      </c>
      <c r="B535" s="147">
        <v>20</v>
      </c>
      <c r="C535" s="147"/>
      <c r="D535" s="149"/>
      <c r="E535" s="147"/>
      <c r="F535" s="147"/>
      <c r="G535" s="147"/>
      <c r="H535" s="150"/>
      <c r="I535" s="164"/>
      <c r="J535" s="147"/>
    </row>
    <row r="536" spans="1:10" ht="15.75" customHeight="1">
      <c r="A536" s="146" t="s">
        <v>90</v>
      </c>
      <c r="B536" s="147">
        <v>21</v>
      </c>
      <c r="C536" s="147"/>
      <c r="D536" s="149"/>
      <c r="E536" s="147"/>
      <c r="F536" s="147"/>
      <c r="G536" s="147"/>
      <c r="H536" s="150"/>
      <c r="I536" s="163"/>
      <c r="J536" s="147"/>
    </row>
    <row r="537" spans="1:10" ht="15.75" customHeight="1">
      <c r="A537" s="146" t="s">
        <v>90</v>
      </c>
      <c r="B537" s="147">
        <v>22</v>
      </c>
      <c r="C537" s="147"/>
      <c r="D537" s="149"/>
      <c r="E537" s="147"/>
      <c r="F537" s="147"/>
      <c r="G537" s="147"/>
      <c r="H537" s="150"/>
      <c r="I537" s="163"/>
      <c r="J537" s="147"/>
    </row>
    <row r="538" spans="1:10" ht="15.75" customHeight="1">
      <c r="A538" s="146" t="s">
        <v>90</v>
      </c>
      <c r="B538" s="147">
        <v>23</v>
      </c>
      <c r="C538" s="147"/>
      <c r="D538" s="149"/>
      <c r="E538" s="147"/>
      <c r="F538" s="147"/>
      <c r="G538" s="147"/>
      <c r="H538" s="150"/>
      <c r="I538" s="164"/>
      <c r="J538" s="147"/>
    </row>
    <row r="539" spans="1:10" ht="15.75" customHeight="1">
      <c r="A539" s="146" t="s">
        <v>90</v>
      </c>
      <c r="B539" s="147">
        <v>24</v>
      </c>
      <c r="C539" s="147"/>
      <c r="D539" s="149"/>
      <c r="E539" s="147"/>
      <c r="F539" s="147"/>
      <c r="G539" s="147"/>
      <c r="H539" s="150"/>
      <c r="I539" s="164"/>
      <c r="J539" s="147"/>
    </row>
    <row r="540" spans="1:10" ht="15.75" customHeight="1">
      <c r="A540" s="158"/>
      <c r="B540" s="159"/>
      <c r="C540" s="159"/>
      <c r="D540" s="160"/>
      <c r="E540" s="159"/>
      <c r="F540" s="159"/>
      <c r="G540" s="159"/>
      <c r="H540" s="161"/>
      <c r="I540" s="162"/>
      <c r="J540" s="159"/>
    </row>
    <row r="541" spans="1:10" ht="15.75" customHeight="1">
      <c r="A541" s="146" t="s">
        <v>144</v>
      </c>
      <c r="B541" s="147">
        <v>1</v>
      </c>
      <c r="C541" s="148"/>
      <c r="D541" s="149"/>
      <c r="E541" s="147"/>
      <c r="F541" s="147"/>
      <c r="G541" s="147"/>
      <c r="H541" s="150"/>
      <c r="I541" s="164"/>
      <c r="J541" s="147"/>
    </row>
    <row r="542" spans="1:10" ht="15.75" customHeight="1">
      <c r="A542" s="146" t="s">
        <v>144</v>
      </c>
      <c r="B542" s="147">
        <v>2</v>
      </c>
      <c r="C542" s="148"/>
      <c r="D542" s="149"/>
      <c r="E542" s="147"/>
      <c r="F542" s="147"/>
      <c r="G542" s="147"/>
      <c r="H542" s="150"/>
      <c r="I542" s="164"/>
      <c r="J542" s="147"/>
    </row>
    <row r="543" spans="1:10" ht="15.75" customHeight="1">
      <c r="A543" s="146" t="s">
        <v>144</v>
      </c>
      <c r="B543" s="147">
        <v>3</v>
      </c>
      <c r="C543" s="148"/>
      <c r="D543" s="149"/>
      <c r="E543" s="147"/>
      <c r="F543" s="147"/>
      <c r="G543" s="147"/>
      <c r="H543" s="150"/>
      <c r="I543" s="164"/>
      <c r="J543" s="147"/>
    </row>
    <row r="544" spans="1:10" ht="15.75" customHeight="1">
      <c r="A544" s="146" t="s">
        <v>144</v>
      </c>
      <c r="B544" s="147">
        <v>4</v>
      </c>
      <c r="C544" s="148"/>
      <c r="D544" s="149"/>
      <c r="E544" s="147"/>
      <c r="F544" s="147"/>
      <c r="G544" s="147"/>
      <c r="H544" s="150"/>
      <c r="I544" s="164"/>
      <c r="J544" s="147"/>
    </row>
    <row r="545" spans="1:10" ht="15.75" customHeight="1">
      <c r="A545" s="146" t="s">
        <v>144</v>
      </c>
      <c r="B545" s="147">
        <v>5</v>
      </c>
      <c r="C545" s="148"/>
      <c r="D545" s="149"/>
      <c r="E545" s="147"/>
      <c r="F545" s="147"/>
      <c r="G545" s="147"/>
      <c r="H545" s="150"/>
      <c r="I545" s="164"/>
      <c r="J545" s="147"/>
    </row>
    <row r="546" spans="1:10" ht="15.75" customHeight="1">
      <c r="A546" s="146" t="s">
        <v>144</v>
      </c>
      <c r="B546" s="147">
        <v>6</v>
      </c>
      <c r="C546" s="148"/>
      <c r="D546" s="149"/>
      <c r="E546" s="147"/>
      <c r="F546" s="147"/>
      <c r="G546" s="147"/>
      <c r="H546" s="150"/>
      <c r="I546" s="164"/>
      <c r="J546" s="147"/>
    </row>
    <row r="547" spans="1:10" ht="15.75" customHeight="1">
      <c r="A547" s="146" t="s">
        <v>144</v>
      </c>
      <c r="B547" s="147">
        <v>7</v>
      </c>
      <c r="C547" s="148"/>
      <c r="D547" s="149"/>
      <c r="E547" s="147"/>
      <c r="F547" s="147"/>
      <c r="G547" s="147"/>
      <c r="H547" s="150"/>
      <c r="I547" s="164"/>
      <c r="J547" s="147"/>
    </row>
    <row r="548" spans="1:10" ht="15.75" customHeight="1">
      <c r="A548" s="146" t="s">
        <v>144</v>
      </c>
      <c r="B548" s="147">
        <v>8</v>
      </c>
      <c r="C548" s="148"/>
      <c r="D548" s="149"/>
      <c r="E548" s="147"/>
      <c r="F548" s="147"/>
      <c r="G548" s="147"/>
      <c r="H548" s="150"/>
      <c r="I548" s="164"/>
      <c r="J548" s="147"/>
    </row>
    <row r="549" spans="1:10" ht="15.75" customHeight="1">
      <c r="A549" s="146" t="s">
        <v>144</v>
      </c>
      <c r="B549" s="147">
        <v>9</v>
      </c>
      <c r="C549" s="148"/>
      <c r="D549" s="149"/>
      <c r="E549" s="147"/>
      <c r="F549" s="147"/>
      <c r="G549" s="147"/>
      <c r="H549" s="150"/>
      <c r="I549" s="164"/>
      <c r="J549" s="147"/>
    </row>
    <row r="550" spans="1:10" ht="15.75" customHeight="1">
      <c r="A550" s="146" t="s">
        <v>144</v>
      </c>
      <c r="B550" s="147">
        <v>10</v>
      </c>
      <c r="C550" s="148"/>
      <c r="D550" s="149"/>
      <c r="E550" s="147"/>
      <c r="F550" s="147"/>
      <c r="G550" s="147"/>
      <c r="H550" s="150"/>
      <c r="I550" s="164"/>
      <c r="J550" s="147"/>
    </row>
    <row r="551" spans="1:10" ht="15.75" customHeight="1">
      <c r="A551" s="146" t="s">
        <v>144</v>
      </c>
      <c r="B551" s="147">
        <v>11</v>
      </c>
      <c r="C551" s="148"/>
      <c r="D551" s="149"/>
      <c r="E551" s="147"/>
      <c r="F551" s="147"/>
      <c r="G551" s="147"/>
      <c r="H551" s="150"/>
      <c r="I551" s="164"/>
      <c r="J551" s="147"/>
    </row>
    <row r="552" spans="1:10" ht="15.75" customHeight="1">
      <c r="A552" s="146" t="s">
        <v>144</v>
      </c>
      <c r="B552" s="147">
        <v>12</v>
      </c>
      <c r="C552" s="148"/>
      <c r="D552" s="149"/>
      <c r="E552" s="147"/>
      <c r="F552" s="147"/>
      <c r="G552" s="147"/>
      <c r="H552" s="150"/>
      <c r="I552" s="164"/>
      <c r="J552" s="147"/>
    </row>
    <row r="553" spans="1:10" ht="15.75" customHeight="1">
      <c r="A553" s="146" t="s">
        <v>144</v>
      </c>
      <c r="B553" s="147">
        <v>13</v>
      </c>
      <c r="C553" s="148"/>
      <c r="D553" s="149"/>
      <c r="E553" s="147"/>
      <c r="F553" s="147"/>
      <c r="G553" s="147"/>
      <c r="H553" s="150"/>
      <c r="I553" s="164"/>
      <c r="J553" s="147"/>
    </row>
    <row r="554" spans="1:10" ht="15.75" customHeight="1">
      <c r="A554" s="146" t="s">
        <v>144</v>
      </c>
      <c r="B554" s="147">
        <v>14</v>
      </c>
      <c r="C554" s="148"/>
      <c r="D554" s="149"/>
      <c r="E554" s="147"/>
      <c r="F554" s="147"/>
      <c r="G554" s="147"/>
      <c r="H554" s="150"/>
      <c r="I554" s="164"/>
      <c r="J554" s="147"/>
    </row>
    <row r="555" spans="1:10" ht="15.75" customHeight="1">
      <c r="A555" s="146" t="s">
        <v>144</v>
      </c>
      <c r="B555" s="147">
        <v>15</v>
      </c>
      <c r="C555" s="148"/>
      <c r="D555" s="149"/>
      <c r="E555" s="147"/>
      <c r="F555" s="147"/>
      <c r="G555" s="147"/>
      <c r="H555" s="150"/>
      <c r="I555" s="164"/>
      <c r="J555" s="147"/>
    </row>
    <row r="556" spans="1:10" ht="15.75" customHeight="1">
      <c r="A556" s="146" t="s">
        <v>144</v>
      </c>
      <c r="B556" s="147">
        <v>16</v>
      </c>
      <c r="C556" s="148"/>
      <c r="D556" s="149"/>
      <c r="E556" s="147"/>
      <c r="F556" s="147"/>
      <c r="G556" s="147"/>
      <c r="H556" s="150"/>
      <c r="I556" s="164"/>
      <c r="J556" s="147"/>
    </row>
    <row r="557" spans="1:10" ht="15.75" customHeight="1">
      <c r="A557" s="146" t="s">
        <v>144</v>
      </c>
      <c r="B557" s="147">
        <v>17</v>
      </c>
      <c r="C557" s="148"/>
      <c r="D557" s="149"/>
      <c r="E557" s="147"/>
      <c r="F557" s="147"/>
      <c r="G557" s="147"/>
      <c r="H557" s="150"/>
      <c r="I557" s="164"/>
      <c r="J557" s="147"/>
    </row>
    <row r="558" spans="1:10" ht="15.75" customHeight="1">
      <c r="A558" s="146" t="s">
        <v>144</v>
      </c>
      <c r="B558" s="147">
        <v>18</v>
      </c>
      <c r="C558" s="148"/>
      <c r="D558" s="149"/>
      <c r="E558" s="147"/>
      <c r="F558" s="147"/>
      <c r="G558" s="147"/>
      <c r="H558" s="150"/>
      <c r="I558" s="164"/>
      <c r="J558" s="147"/>
    </row>
    <row r="559" spans="1:10" ht="15.75" customHeight="1">
      <c r="A559" s="146" t="s">
        <v>144</v>
      </c>
      <c r="B559" s="147">
        <v>19</v>
      </c>
      <c r="C559" s="148"/>
      <c r="D559" s="149"/>
      <c r="E559" s="147"/>
      <c r="F559" s="147"/>
      <c r="G559" s="147"/>
      <c r="H559" s="150"/>
      <c r="I559" s="164"/>
      <c r="J559" s="147"/>
    </row>
    <row r="560" spans="1:10" ht="15.75" customHeight="1">
      <c r="A560" s="146" t="s">
        <v>144</v>
      </c>
      <c r="B560" s="147">
        <v>20</v>
      </c>
      <c r="C560" s="148"/>
      <c r="D560" s="149"/>
      <c r="E560" s="147"/>
      <c r="F560" s="147"/>
      <c r="G560" s="147"/>
      <c r="H560" s="150"/>
      <c r="I560" s="164"/>
      <c r="J560" s="147"/>
    </row>
    <row r="561" spans="1:10" ht="15.75" customHeight="1">
      <c r="A561" s="146" t="s">
        <v>144</v>
      </c>
      <c r="B561" s="147">
        <v>21</v>
      </c>
      <c r="C561" s="148"/>
      <c r="D561" s="149"/>
      <c r="E561" s="147"/>
      <c r="F561" s="147"/>
      <c r="G561" s="147"/>
      <c r="H561" s="150"/>
      <c r="I561" s="164"/>
      <c r="J561" s="147"/>
    </row>
    <row r="562" spans="1:10" ht="15.75" customHeight="1">
      <c r="A562" s="146" t="s">
        <v>144</v>
      </c>
      <c r="B562" s="147">
        <v>22</v>
      </c>
      <c r="C562" s="148"/>
      <c r="D562" s="149"/>
      <c r="E562" s="147"/>
      <c r="F562" s="147"/>
      <c r="G562" s="147"/>
      <c r="H562" s="150"/>
      <c r="I562" s="164"/>
      <c r="J562" s="147"/>
    </row>
    <row r="563" spans="1:10" ht="15.75" customHeight="1">
      <c r="A563" s="146" t="s">
        <v>144</v>
      </c>
      <c r="B563" s="147">
        <v>23</v>
      </c>
      <c r="C563" s="148"/>
      <c r="D563" s="149"/>
      <c r="E563" s="147"/>
      <c r="F563" s="147"/>
      <c r="G563" s="147"/>
      <c r="H563" s="150"/>
      <c r="I563" s="164"/>
      <c r="J563" s="147"/>
    </row>
    <row r="564" spans="1:10" ht="15.75" customHeight="1">
      <c r="A564" s="158"/>
      <c r="B564" s="159"/>
      <c r="C564" s="159"/>
      <c r="D564" s="160"/>
      <c r="E564" s="159"/>
      <c r="F564" s="159"/>
      <c r="G564" s="159"/>
      <c r="H564" s="161"/>
      <c r="I564" s="162"/>
      <c r="J564" s="159"/>
    </row>
    <row r="565" spans="1:10" ht="15.75" customHeight="1">
      <c r="A565" s="146" t="s">
        <v>188</v>
      </c>
      <c r="B565" s="147">
        <v>1</v>
      </c>
      <c r="C565" s="148"/>
      <c r="D565" s="149"/>
      <c r="E565" s="147"/>
      <c r="F565" s="147"/>
      <c r="G565" s="147"/>
      <c r="H565" s="150"/>
      <c r="I565" s="164"/>
      <c r="J565" s="147"/>
    </row>
    <row r="566" spans="1:10" ht="15.75" customHeight="1">
      <c r="A566" s="146" t="s">
        <v>188</v>
      </c>
      <c r="B566" s="147">
        <v>2</v>
      </c>
      <c r="C566" s="148"/>
      <c r="D566" s="149"/>
      <c r="E566" s="147"/>
      <c r="F566" s="147"/>
      <c r="G566" s="147"/>
      <c r="H566" s="150"/>
      <c r="I566" s="164"/>
      <c r="J566" s="147"/>
    </row>
    <row r="567" spans="1:10" ht="15.75" customHeight="1">
      <c r="A567" s="146" t="s">
        <v>188</v>
      </c>
      <c r="B567" s="147">
        <v>3</v>
      </c>
      <c r="C567" s="148"/>
      <c r="D567" s="149"/>
      <c r="E567" s="147"/>
      <c r="F567" s="147"/>
      <c r="G567" s="147"/>
      <c r="H567" s="150"/>
      <c r="I567" s="164"/>
      <c r="J567" s="147"/>
    </row>
    <row r="568" spans="1:10" ht="15.75" customHeight="1">
      <c r="A568" s="146" t="s">
        <v>188</v>
      </c>
      <c r="B568" s="147">
        <v>4</v>
      </c>
      <c r="C568" s="148"/>
      <c r="D568" s="149"/>
      <c r="E568" s="147"/>
      <c r="F568" s="147"/>
      <c r="G568" s="147"/>
      <c r="H568" s="150"/>
      <c r="I568" s="164"/>
      <c r="J568" s="147"/>
    </row>
    <row r="569" spans="1:10" ht="15.75" customHeight="1">
      <c r="A569" s="146" t="s">
        <v>188</v>
      </c>
      <c r="B569" s="147">
        <v>5</v>
      </c>
      <c r="C569" s="148"/>
      <c r="D569" s="149"/>
      <c r="E569" s="147"/>
      <c r="F569" s="147"/>
      <c r="G569" s="147"/>
      <c r="H569" s="150"/>
      <c r="I569" s="151"/>
      <c r="J569" s="152"/>
    </row>
    <row r="570" spans="1:10" ht="15.75" customHeight="1">
      <c r="A570" s="146" t="s">
        <v>188</v>
      </c>
      <c r="B570" s="147">
        <v>6</v>
      </c>
      <c r="C570" s="148"/>
      <c r="D570" s="149"/>
      <c r="E570" s="147"/>
      <c r="F570" s="147"/>
      <c r="G570" s="147"/>
      <c r="H570" s="150"/>
      <c r="I570" s="164"/>
      <c r="J570" s="147"/>
    </row>
    <row r="571" spans="1:10" ht="15.75" customHeight="1">
      <c r="A571" s="146" t="s">
        <v>188</v>
      </c>
      <c r="B571" s="147">
        <v>7</v>
      </c>
      <c r="C571" s="148"/>
      <c r="D571" s="149"/>
      <c r="E571" s="147"/>
      <c r="F571" s="147"/>
      <c r="G571" s="147"/>
      <c r="H571" s="150"/>
      <c r="I571" s="164"/>
      <c r="J571" s="147"/>
    </row>
    <row r="572" spans="1:10" ht="15.75" customHeight="1">
      <c r="A572" s="146" t="s">
        <v>188</v>
      </c>
      <c r="B572" s="147">
        <v>8</v>
      </c>
      <c r="C572" s="148"/>
      <c r="D572" s="149"/>
      <c r="E572" s="147"/>
      <c r="F572" s="147"/>
      <c r="G572" s="147"/>
      <c r="H572" s="150"/>
      <c r="I572" s="164"/>
      <c r="J572" s="147"/>
    </row>
    <row r="573" spans="1:10" ht="15.75" customHeight="1">
      <c r="A573" s="146" t="s">
        <v>188</v>
      </c>
      <c r="B573" s="147">
        <v>9</v>
      </c>
      <c r="C573" s="148"/>
      <c r="D573" s="149"/>
      <c r="E573" s="147"/>
      <c r="F573" s="147"/>
      <c r="G573" s="147"/>
      <c r="H573" s="150"/>
      <c r="I573" s="164"/>
      <c r="J573" s="147"/>
    </row>
    <row r="574" spans="1:10" ht="15.75" customHeight="1">
      <c r="A574" s="146" t="s">
        <v>188</v>
      </c>
      <c r="B574" s="147">
        <v>10</v>
      </c>
      <c r="C574" s="148"/>
      <c r="D574" s="149"/>
      <c r="E574" s="147"/>
      <c r="F574" s="147"/>
      <c r="G574" s="147"/>
      <c r="H574" s="150"/>
      <c r="I574" s="164"/>
      <c r="J574" s="147"/>
    </row>
    <row r="575" spans="1:10" ht="15.75" customHeight="1">
      <c r="A575" s="146" t="s">
        <v>188</v>
      </c>
      <c r="B575" s="147">
        <v>11</v>
      </c>
      <c r="C575" s="148"/>
      <c r="D575" s="149"/>
      <c r="E575" s="147"/>
      <c r="F575" s="147"/>
      <c r="G575" s="147"/>
      <c r="H575" s="150"/>
      <c r="I575" s="164"/>
      <c r="J575" s="147"/>
    </row>
    <row r="576" spans="1:10" ht="15.75" customHeight="1">
      <c r="A576" s="146" t="s">
        <v>188</v>
      </c>
      <c r="B576" s="147">
        <v>12</v>
      </c>
      <c r="C576" s="148"/>
      <c r="D576" s="149"/>
      <c r="E576" s="147"/>
      <c r="F576" s="147"/>
      <c r="G576" s="147"/>
      <c r="H576" s="150"/>
      <c r="I576" s="164"/>
      <c r="J576" s="147"/>
    </row>
    <row r="577" spans="1:10" ht="15.75" customHeight="1">
      <c r="A577" s="146" t="s">
        <v>188</v>
      </c>
      <c r="B577" s="147">
        <v>13</v>
      </c>
      <c r="C577" s="148"/>
      <c r="D577" s="149"/>
      <c r="E577" s="147"/>
      <c r="F577" s="147"/>
      <c r="G577" s="147"/>
      <c r="H577" s="150"/>
      <c r="I577" s="164"/>
      <c r="J577" s="147"/>
    </row>
    <row r="578" spans="1:10" ht="15.75" customHeight="1">
      <c r="A578" s="146" t="s">
        <v>188</v>
      </c>
      <c r="B578" s="147">
        <v>14</v>
      </c>
      <c r="C578" s="148"/>
      <c r="D578" s="149"/>
      <c r="E578" s="147"/>
      <c r="F578" s="147"/>
      <c r="G578" s="147"/>
      <c r="H578" s="150"/>
      <c r="I578" s="164"/>
      <c r="J578" s="147"/>
    </row>
    <row r="579" spans="1:10" ht="15.75" customHeight="1">
      <c r="A579" s="146" t="s">
        <v>188</v>
      </c>
      <c r="B579" s="147">
        <v>15</v>
      </c>
      <c r="C579" s="148"/>
      <c r="D579" s="149"/>
      <c r="E579" s="147"/>
      <c r="F579" s="147"/>
      <c r="G579" s="147"/>
      <c r="H579" s="150"/>
      <c r="I579" s="164"/>
      <c r="J579" s="147"/>
    </row>
    <row r="580" spans="1:10" ht="15.75" customHeight="1">
      <c r="A580" s="146" t="s">
        <v>188</v>
      </c>
      <c r="B580" s="147">
        <v>16</v>
      </c>
      <c r="C580" s="148"/>
      <c r="D580" s="149"/>
      <c r="E580" s="147"/>
      <c r="F580" s="147"/>
      <c r="G580" s="147"/>
      <c r="H580" s="150"/>
      <c r="I580" s="164"/>
      <c r="J580" s="147"/>
    </row>
    <row r="581" spans="1:10" ht="15.75" customHeight="1">
      <c r="A581" s="146" t="s">
        <v>188</v>
      </c>
      <c r="B581" s="147">
        <v>17</v>
      </c>
      <c r="C581" s="148"/>
      <c r="D581" s="149"/>
      <c r="E581" s="147"/>
      <c r="F581" s="147"/>
      <c r="G581" s="147"/>
      <c r="H581" s="150"/>
      <c r="I581" s="164"/>
      <c r="J581" s="147"/>
    </row>
    <row r="582" spans="1:10" ht="15.75" customHeight="1">
      <c r="A582" s="146" t="s">
        <v>188</v>
      </c>
      <c r="B582" s="147">
        <v>18</v>
      </c>
      <c r="C582" s="148"/>
      <c r="D582" s="149"/>
      <c r="E582" s="147"/>
      <c r="F582" s="147"/>
      <c r="G582" s="147"/>
      <c r="H582" s="150"/>
      <c r="I582" s="164"/>
      <c r="J582" s="147"/>
    </row>
    <row r="583" spans="1:10" ht="15.75" customHeight="1">
      <c r="A583" s="146" t="s">
        <v>188</v>
      </c>
      <c r="B583" s="147">
        <v>19</v>
      </c>
      <c r="C583" s="148"/>
      <c r="D583" s="149"/>
      <c r="E583" s="147"/>
      <c r="F583" s="147"/>
      <c r="G583" s="147"/>
      <c r="H583" s="150"/>
      <c r="I583" s="164"/>
      <c r="J583" s="147"/>
    </row>
    <row r="584" spans="1:10" ht="15.75" customHeight="1">
      <c r="A584" s="146" t="s">
        <v>188</v>
      </c>
      <c r="B584" s="147">
        <v>20</v>
      </c>
      <c r="C584" s="148"/>
      <c r="D584" s="149"/>
      <c r="E584" s="147"/>
      <c r="F584" s="147"/>
      <c r="G584" s="147"/>
      <c r="H584" s="150"/>
      <c r="I584" s="164"/>
      <c r="J584" s="147"/>
    </row>
    <row r="585" spans="1:10" ht="15.75" customHeight="1">
      <c r="A585" s="146" t="s">
        <v>188</v>
      </c>
      <c r="B585" s="147">
        <v>21</v>
      </c>
      <c r="C585" s="148"/>
      <c r="D585" s="149"/>
      <c r="E585" s="147"/>
      <c r="F585" s="147"/>
      <c r="G585" s="147"/>
      <c r="H585" s="150"/>
      <c r="I585" s="164"/>
      <c r="J585" s="147"/>
    </row>
    <row r="586" spans="1:10" ht="15.75" customHeight="1">
      <c r="A586" s="146" t="s">
        <v>188</v>
      </c>
      <c r="B586" s="147">
        <v>22</v>
      </c>
      <c r="C586" s="148"/>
      <c r="D586" s="149"/>
      <c r="E586" s="147"/>
      <c r="F586" s="147"/>
      <c r="G586" s="147"/>
      <c r="H586" s="150"/>
      <c r="I586" s="164"/>
      <c r="J586" s="147"/>
    </row>
    <row r="587" spans="1:10" ht="15.75" customHeight="1">
      <c r="A587" s="146" t="s">
        <v>188</v>
      </c>
      <c r="B587" s="147">
        <v>23</v>
      </c>
      <c r="C587" s="148"/>
      <c r="D587" s="149"/>
      <c r="E587" s="147"/>
      <c r="F587" s="147"/>
      <c r="G587" s="147"/>
      <c r="H587" s="150"/>
      <c r="I587" s="164"/>
      <c r="J587" s="147"/>
    </row>
    <row r="588" spans="1:10" ht="15.75" customHeight="1">
      <c r="A588" s="158"/>
      <c r="B588" s="159"/>
      <c r="C588" s="159"/>
      <c r="D588" s="160"/>
      <c r="E588" s="159"/>
      <c r="F588" s="159"/>
      <c r="G588" s="159"/>
      <c r="H588" s="161"/>
      <c r="I588" s="162"/>
      <c r="J588" s="159"/>
    </row>
    <row r="589" spans="1:10" ht="15.75" customHeight="1">
      <c r="A589" s="147"/>
      <c r="B589" s="147"/>
      <c r="C589" s="147"/>
      <c r="D589" s="149"/>
      <c r="E589" s="147"/>
      <c r="F589" s="147"/>
      <c r="G589" s="147"/>
      <c r="H589" s="150"/>
      <c r="I589" s="164"/>
      <c r="J589" s="147"/>
    </row>
    <row r="590" spans="1:10" ht="15.75" customHeight="1">
      <c r="A590" s="147"/>
      <c r="B590" s="147"/>
      <c r="C590" s="147"/>
      <c r="D590" s="149"/>
      <c r="E590" s="147"/>
      <c r="F590" s="147"/>
      <c r="G590" s="165" t="s">
        <v>4801</v>
      </c>
      <c r="H590" s="165" t="s">
        <v>4802</v>
      </c>
      <c r="I590" s="166" t="s">
        <v>4803</v>
      </c>
      <c r="J590" s="165" t="s">
        <v>4804</v>
      </c>
    </row>
    <row r="591" spans="1:10" ht="15.75" customHeight="1">
      <c r="A591" s="147"/>
      <c r="B591" s="147"/>
      <c r="C591" s="147"/>
      <c r="D591" s="149"/>
      <c r="E591" s="147"/>
      <c r="F591" s="147"/>
      <c r="G591" s="147"/>
      <c r="H591" s="150"/>
      <c r="I591" s="164"/>
      <c r="J591" s="147"/>
    </row>
    <row r="592" spans="1:10" ht="15.75" customHeight="1">
      <c r="A592" s="268" t="s">
        <v>3238</v>
      </c>
      <c r="B592" s="269"/>
      <c r="C592" s="269"/>
      <c r="D592" s="269"/>
      <c r="E592" s="269"/>
      <c r="F592" s="269"/>
      <c r="G592" s="269"/>
      <c r="H592" s="269"/>
      <c r="I592" s="269"/>
      <c r="J592" s="270"/>
    </row>
    <row r="593" spans="1:10" ht="15.75" customHeight="1">
      <c r="A593" s="142" t="s">
        <v>23</v>
      </c>
      <c r="B593" s="142" t="s">
        <v>24</v>
      </c>
      <c r="C593" s="142" t="s">
        <v>4796</v>
      </c>
      <c r="D593" s="143" t="s">
        <v>27</v>
      </c>
      <c r="E593" s="142" t="s">
        <v>4797</v>
      </c>
      <c r="F593" s="142" t="s">
        <v>835</v>
      </c>
      <c r="G593" s="142" t="s">
        <v>4798</v>
      </c>
      <c r="H593" s="144" t="s">
        <v>30</v>
      </c>
      <c r="I593" s="145" t="s">
        <v>4799</v>
      </c>
      <c r="J593" s="142" t="s">
        <v>4800</v>
      </c>
    </row>
    <row r="594" spans="1:10" ht="15.75" customHeight="1">
      <c r="A594" s="146" t="s">
        <v>35</v>
      </c>
      <c r="B594" s="147">
        <v>1</v>
      </c>
      <c r="C594" s="148"/>
      <c r="D594" s="149"/>
      <c r="E594" s="147"/>
      <c r="F594" s="147"/>
      <c r="G594" s="147"/>
      <c r="H594" s="150"/>
      <c r="I594" s="151"/>
      <c r="J594" s="152"/>
    </row>
    <row r="595" spans="1:10" ht="15.75" customHeight="1">
      <c r="A595" s="146" t="s">
        <v>35</v>
      </c>
      <c r="B595" s="147">
        <v>2</v>
      </c>
      <c r="C595" s="148"/>
      <c r="D595" s="149"/>
      <c r="E595" s="147"/>
      <c r="F595" s="147"/>
      <c r="G595" s="147"/>
      <c r="H595" s="150"/>
      <c r="I595" s="151"/>
      <c r="J595" s="152"/>
    </row>
    <row r="596" spans="1:10" ht="15.75" customHeight="1">
      <c r="A596" s="146" t="s">
        <v>35</v>
      </c>
      <c r="B596" s="147">
        <v>3</v>
      </c>
      <c r="C596" s="148"/>
      <c r="D596" s="149"/>
      <c r="E596" s="147"/>
      <c r="F596" s="147"/>
      <c r="G596" s="147"/>
      <c r="H596" s="150"/>
      <c r="I596" s="151"/>
      <c r="J596" s="153"/>
    </row>
    <row r="597" spans="1:10" ht="15.75" customHeight="1">
      <c r="A597" s="146" t="s">
        <v>35</v>
      </c>
      <c r="B597" s="147">
        <v>4</v>
      </c>
      <c r="C597" s="148"/>
      <c r="D597" s="149"/>
      <c r="E597" s="147"/>
      <c r="F597" s="147"/>
      <c r="G597" s="147"/>
      <c r="H597" s="150"/>
      <c r="I597" s="151"/>
      <c r="J597" s="153"/>
    </row>
    <row r="598" spans="1:10" ht="15.75" customHeight="1">
      <c r="A598" s="146" t="s">
        <v>35</v>
      </c>
      <c r="B598" s="147">
        <v>5</v>
      </c>
      <c r="C598" s="148"/>
      <c r="D598" s="149"/>
      <c r="E598" s="147"/>
      <c r="F598" s="147"/>
      <c r="G598" s="147"/>
      <c r="H598" s="150"/>
      <c r="I598" s="151"/>
      <c r="J598" s="153"/>
    </row>
    <row r="599" spans="1:10" ht="15.75" customHeight="1">
      <c r="A599" s="146" t="s">
        <v>35</v>
      </c>
      <c r="B599" s="147">
        <v>6</v>
      </c>
      <c r="C599" s="148"/>
      <c r="D599" s="149"/>
      <c r="E599" s="147"/>
      <c r="F599" s="147"/>
      <c r="G599" s="147"/>
      <c r="H599" s="150"/>
      <c r="I599" s="151"/>
      <c r="J599" s="153"/>
    </row>
    <row r="600" spans="1:10" ht="15.75" customHeight="1">
      <c r="A600" s="154" t="s">
        <v>35</v>
      </c>
      <c r="B600" s="152">
        <v>7</v>
      </c>
      <c r="C600" s="152"/>
      <c r="D600" s="152"/>
      <c r="E600" s="152"/>
      <c r="F600" s="152"/>
      <c r="G600" s="152"/>
      <c r="H600" s="155"/>
      <c r="I600" s="151"/>
      <c r="J600" s="152"/>
    </row>
    <row r="601" spans="1:10" ht="15.75" customHeight="1">
      <c r="A601" s="154" t="s">
        <v>35</v>
      </c>
      <c r="B601" s="152">
        <v>8</v>
      </c>
      <c r="C601" s="152"/>
      <c r="D601" s="152"/>
      <c r="E601" s="152"/>
      <c r="F601" s="152"/>
      <c r="G601" s="152"/>
      <c r="H601" s="155"/>
      <c r="I601" s="151"/>
      <c r="J601" s="152"/>
    </row>
    <row r="602" spans="1:10" ht="15.75" customHeight="1">
      <c r="A602" s="154" t="s">
        <v>35</v>
      </c>
      <c r="B602" s="152">
        <v>9</v>
      </c>
      <c r="C602" s="156"/>
      <c r="D602" s="153"/>
      <c r="E602" s="152"/>
      <c r="F602" s="152"/>
      <c r="G602" s="152"/>
      <c r="H602" s="155"/>
      <c r="I602" s="151"/>
      <c r="J602" s="153"/>
    </row>
    <row r="603" spans="1:10" ht="15.75" customHeight="1">
      <c r="A603" s="154" t="s">
        <v>35</v>
      </c>
      <c r="B603" s="152">
        <v>10</v>
      </c>
      <c r="C603" s="156"/>
      <c r="D603" s="153"/>
      <c r="E603" s="152"/>
      <c r="F603" s="152"/>
      <c r="G603" s="152"/>
      <c r="H603" s="155"/>
      <c r="I603" s="151"/>
      <c r="J603" s="153"/>
    </row>
    <row r="604" spans="1:10" ht="15.75" customHeight="1">
      <c r="A604" s="154" t="s">
        <v>35</v>
      </c>
      <c r="B604" s="152">
        <v>11</v>
      </c>
      <c r="C604" s="156"/>
      <c r="D604" s="153"/>
      <c r="E604" s="152"/>
      <c r="F604" s="152"/>
      <c r="G604" s="152"/>
      <c r="H604" s="155"/>
      <c r="I604" s="151"/>
      <c r="J604" s="153"/>
    </row>
    <row r="605" spans="1:10" ht="15.75" customHeight="1">
      <c r="A605" s="154" t="s">
        <v>35</v>
      </c>
      <c r="B605" s="152">
        <v>12</v>
      </c>
      <c r="C605" s="156"/>
      <c r="D605" s="153"/>
      <c r="E605" s="152"/>
      <c r="F605" s="152"/>
      <c r="G605" s="152"/>
      <c r="H605" s="155"/>
      <c r="I605" s="151"/>
      <c r="J605" s="153"/>
    </row>
    <row r="606" spans="1:10" ht="15.75" customHeight="1">
      <c r="A606" s="154" t="s">
        <v>35</v>
      </c>
      <c r="B606" s="152">
        <v>13</v>
      </c>
      <c r="C606" s="156"/>
      <c r="D606" s="153"/>
      <c r="E606" s="152"/>
      <c r="F606" s="152"/>
      <c r="G606" s="152"/>
      <c r="H606" s="155"/>
      <c r="I606" s="151"/>
      <c r="J606" s="153"/>
    </row>
    <row r="607" spans="1:10" ht="15.75" customHeight="1">
      <c r="A607" s="154" t="s">
        <v>35</v>
      </c>
      <c r="B607" s="152">
        <v>14</v>
      </c>
      <c r="C607" s="156"/>
      <c r="D607" s="153"/>
      <c r="E607" s="152"/>
      <c r="F607" s="152"/>
      <c r="G607" s="152"/>
      <c r="H607" s="155"/>
      <c r="I607" s="151"/>
      <c r="J607" s="153"/>
    </row>
    <row r="608" spans="1:10" ht="15.75" customHeight="1">
      <c r="A608" s="154" t="s">
        <v>35</v>
      </c>
      <c r="B608" s="152">
        <v>15</v>
      </c>
      <c r="C608" s="156"/>
      <c r="D608" s="153"/>
      <c r="E608" s="152"/>
      <c r="F608" s="152"/>
      <c r="G608" s="152"/>
      <c r="H608" s="155"/>
      <c r="I608" s="151"/>
      <c r="J608" s="152"/>
    </row>
    <row r="609" spans="1:10" ht="15.75" customHeight="1">
      <c r="A609" s="154" t="s">
        <v>35</v>
      </c>
      <c r="B609" s="152">
        <v>16</v>
      </c>
      <c r="C609" s="156"/>
      <c r="D609" s="153"/>
      <c r="E609" s="152"/>
      <c r="F609" s="152"/>
      <c r="G609" s="152"/>
      <c r="H609" s="155"/>
      <c r="I609" s="151"/>
      <c r="J609" s="152"/>
    </row>
    <row r="610" spans="1:10" ht="15.75" customHeight="1">
      <c r="A610" s="154" t="s">
        <v>35</v>
      </c>
      <c r="B610" s="152">
        <v>17</v>
      </c>
      <c r="C610" s="152"/>
      <c r="D610" s="152"/>
      <c r="E610" s="152"/>
      <c r="F610" s="152"/>
      <c r="G610" s="152"/>
      <c r="H610" s="155"/>
      <c r="I610" s="151"/>
      <c r="J610" s="152"/>
    </row>
    <row r="611" spans="1:10" ht="15.75" customHeight="1">
      <c r="A611" s="154" t="s">
        <v>35</v>
      </c>
      <c r="B611" s="152">
        <v>18</v>
      </c>
      <c r="C611" s="152"/>
      <c r="D611" s="152"/>
      <c r="E611" s="152"/>
      <c r="F611" s="152"/>
      <c r="G611" s="152"/>
      <c r="H611" s="155"/>
      <c r="I611" s="151"/>
      <c r="J611" s="152"/>
    </row>
    <row r="612" spans="1:10" ht="15.75" customHeight="1">
      <c r="A612" s="154" t="s">
        <v>35</v>
      </c>
      <c r="B612" s="152">
        <v>19</v>
      </c>
      <c r="C612" s="155"/>
      <c r="D612" s="153"/>
      <c r="E612" s="152"/>
      <c r="F612" s="152"/>
      <c r="G612" s="152"/>
      <c r="H612" s="155"/>
      <c r="I612" s="151"/>
      <c r="J612" s="152"/>
    </row>
    <row r="613" spans="1:10" ht="15.75" customHeight="1">
      <c r="A613" s="154" t="s">
        <v>35</v>
      </c>
      <c r="B613" s="152">
        <v>20</v>
      </c>
      <c r="C613" s="155"/>
      <c r="D613" s="153"/>
      <c r="E613" s="152"/>
      <c r="F613" s="152"/>
      <c r="G613" s="152"/>
      <c r="H613" s="155"/>
      <c r="I613" s="151"/>
      <c r="J613" s="152"/>
    </row>
    <row r="614" spans="1:10" ht="15.75" customHeight="1">
      <c r="A614" s="154" t="s">
        <v>35</v>
      </c>
      <c r="B614" s="152">
        <v>21</v>
      </c>
      <c r="C614" s="156"/>
      <c r="D614" s="153"/>
      <c r="E614" s="152"/>
      <c r="F614" s="152"/>
      <c r="G614" s="152"/>
      <c r="H614" s="157"/>
      <c r="I614" s="151"/>
      <c r="J614" s="152"/>
    </row>
    <row r="615" spans="1:10" ht="15.75" customHeight="1">
      <c r="A615" s="154" t="s">
        <v>35</v>
      </c>
      <c r="B615" s="152">
        <v>22</v>
      </c>
      <c r="C615" s="156"/>
      <c r="D615" s="153"/>
      <c r="E615" s="152"/>
      <c r="F615" s="152"/>
      <c r="G615" s="152"/>
      <c r="H615" s="157"/>
      <c r="I615" s="151"/>
      <c r="J615" s="152"/>
    </row>
    <row r="616" spans="1:10" ht="15.75" customHeight="1">
      <c r="A616" s="154" t="s">
        <v>35</v>
      </c>
      <c r="B616" s="152">
        <v>23</v>
      </c>
      <c r="C616" s="155"/>
      <c r="D616" s="153"/>
      <c r="E616" s="152"/>
      <c r="F616" s="152"/>
      <c r="G616" s="152"/>
      <c r="H616" s="155"/>
      <c r="I616" s="151"/>
      <c r="J616" s="152"/>
    </row>
    <row r="617" spans="1:10" ht="15.75" customHeight="1">
      <c r="A617" s="154" t="s">
        <v>35</v>
      </c>
      <c r="B617" s="152">
        <v>24</v>
      </c>
      <c r="C617" s="155"/>
      <c r="D617" s="153"/>
      <c r="E617" s="152"/>
      <c r="F617" s="152"/>
      <c r="G617" s="152"/>
      <c r="H617" s="155"/>
      <c r="I617" s="151"/>
      <c r="J617" s="152"/>
    </row>
    <row r="618" spans="1:10" ht="15.75" customHeight="1">
      <c r="A618" s="158"/>
      <c r="B618" s="159"/>
      <c r="C618" s="159"/>
      <c r="D618" s="160"/>
      <c r="E618" s="159"/>
      <c r="F618" s="159"/>
      <c r="G618" s="159"/>
      <c r="H618" s="161"/>
      <c r="I618" s="162"/>
      <c r="J618" s="159"/>
    </row>
    <row r="619" spans="1:10" ht="15.75" customHeight="1">
      <c r="A619" s="146" t="s">
        <v>90</v>
      </c>
      <c r="B619" s="147">
        <v>1</v>
      </c>
      <c r="C619" s="148"/>
      <c r="D619" s="149"/>
      <c r="E619" s="147"/>
      <c r="F619" s="147"/>
      <c r="G619" s="147"/>
      <c r="H619" s="150"/>
      <c r="I619" s="163"/>
    </row>
    <row r="620" spans="1:10" ht="15.75" customHeight="1">
      <c r="A620" s="146" t="s">
        <v>90</v>
      </c>
      <c r="B620" s="147">
        <v>3</v>
      </c>
      <c r="C620" s="148"/>
      <c r="D620" s="149"/>
      <c r="E620" s="147"/>
      <c r="F620" s="147"/>
      <c r="G620" s="147"/>
      <c r="H620" s="150"/>
      <c r="I620" s="164"/>
      <c r="J620" s="147"/>
    </row>
    <row r="621" spans="1:10" ht="15.75" customHeight="1">
      <c r="A621" s="146" t="s">
        <v>90</v>
      </c>
      <c r="B621" s="147">
        <v>4</v>
      </c>
      <c r="C621" s="148"/>
      <c r="D621" s="149"/>
      <c r="E621" s="147"/>
      <c r="F621" s="147"/>
      <c r="G621" s="147"/>
      <c r="H621" s="150"/>
      <c r="I621" s="164"/>
      <c r="J621" s="147"/>
    </row>
    <row r="622" spans="1:10" ht="15.75" customHeight="1">
      <c r="A622" s="146" t="s">
        <v>90</v>
      </c>
      <c r="B622" s="147">
        <v>5</v>
      </c>
      <c r="C622" s="148"/>
      <c r="D622" s="149"/>
      <c r="E622" s="147"/>
      <c r="F622" s="147"/>
      <c r="G622" s="147"/>
      <c r="H622" s="150"/>
      <c r="I622" s="164"/>
      <c r="J622" s="147"/>
    </row>
    <row r="623" spans="1:10" ht="15.75" customHeight="1">
      <c r="A623" s="146" t="s">
        <v>90</v>
      </c>
      <c r="B623" s="147">
        <v>6</v>
      </c>
      <c r="C623" s="148"/>
      <c r="D623" s="149"/>
      <c r="E623" s="147"/>
      <c r="F623" s="147"/>
      <c r="G623" s="147"/>
      <c r="H623" s="150"/>
      <c r="I623" s="164"/>
      <c r="J623" s="147"/>
    </row>
    <row r="624" spans="1:10" ht="15.75" customHeight="1">
      <c r="A624" s="146" t="s">
        <v>90</v>
      </c>
      <c r="B624" s="147">
        <v>7</v>
      </c>
      <c r="C624" s="147"/>
      <c r="D624" s="149"/>
      <c r="E624" s="147"/>
      <c r="F624" s="147"/>
      <c r="G624" s="147"/>
      <c r="H624" s="150"/>
      <c r="I624" s="164"/>
      <c r="J624" s="147"/>
    </row>
    <row r="625" spans="1:10" ht="15.75" customHeight="1">
      <c r="A625" s="146" t="s">
        <v>90</v>
      </c>
      <c r="B625" s="147">
        <v>8</v>
      </c>
      <c r="C625" s="147"/>
      <c r="D625" s="149"/>
      <c r="E625" s="147"/>
      <c r="F625" s="147"/>
      <c r="G625" s="147"/>
      <c r="H625" s="150"/>
      <c r="I625" s="164"/>
      <c r="J625" s="147"/>
    </row>
    <row r="626" spans="1:10" ht="15.75" customHeight="1">
      <c r="A626" s="146" t="s">
        <v>90</v>
      </c>
      <c r="B626" s="147">
        <v>9</v>
      </c>
      <c r="C626" s="147"/>
      <c r="D626" s="149"/>
      <c r="E626" s="147"/>
      <c r="F626" s="147"/>
      <c r="G626" s="147"/>
      <c r="H626" s="150"/>
      <c r="I626" s="164"/>
      <c r="J626" s="147"/>
    </row>
    <row r="627" spans="1:10" ht="15.75" customHeight="1">
      <c r="A627" s="146" t="s">
        <v>90</v>
      </c>
      <c r="B627" s="147">
        <v>10</v>
      </c>
      <c r="C627" s="147"/>
      <c r="D627" s="149"/>
      <c r="E627" s="147"/>
      <c r="F627" s="147"/>
      <c r="G627" s="147"/>
      <c r="H627" s="150"/>
      <c r="I627" s="164"/>
      <c r="J627" s="147"/>
    </row>
    <row r="628" spans="1:10" ht="15.75" customHeight="1">
      <c r="A628" s="146" t="s">
        <v>90</v>
      </c>
      <c r="B628" s="147">
        <v>11</v>
      </c>
      <c r="C628" s="147"/>
      <c r="D628" s="149"/>
      <c r="E628" s="147"/>
      <c r="F628" s="147"/>
      <c r="G628" s="147"/>
      <c r="H628" s="150"/>
      <c r="I628" s="164"/>
      <c r="J628" s="147"/>
    </row>
    <row r="629" spans="1:10" ht="15.75" customHeight="1">
      <c r="A629" s="146" t="s">
        <v>90</v>
      </c>
      <c r="B629" s="147">
        <v>12</v>
      </c>
      <c r="C629" s="147"/>
      <c r="D629" s="149"/>
      <c r="E629" s="147"/>
      <c r="F629" s="147"/>
      <c r="G629" s="147"/>
      <c r="H629" s="150"/>
      <c r="I629" s="164"/>
      <c r="J629" s="147"/>
    </row>
    <row r="630" spans="1:10" ht="15.75" customHeight="1">
      <c r="A630" s="146" t="s">
        <v>90</v>
      </c>
      <c r="B630" s="147">
        <v>13</v>
      </c>
      <c r="C630" s="147"/>
      <c r="D630" s="149"/>
      <c r="E630" s="147"/>
      <c r="F630" s="147"/>
      <c r="G630" s="147"/>
      <c r="H630" s="150"/>
      <c r="I630" s="164"/>
      <c r="J630" s="147"/>
    </row>
    <row r="631" spans="1:10" ht="15.75" customHeight="1">
      <c r="A631" s="146" t="s">
        <v>90</v>
      </c>
      <c r="B631" s="147">
        <v>14</v>
      </c>
      <c r="C631" s="147"/>
      <c r="D631" s="149"/>
      <c r="E631" s="147"/>
      <c r="F631" s="147"/>
      <c r="G631" s="147"/>
      <c r="H631" s="150"/>
      <c r="I631" s="164"/>
      <c r="J631" s="147"/>
    </row>
    <row r="632" spans="1:10" ht="15.75" customHeight="1">
      <c r="A632" s="146" t="s">
        <v>90</v>
      </c>
      <c r="B632" s="147">
        <v>15</v>
      </c>
      <c r="C632" s="147"/>
      <c r="D632" s="149"/>
      <c r="E632" s="147"/>
      <c r="F632" s="147"/>
      <c r="G632" s="147"/>
      <c r="H632" s="150"/>
      <c r="I632" s="164"/>
      <c r="J632" s="147"/>
    </row>
    <row r="633" spans="1:10" ht="15.75" customHeight="1">
      <c r="A633" s="146" t="s">
        <v>90</v>
      </c>
      <c r="B633" s="147">
        <v>16</v>
      </c>
      <c r="C633" s="147"/>
      <c r="D633" s="149"/>
      <c r="E633" s="147"/>
      <c r="F633" s="147"/>
      <c r="G633" s="147"/>
      <c r="H633" s="150"/>
      <c r="I633" s="164"/>
      <c r="J633" s="147"/>
    </row>
    <row r="634" spans="1:10" ht="15.75" customHeight="1">
      <c r="A634" s="146" t="s">
        <v>90</v>
      </c>
      <c r="B634" s="147">
        <v>17</v>
      </c>
      <c r="C634" s="147"/>
      <c r="D634" s="149"/>
      <c r="E634" s="147"/>
      <c r="F634" s="147"/>
      <c r="G634" s="147"/>
      <c r="H634" s="150"/>
      <c r="I634" s="163"/>
    </row>
    <row r="635" spans="1:10" ht="15.75" customHeight="1">
      <c r="A635" s="146" t="s">
        <v>90</v>
      </c>
      <c r="B635" s="147">
        <v>18</v>
      </c>
      <c r="C635" s="147"/>
      <c r="D635" s="149"/>
      <c r="E635" s="147"/>
      <c r="F635" s="147"/>
      <c r="G635" s="147"/>
      <c r="H635" s="150"/>
      <c r="I635" s="163"/>
      <c r="J635" s="147"/>
    </row>
    <row r="636" spans="1:10" ht="15.75" customHeight="1">
      <c r="A636" s="146" t="s">
        <v>90</v>
      </c>
      <c r="B636" s="147">
        <v>19</v>
      </c>
      <c r="C636" s="147"/>
      <c r="D636" s="149"/>
      <c r="E636" s="147"/>
      <c r="F636" s="147"/>
      <c r="G636" s="147"/>
      <c r="H636" s="150"/>
      <c r="I636" s="164"/>
      <c r="J636" s="147"/>
    </row>
    <row r="637" spans="1:10" ht="15.75" customHeight="1">
      <c r="A637" s="146" t="s">
        <v>90</v>
      </c>
      <c r="B637" s="147">
        <v>20</v>
      </c>
      <c r="C637" s="147"/>
      <c r="D637" s="149"/>
      <c r="E637" s="147"/>
      <c r="F637" s="147"/>
      <c r="G637" s="147"/>
      <c r="H637" s="150"/>
      <c r="I637" s="164"/>
      <c r="J637" s="147"/>
    </row>
    <row r="638" spans="1:10" ht="15.75" customHeight="1">
      <c r="A638" s="146" t="s">
        <v>90</v>
      </c>
      <c r="B638" s="147">
        <v>21</v>
      </c>
      <c r="C638" s="147"/>
      <c r="D638" s="149"/>
      <c r="E638" s="147"/>
      <c r="F638" s="147"/>
      <c r="G638" s="147"/>
      <c r="H638" s="150"/>
      <c r="I638" s="163"/>
      <c r="J638" s="147"/>
    </row>
    <row r="639" spans="1:10" ht="15.75" customHeight="1">
      <c r="A639" s="146" t="s">
        <v>90</v>
      </c>
      <c r="B639" s="147">
        <v>22</v>
      </c>
      <c r="C639" s="147"/>
      <c r="D639" s="149"/>
      <c r="E639" s="147"/>
      <c r="F639" s="147"/>
      <c r="G639" s="147"/>
      <c r="H639" s="150"/>
      <c r="I639" s="163"/>
      <c r="J639" s="147"/>
    </row>
    <row r="640" spans="1:10" ht="15.75" customHeight="1">
      <c r="A640" s="146" t="s">
        <v>90</v>
      </c>
      <c r="B640" s="147">
        <v>23</v>
      </c>
      <c r="C640" s="147"/>
      <c r="D640" s="149"/>
      <c r="E640" s="147"/>
      <c r="F640" s="147"/>
      <c r="G640" s="147"/>
      <c r="H640" s="150"/>
      <c r="I640" s="164"/>
      <c r="J640" s="147"/>
    </row>
    <row r="641" spans="1:10" ht="15.75" customHeight="1">
      <c r="A641" s="146" t="s">
        <v>90</v>
      </c>
      <c r="B641" s="147">
        <v>24</v>
      </c>
      <c r="C641" s="147"/>
      <c r="D641" s="149"/>
      <c r="E641" s="147"/>
      <c r="F641" s="147"/>
      <c r="G641" s="147"/>
      <c r="H641" s="150"/>
      <c r="I641" s="164"/>
      <c r="J641" s="147"/>
    </row>
    <row r="642" spans="1:10" ht="15.75" customHeight="1">
      <c r="A642" s="158"/>
      <c r="B642" s="159"/>
      <c r="C642" s="159"/>
      <c r="D642" s="160"/>
      <c r="E642" s="159"/>
      <c r="F642" s="159"/>
      <c r="G642" s="159"/>
      <c r="H642" s="161"/>
      <c r="I642" s="162"/>
      <c r="J642" s="159"/>
    </row>
    <row r="643" spans="1:10" ht="15.75" customHeight="1">
      <c r="A643" s="146" t="s">
        <v>144</v>
      </c>
      <c r="B643" s="147">
        <v>1</v>
      </c>
      <c r="C643" s="148"/>
      <c r="D643" s="149"/>
      <c r="E643" s="147"/>
      <c r="F643" s="147"/>
      <c r="G643" s="147"/>
      <c r="H643" s="150"/>
      <c r="I643" s="164"/>
      <c r="J643" s="147"/>
    </row>
    <row r="644" spans="1:10" ht="15.75" customHeight="1">
      <c r="A644" s="146" t="s">
        <v>144</v>
      </c>
      <c r="B644" s="147">
        <v>2</v>
      </c>
      <c r="C644" s="148"/>
      <c r="D644" s="149"/>
      <c r="E644" s="147"/>
      <c r="F644" s="147"/>
      <c r="G644" s="147"/>
      <c r="H644" s="150"/>
      <c r="I644" s="164"/>
      <c r="J644" s="147"/>
    </row>
    <row r="645" spans="1:10" ht="15.75" customHeight="1">
      <c r="A645" s="146" t="s">
        <v>144</v>
      </c>
      <c r="B645" s="147">
        <v>3</v>
      </c>
      <c r="C645" s="148"/>
      <c r="D645" s="149"/>
      <c r="E645" s="147"/>
      <c r="F645" s="147"/>
      <c r="G645" s="147"/>
      <c r="H645" s="150"/>
      <c r="I645" s="164"/>
      <c r="J645" s="147"/>
    </row>
    <row r="646" spans="1:10" ht="15.75" customHeight="1">
      <c r="A646" s="146" t="s">
        <v>144</v>
      </c>
      <c r="B646" s="147">
        <v>4</v>
      </c>
      <c r="C646" s="148"/>
      <c r="D646" s="149"/>
      <c r="E646" s="147"/>
      <c r="F646" s="147"/>
      <c r="G646" s="147"/>
      <c r="H646" s="150"/>
      <c r="I646" s="164"/>
      <c r="J646" s="147"/>
    </row>
    <row r="647" spans="1:10" ht="15.75" customHeight="1">
      <c r="A647" s="146" t="s">
        <v>144</v>
      </c>
      <c r="B647" s="147">
        <v>5</v>
      </c>
      <c r="C647" s="148"/>
      <c r="D647" s="149"/>
      <c r="E647" s="147"/>
      <c r="F647" s="147"/>
      <c r="G647" s="147"/>
      <c r="H647" s="150"/>
      <c r="I647" s="164"/>
      <c r="J647" s="147"/>
    </row>
    <row r="648" spans="1:10" ht="15.75" customHeight="1">
      <c r="A648" s="146" t="s">
        <v>144</v>
      </c>
      <c r="B648" s="147">
        <v>6</v>
      </c>
      <c r="C648" s="148"/>
      <c r="D648" s="149"/>
      <c r="E648" s="147"/>
      <c r="F648" s="147"/>
      <c r="G648" s="147"/>
      <c r="H648" s="150"/>
      <c r="I648" s="164"/>
      <c r="J648" s="147"/>
    </row>
    <row r="649" spans="1:10" ht="15.75" customHeight="1">
      <c r="A649" s="146" t="s">
        <v>144</v>
      </c>
      <c r="B649" s="147">
        <v>7</v>
      </c>
      <c r="C649" s="148"/>
      <c r="D649" s="149"/>
      <c r="E649" s="147"/>
      <c r="F649" s="147"/>
      <c r="G649" s="147"/>
      <c r="H649" s="150"/>
      <c r="I649" s="164"/>
      <c r="J649" s="147"/>
    </row>
    <row r="650" spans="1:10" ht="15.75" customHeight="1">
      <c r="A650" s="146" t="s">
        <v>144</v>
      </c>
      <c r="B650" s="147">
        <v>8</v>
      </c>
      <c r="C650" s="148"/>
      <c r="D650" s="149"/>
      <c r="E650" s="147"/>
      <c r="F650" s="147"/>
      <c r="G650" s="147"/>
      <c r="H650" s="150"/>
      <c r="I650" s="164"/>
      <c r="J650" s="147"/>
    </row>
    <row r="651" spans="1:10" ht="15.75" customHeight="1">
      <c r="A651" s="146" t="s">
        <v>144</v>
      </c>
      <c r="B651" s="147">
        <v>9</v>
      </c>
      <c r="C651" s="148"/>
      <c r="D651" s="149"/>
      <c r="E651" s="147"/>
      <c r="F651" s="147"/>
      <c r="G651" s="147"/>
      <c r="H651" s="150"/>
      <c r="I651" s="164"/>
      <c r="J651" s="147"/>
    </row>
    <row r="652" spans="1:10" ht="15.75" customHeight="1">
      <c r="A652" s="146" t="s">
        <v>144</v>
      </c>
      <c r="B652" s="147">
        <v>10</v>
      </c>
      <c r="C652" s="148"/>
      <c r="D652" s="149"/>
      <c r="E652" s="147"/>
      <c r="F652" s="147"/>
      <c r="G652" s="147"/>
      <c r="H652" s="150"/>
      <c r="I652" s="164"/>
      <c r="J652" s="147"/>
    </row>
    <row r="653" spans="1:10" ht="15.75" customHeight="1">
      <c r="A653" s="146" t="s">
        <v>144</v>
      </c>
      <c r="B653" s="147">
        <v>11</v>
      </c>
      <c r="C653" s="148"/>
      <c r="D653" s="149"/>
      <c r="E653" s="147"/>
      <c r="F653" s="147"/>
      <c r="G653" s="147"/>
      <c r="H653" s="150"/>
      <c r="I653" s="164"/>
      <c r="J653" s="147"/>
    </row>
    <row r="654" spans="1:10" ht="15.75" customHeight="1">
      <c r="A654" s="146" t="s">
        <v>144</v>
      </c>
      <c r="B654" s="147">
        <v>12</v>
      </c>
      <c r="C654" s="148"/>
      <c r="D654" s="149"/>
      <c r="E654" s="147"/>
      <c r="F654" s="147"/>
      <c r="G654" s="147"/>
      <c r="H654" s="150"/>
      <c r="I654" s="164"/>
      <c r="J654" s="147"/>
    </row>
    <row r="655" spans="1:10" ht="15.75" customHeight="1">
      <c r="A655" s="146" t="s">
        <v>144</v>
      </c>
      <c r="B655" s="147">
        <v>13</v>
      </c>
      <c r="C655" s="148"/>
      <c r="D655" s="149"/>
      <c r="E655" s="147"/>
      <c r="F655" s="147"/>
      <c r="G655" s="147"/>
      <c r="H655" s="150"/>
      <c r="I655" s="164"/>
      <c r="J655" s="147"/>
    </row>
    <row r="656" spans="1:10" ht="15.75" customHeight="1">
      <c r="A656" s="146" t="s">
        <v>144</v>
      </c>
      <c r="B656" s="147">
        <v>14</v>
      </c>
      <c r="C656" s="148"/>
      <c r="D656" s="149"/>
      <c r="E656" s="147"/>
      <c r="F656" s="147"/>
      <c r="G656" s="147"/>
      <c r="H656" s="150"/>
      <c r="I656" s="164"/>
      <c r="J656" s="147"/>
    </row>
    <row r="657" spans="1:10" ht="15.75" customHeight="1">
      <c r="A657" s="146" t="s">
        <v>144</v>
      </c>
      <c r="B657" s="147">
        <v>15</v>
      </c>
      <c r="C657" s="148"/>
      <c r="D657" s="149"/>
      <c r="E657" s="147"/>
      <c r="F657" s="147"/>
      <c r="G657" s="147"/>
      <c r="H657" s="150"/>
      <c r="I657" s="164"/>
      <c r="J657" s="147"/>
    </row>
    <row r="658" spans="1:10" ht="15.75" customHeight="1">
      <c r="A658" s="146" t="s">
        <v>144</v>
      </c>
      <c r="B658" s="147">
        <v>16</v>
      </c>
      <c r="C658" s="148"/>
      <c r="D658" s="149"/>
      <c r="E658" s="147"/>
      <c r="F658" s="147"/>
      <c r="G658" s="147"/>
      <c r="H658" s="150"/>
      <c r="I658" s="164"/>
      <c r="J658" s="147"/>
    </row>
    <row r="659" spans="1:10" ht="15.75" customHeight="1">
      <c r="A659" s="146" t="s">
        <v>144</v>
      </c>
      <c r="B659" s="147">
        <v>17</v>
      </c>
      <c r="C659" s="148"/>
      <c r="D659" s="149"/>
      <c r="E659" s="147"/>
      <c r="F659" s="147"/>
      <c r="G659" s="147"/>
      <c r="H659" s="150"/>
      <c r="I659" s="164"/>
      <c r="J659" s="147"/>
    </row>
    <row r="660" spans="1:10" ht="15.75" customHeight="1">
      <c r="A660" s="146" t="s">
        <v>144</v>
      </c>
      <c r="B660" s="147">
        <v>18</v>
      </c>
      <c r="C660" s="148"/>
      <c r="D660" s="149"/>
      <c r="E660" s="147"/>
      <c r="F660" s="147"/>
      <c r="G660" s="147"/>
      <c r="H660" s="150"/>
      <c r="I660" s="164"/>
      <c r="J660" s="147"/>
    </row>
    <row r="661" spans="1:10" ht="15.75" customHeight="1">
      <c r="A661" s="146" t="s">
        <v>144</v>
      </c>
      <c r="B661" s="147">
        <v>19</v>
      </c>
      <c r="C661" s="148"/>
      <c r="D661" s="149"/>
      <c r="E661" s="147"/>
      <c r="F661" s="147"/>
      <c r="G661" s="147"/>
      <c r="H661" s="150"/>
      <c r="I661" s="164"/>
      <c r="J661" s="147"/>
    </row>
    <row r="662" spans="1:10" ht="15.75" customHeight="1">
      <c r="A662" s="146" t="s">
        <v>144</v>
      </c>
      <c r="B662" s="147">
        <v>20</v>
      </c>
      <c r="C662" s="148"/>
      <c r="D662" s="149"/>
      <c r="E662" s="147"/>
      <c r="F662" s="147"/>
      <c r="G662" s="147"/>
      <c r="H662" s="150"/>
      <c r="I662" s="164"/>
      <c r="J662" s="147"/>
    </row>
    <row r="663" spans="1:10" ht="15.75" customHeight="1">
      <c r="A663" s="146" t="s">
        <v>144</v>
      </c>
      <c r="B663" s="147">
        <v>21</v>
      </c>
      <c r="C663" s="148"/>
      <c r="D663" s="149"/>
      <c r="E663" s="147"/>
      <c r="F663" s="147"/>
      <c r="G663" s="147"/>
      <c r="H663" s="150"/>
      <c r="I663" s="164"/>
      <c r="J663" s="147"/>
    </row>
    <row r="664" spans="1:10" ht="15.75" customHeight="1">
      <c r="A664" s="146" t="s">
        <v>144</v>
      </c>
      <c r="B664" s="147">
        <v>22</v>
      </c>
      <c r="C664" s="148"/>
      <c r="D664" s="149"/>
      <c r="E664" s="147"/>
      <c r="F664" s="147"/>
      <c r="G664" s="147"/>
      <c r="H664" s="150"/>
      <c r="I664" s="164"/>
      <c r="J664" s="147"/>
    </row>
    <row r="665" spans="1:10" ht="15.75" customHeight="1">
      <c r="A665" s="146" t="s">
        <v>144</v>
      </c>
      <c r="B665" s="147">
        <v>23</v>
      </c>
      <c r="C665" s="148"/>
      <c r="D665" s="149"/>
      <c r="E665" s="147"/>
      <c r="F665" s="147"/>
      <c r="G665" s="147"/>
      <c r="H665" s="150"/>
      <c r="I665" s="164"/>
      <c r="J665" s="147"/>
    </row>
    <row r="666" spans="1:10" ht="15.75" customHeight="1">
      <c r="A666" s="158"/>
      <c r="B666" s="159"/>
      <c r="C666" s="159"/>
      <c r="D666" s="160"/>
      <c r="E666" s="159"/>
      <c r="F666" s="159"/>
      <c r="G666" s="159"/>
      <c r="H666" s="161"/>
      <c r="I666" s="162"/>
      <c r="J666" s="159"/>
    </row>
    <row r="667" spans="1:10" ht="15.75" customHeight="1">
      <c r="A667" s="146" t="s">
        <v>188</v>
      </c>
      <c r="B667" s="147">
        <v>1</v>
      </c>
      <c r="C667" s="148"/>
      <c r="D667" s="149"/>
      <c r="E667" s="147"/>
      <c r="F667" s="147"/>
      <c r="G667" s="147"/>
      <c r="H667" s="150"/>
      <c r="I667" s="164"/>
      <c r="J667" s="147"/>
    </row>
    <row r="668" spans="1:10" ht="15.75" customHeight="1">
      <c r="A668" s="146" t="s">
        <v>188</v>
      </c>
      <c r="B668" s="147">
        <v>2</v>
      </c>
      <c r="C668" s="148"/>
      <c r="D668" s="149"/>
      <c r="E668" s="147"/>
      <c r="F668" s="147"/>
      <c r="G668" s="147"/>
      <c r="H668" s="150"/>
      <c r="I668" s="164"/>
      <c r="J668" s="147"/>
    </row>
    <row r="669" spans="1:10" ht="15.75" customHeight="1">
      <c r="A669" s="146" t="s">
        <v>188</v>
      </c>
      <c r="B669" s="147">
        <v>3</v>
      </c>
      <c r="C669" s="148"/>
      <c r="D669" s="149"/>
      <c r="E669" s="147"/>
      <c r="F669" s="147"/>
      <c r="G669" s="147"/>
      <c r="H669" s="150"/>
      <c r="I669" s="164"/>
      <c r="J669" s="147"/>
    </row>
    <row r="670" spans="1:10" ht="15.75" customHeight="1">
      <c r="A670" s="146" t="s">
        <v>188</v>
      </c>
      <c r="B670" s="147">
        <v>4</v>
      </c>
      <c r="C670" s="148"/>
      <c r="D670" s="149"/>
      <c r="E670" s="147"/>
      <c r="F670" s="147"/>
      <c r="G670" s="147"/>
      <c r="H670" s="150"/>
      <c r="I670" s="164"/>
      <c r="J670" s="147"/>
    </row>
    <row r="671" spans="1:10" ht="15.75" customHeight="1">
      <c r="A671" s="146" t="s">
        <v>188</v>
      </c>
      <c r="B671" s="147">
        <v>5</v>
      </c>
      <c r="C671" s="148"/>
      <c r="D671" s="149"/>
      <c r="E671" s="147"/>
      <c r="F671" s="147"/>
      <c r="G671" s="147"/>
      <c r="H671" s="150"/>
      <c r="I671" s="151"/>
      <c r="J671" s="152"/>
    </row>
    <row r="672" spans="1:10" ht="15.75" customHeight="1">
      <c r="A672" s="146" t="s">
        <v>188</v>
      </c>
      <c r="B672" s="147">
        <v>6</v>
      </c>
      <c r="C672" s="148"/>
      <c r="D672" s="149"/>
      <c r="E672" s="147"/>
      <c r="F672" s="147"/>
      <c r="G672" s="147"/>
      <c r="H672" s="150"/>
      <c r="I672" s="164"/>
      <c r="J672" s="147"/>
    </row>
    <row r="673" spans="1:10" ht="15.75" customHeight="1">
      <c r="A673" s="146" t="s">
        <v>188</v>
      </c>
      <c r="B673" s="147">
        <v>7</v>
      </c>
      <c r="C673" s="148"/>
      <c r="D673" s="149"/>
      <c r="E673" s="147"/>
      <c r="F673" s="147"/>
      <c r="G673" s="147"/>
      <c r="H673" s="150"/>
      <c r="I673" s="164"/>
      <c r="J673" s="147"/>
    </row>
    <row r="674" spans="1:10" ht="15.75" customHeight="1">
      <c r="A674" s="146" t="s">
        <v>188</v>
      </c>
      <c r="B674" s="147">
        <v>8</v>
      </c>
      <c r="C674" s="148"/>
      <c r="D674" s="149"/>
      <c r="E674" s="147"/>
      <c r="F674" s="147"/>
      <c r="G674" s="147"/>
      <c r="H674" s="150"/>
      <c r="I674" s="164"/>
      <c r="J674" s="147"/>
    </row>
    <row r="675" spans="1:10" ht="15.75" customHeight="1">
      <c r="A675" s="146" t="s">
        <v>188</v>
      </c>
      <c r="B675" s="147">
        <v>9</v>
      </c>
      <c r="C675" s="148"/>
      <c r="D675" s="149"/>
      <c r="E675" s="147"/>
      <c r="F675" s="147"/>
      <c r="G675" s="147"/>
      <c r="H675" s="150"/>
      <c r="I675" s="164"/>
      <c r="J675" s="147"/>
    </row>
    <row r="676" spans="1:10" ht="15.75" customHeight="1">
      <c r="A676" s="146" t="s">
        <v>188</v>
      </c>
      <c r="B676" s="147">
        <v>10</v>
      </c>
      <c r="C676" s="148"/>
      <c r="D676" s="149"/>
      <c r="E676" s="147"/>
      <c r="F676" s="147"/>
      <c r="G676" s="147"/>
      <c r="H676" s="150"/>
      <c r="I676" s="164"/>
      <c r="J676" s="147"/>
    </row>
    <row r="677" spans="1:10" ht="15.75" customHeight="1">
      <c r="A677" s="146" t="s">
        <v>188</v>
      </c>
      <c r="B677" s="147">
        <v>11</v>
      </c>
      <c r="C677" s="148"/>
      <c r="D677" s="149"/>
      <c r="E677" s="147"/>
      <c r="F677" s="147"/>
      <c r="G677" s="147"/>
      <c r="H677" s="150"/>
      <c r="I677" s="164"/>
      <c r="J677" s="147"/>
    </row>
    <row r="678" spans="1:10" ht="15.75" customHeight="1">
      <c r="A678" s="146" t="s">
        <v>188</v>
      </c>
      <c r="B678" s="147">
        <v>12</v>
      </c>
      <c r="C678" s="148"/>
      <c r="D678" s="149"/>
      <c r="E678" s="147"/>
      <c r="F678" s="147"/>
      <c r="G678" s="147"/>
      <c r="H678" s="150"/>
      <c r="I678" s="164"/>
      <c r="J678" s="147"/>
    </row>
    <row r="679" spans="1:10" ht="15.75" customHeight="1">
      <c r="A679" s="146" t="s">
        <v>188</v>
      </c>
      <c r="B679" s="147">
        <v>13</v>
      </c>
      <c r="C679" s="148"/>
      <c r="D679" s="149"/>
      <c r="E679" s="147"/>
      <c r="F679" s="147"/>
      <c r="G679" s="147"/>
      <c r="H679" s="150"/>
      <c r="I679" s="164"/>
      <c r="J679" s="147"/>
    </row>
    <row r="680" spans="1:10" ht="15.75" customHeight="1">
      <c r="A680" s="146" t="s">
        <v>188</v>
      </c>
      <c r="B680" s="147">
        <v>14</v>
      </c>
      <c r="C680" s="148"/>
      <c r="D680" s="149"/>
      <c r="E680" s="147"/>
      <c r="F680" s="147"/>
      <c r="G680" s="147"/>
      <c r="H680" s="150"/>
      <c r="I680" s="164"/>
      <c r="J680" s="147"/>
    </row>
    <row r="681" spans="1:10" ht="15.75" customHeight="1">
      <c r="A681" s="146" t="s">
        <v>188</v>
      </c>
      <c r="B681" s="147">
        <v>15</v>
      </c>
      <c r="C681" s="148"/>
      <c r="D681" s="149"/>
      <c r="E681" s="147"/>
      <c r="F681" s="147"/>
      <c r="G681" s="147"/>
      <c r="H681" s="150"/>
      <c r="I681" s="164"/>
      <c r="J681" s="147"/>
    </row>
    <row r="682" spans="1:10" ht="15.75" customHeight="1">
      <c r="A682" s="146" t="s">
        <v>188</v>
      </c>
      <c r="B682" s="147">
        <v>16</v>
      </c>
      <c r="C682" s="148"/>
      <c r="D682" s="149"/>
      <c r="E682" s="147"/>
      <c r="F682" s="147"/>
      <c r="G682" s="147"/>
      <c r="H682" s="150"/>
      <c r="I682" s="164"/>
      <c r="J682" s="147"/>
    </row>
    <row r="683" spans="1:10" ht="15.75" customHeight="1">
      <c r="A683" s="146" t="s">
        <v>188</v>
      </c>
      <c r="B683" s="147">
        <v>17</v>
      </c>
      <c r="C683" s="148"/>
      <c r="D683" s="149"/>
      <c r="E683" s="147"/>
      <c r="F683" s="147"/>
      <c r="G683" s="147"/>
      <c r="H683" s="150"/>
      <c r="I683" s="164"/>
      <c r="J683" s="147"/>
    </row>
    <row r="684" spans="1:10" ht="15.75" customHeight="1">
      <c r="A684" s="146" t="s">
        <v>188</v>
      </c>
      <c r="B684" s="147">
        <v>18</v>
      </c>
      <c r="C684" s="148"/>
      <c r="D684" s="149"/>
      <c r="E684" s="147"/>
      <c r="F684" s="147"/>
      <c r="G684" s="147"/>
      <c r="H684" s="150"/>
      <c r="I684" s="164"/>
      <c r="J684" s="147"/>
    </row>
    <row r="685" spans="1:10" ht="15.75" customHeight="1">
      <c r="A685" s="146" t="s">
        <v>188</v>
      </c>
      <c r="B685" s="147">
        <v>19</v>
      </c>
      <c r="C685" s="148"/>
      <c r="D685" s="149"/>
      <c r="E685" s="147"/>
      <c r="F685" s="147"/>
      <c r="G685" s="147"/>
      <c r="H685" s="150"/>
      <c r="I685" s="164"/>
      <c r="J685" s="147"/>
    </row>
    <row r="686" spans="1:10" ht="15.75" customHeight="1">
      <c r="A686" s="146" t="s">
        <v>188</v>
      </c>
      <c r="B686" s="147">
        <v>20</v>
      </c>
      <c r="C686" s="148"/>
      <c r="D686" s="149"/>
      <c r="E686" s="147"/>
      <c r="F686" s="147"/>
      <c r="G686" s="147"/>
      <c r="H686" s="150"/>
      <c r="I686" s="164"/>
      <c r="J686" s="147"/>
    </row>
    <row r="687" spans="1:10" ht="15.75" customHeight="1">
      <c r="A687" s="146" t="s">
        <v>188</v>
      </c>
      <c r="B687" s="147">
        <v>21</v>
      </c>
      <c r="C687" s="148"/>
      <c r="D687" s="149"/>
      <c r="E687" s="147"/>
      <c r="F687" s="147"/>
      <c r="G687" s="147"/>
      <c r="H687" s="150"/>
      <c r="I687" s="164"/>
      <c r="J687" s="147"/>
    </row>
    <row r="688" spans="1:10" ht="15.75" customHeight="1">
      <c r="A688" s="146" t="s">
        <v>188</v>
      </c>
      <c r="B688" s="147">
        <v>22</v>
      </c>
      <c r="C688" s="148"/>
      <c r="D688" s="149"/>
      <c r="E688" s="147"/>
      <c r="F688" s="147"/>
      <c r="G688" s="147"/>
      <c r="H688" s="150"/>
      <c r="I688" s="164"/>
      <c r="J688" s="147"/>
    </row>
    <row r="689" spans="1:10" ht="15.75" customHeight="1">
      <c r="A689" s="146" t="s">
        <v>188</v>
      </c>
      <c r="B689" s="147">
        <v>23</v>
      </c>
      <c r="C689" s="148"/>
      <c r="D689" s="149"/>
      <c r="E689" s="147"/>
      <c r="F689" s="147"/>
      <c r="G689" s="147"/>
      <c r="H689" s="150"/>
      <c r="I689" s="164"/>
      <c r="J689" s="147"/>
    </row>
    <row r="690" spans="1:10" ht="15.75" customHeight="1">
      <c r="A690" s="158"/>
      <c r="B690" s="159"/>
      <c r="C690" s="159"/>
      <c r="D690" s="160"/>
      <c r="E690" s="159"/>
      <c r="F690" s="159"/>
      <c r="G690" s="159"/>
      <c r="H690" s="161"/>
      <c r="I690" s="162"/>
      <c r="J690" s="159"/>
    </row>
    <row r="691" spans="1:10" ht="15.75" customHeight="1">
      <c r="A691" s="147"/>
      <c r="B691" s="147"/>
      <c r="C691" s="147"/>
      <c r="D691" s="149"/>
      <c r="E691" s="147"/>
      <c r="F691" s="147"/>
      <c r="G691" s="147"/>
      <c r="H691" s="150"/>
      <c r="I691" s="164"/>
      <c r="J691" s="147"/>
    </row>
    <row r="692" spans="1:10" ht="15.75" customHeight="1">
      <c r="A692" s="147"/>
      <c r="B692" s="147"/>
      <c r="C692" s="147"/>
      <c r="D692" s="149"/>
      <c r="E692" s="147"/>
      <c r="F692" s="147"/>
      <c r="G692" s="165" t="s">
        <v>4801</v>
      </c>
      <c r="H692" s="165" t="s">
        <v>4802</v>
      </c>
      <c r="I692" s="166" t="s">
        <v>4803</v>
      </c>
      <c r="J692" s="165" t="s">
        <v>4804</v>
      </c>
    </row>
    <row r="693" spans="1:10" ht="15.75" customHeight="1">
      <c r="A693" s="147"/>
      <c r="B693" s="147"/>
      <c r="C693" s="147"/>
      <c r="D693" s="149"/>
      <c r="E693" s="147"/>
      <c r="F693" s="147"/>
      <c r="G693" s="147"/>
      <c r="H693" s="150"/>
      <c r="I693" s="164"/>
      <c r="J693" s="147"/>
    </row>
    <row r="694" spans="1:10" ht="15.75" customHeight="1">
      <c r="A694" s="268" t="s">
        <v>1465</v>
      </c>
      <c r="B694" s="269"/>
      <c r="C694" s="269"/>
      <c r="D694" s="269"/>
      <c r="E694" s="269"/>
      <c r="F694" s="269"/>
      <c r="G694" s="269"/>
      <c r="H694" s="269"/>
      <c r="I694" s="269"/>
      <c r="J694" s="270"/>
    </row>
    <row r="695" spans="1:10" ht="15.75" customHeight="1">
      <c r="A695" s="142" t="s">
        <v>23</v>
      </c>
      <c r="B695" s="142" t="s">
        <v>24</v>
      </c>
      <c r="C695" s="142" t="s">
        <v>4796</v>
      </c>
      <c r="D695" s="143" t="s">
        <v>27</v>
      </c>
      <c r="E695" s="142" t="s">
        <v>4797</v>
      </c>
      <c r="F695" s="142" t="s">
        <v>835</v>
      </c>
      <c r="G695" s="142" t="s">
        <v>4798</v>
      </c>
      <c r="H695" s="144" t="s">
        <v>30</v>
      </c>
      <c r="I695" s="145" t="s">
        <v>4799</v>
      </c>
      <c r="J695" s="142" t="s">
        <v>4800</v>
      </c>
    </row>
    <row r="696" spans="1:10" ht="15.75" customHeight="1">
      <c r="A696" s="146" t="s">
        <v>35</v>
      </c>
      <c r="B696" s="147">
        <v>1</v>
      </c>
      <c r="C696" s="148"/>
      <c r="D696" s="149"/>
      <c r="E696" s="147"/>
      <c r="F696" s="147"/>
      <c r="G696" s="147"/>
      <c r="H696" s="150"/>
      <c r="I696" s="151"/>
      <c r="J696" s="152"/>
    </row>
    <row r="697" spans="1:10" ht="15.75" customHeight="1">
      <c r="A697" s="146" t="s">
        <v>35</v>
      </c>
      <c r="B697" s="147">
        <v>2</v>
      </c>
      <c r="C697" s="148"/>
      <c r="D697" s="149"/>
      <c r="E697" s="147"/>
      <c r="F697" s="147"/>
      <c r="G697" s="147"/>
      <c r="H697" s="150"/>
      <c r="I697" s="151"/>
      <c r="J697" s="152"/>
    </row>
    <row r="698" spans="1:10" ht="15.75" customHeight="1">
      <c r="A698" s="146" t="s">
        <v>35</v>
      </c>
      <c r="B698" s="147">
        <v>3</v>
      </c>
      <c r="C698" s="148"/>
      <c r="D698" s="149"/>
      <c r="E698" s="147"/>
      <c r="F698" s="147"/>
      <c r="G698" s="147"/>
      <c r="H698" s="150"/>
      <c r="I698" s="151"/>
      <c r="J698" s="153"/>
    </row>
    <row r="699" spans="1:10" ht="15.75" customHeight="1">
      <c r="A699" s="146" t="s">
        <v>35</v>
      </c>
      <c r="B699" s="147">
        <v>4</v>
      </c>
      <c r="C699" s="148"/>
      <c r="D699" s="149"/>
      <c r="E699" s="147"/>
      <c r="F699" s="147"/>
      <c r="G699" s="147"/>
      <c r="H699" s="150"/>
      <c r="I699" s="151"/>
      <c r="J699" s="153"/>
    </row>
    <row r="700" spans="1:10" ht="15.75" customHeight="1">
      <c r="A700" s="146" t="s">
        <v>35</v>
      </c>
      <c r="B700" s="147">
        <v>5</v>
      </c>
      <c r="C700" s="148"/>
      <c r="D700" s="149"/>
      <c r="E700" s="147"/>
      <c r="F700" s="147"/>
      <c r="G700" s="147"/>
      <c r="H700" s="150"/>
      <c r="I700" s="151"/>
      <c r="J700" s="153"/>
    </row>
    <row r="701" spans="1:10" ht="15.75" customHeight="1">
      <c r="A701" s="146" t="s">
        <v>35</v>
      </c>
      <c r="B701" s="147">
        <v>6</v>
      </c>
      <c r="C701" s="148"/>
      <c r="D701" s="149"/>
      <c r="E701" s="147"/>
      <c r="F701" s="147"/>
      <c r="G701" s="147"/>
      <c r="H701" s="150"/>
      <c r="I701" s="151"/>
      <c r="J701" s="153"/>
    </row>
    <row r="702" spans="1:10" ht="15.75" customHeight="1">
      <c r="A702" s="154" t="s">
        <v>35</v>
      </c>
      <c r="B702" s="152">
        <v>7</v>
      </c>
      <c r="C702" s="152"/>
      <c r="D702" s="152"/>
      <c r="E702" s="152"/>
      <c r="F702" s="152"/>
      <c r="G702" s="152"/>
      <c r="H702" s="155"/>
      <c r="I702" s="151"/>
      <c r="J702" s="152"/>
    </row>
    <row r="703" spans="1:10" ht="15.75" customHeight="1">
      <c r="A703" s="154" t="s">
        <v>35</v>
      </c>
      <c r="B703" s="152">
        <v>8</v>
      </c>
      <c r="C703" s="152"/>
      <c r="D703" s="152"/>
      <c r="E703" s="152"/>
      <c r="F703" s="152"/>
      <c r="G703" s="152"/>
      <c r="H703" s="155"/>
      <c r="I703" s="151"/>
      <c r="J703" s="152"/>
    </row>
    <row r="704" spans="1:10" ht="15.75" customHeight="1">
      <c r="A704" s="154" t="s">
        <v>35</v>
      </c>
      <c r="B704" s="152">
        <v>9</v>
      </c>
      <c r="C704" s="156"/>
      <c r="D704" s="153"/>
      <c r="E704" s="152"/>
      <c r="F704" s="152"/>
      <c r="G704" s="152"/>
      <c r="H704" s="155"/>
      <c r="I704" s="151"/>
      <c r="J704" s="153"/>
    </row>
    <row r="705" spans="1:10" ht="15.75" customHeight="1">
      <c r="A705" s="154" t="s">
        <v>35</v>
      </c>
      <c r="B705" s="152">
        <v>10</v>
      </c>
      <c r="C705" s="156"/>
      <c r="D705" s="153"/>
      <c r="E705" s="152"/>
      <c r="F705" s="152"/>
      <c r="G705" s="152"/>
      <c r="H705" s="155"/>
      <c r="I705" s="151"/>
      <c r="J705" s="153"/>
    </row>
    <row r="706" spans="1:10" ht="15.75" customHeight="1">
      <c r="A706" s="154" t="s">
        <v>35</v>
      </c>
      <c r="B706" s="152">
        <v>11</v>
      </c>
      <c r="C706" s="156"/>
      <c r="D706" s="153"/>
      <c r="E706" s="152"/>
      <c r="F706" s="152"/>
      <c r="G706" s="152"/>
      <c r="H706" s="155"/>
      <c r="I706" s="151"/>
      <c r="J706" s="153"/>
    </row>
    <row r="707" spans="1:10" ht="15.75" customHeight="1">
      <c r="A707" s="154" t="s">
        <v>35</v>
      </c>
      <c r="B707" s="152">
        <v>12</v>
      </c>
      <c r="C707" s="156"/>
      <c r="D707" s="153"/>
      <c r="E707" s="152"/>
      <c r="F707" s="152"/>
      <c r="G707" s="152"/>
      <c r="H707" s="155"/>
      <c r="I707" s="151"/>
      <c r="J707" s="153"/>
    </row>
    <row r="708" spans="1:10" ht="15.75" customHeight="1">
      <c r="A708" s="154" t="s">
        <v>35</v>
      </c>
      <c r="B708" s="152">
        <v>13</v>
      </c>
      <c r="C708" s="156"/>
      <c r="D708" s="153"/>
      <c r="E708" s="152"/>
      <c r="F708" s="152"/>
      <c r="G708" s="152"/>
      <c r="H708" s="155"/>
      <c r="I708" s="151"/>
      <c r="J708" s="153"/>
    </row>
    <row r="709" spans="1:10" ht="15.75" customHeight="1">
      <c r="A709" s="154" t="s">
        <v>35</v>
      </c>
      <c r="B709" s="152">
        <v>14</v>
      </c>
      <c r="C709" s="156"/>
      <c r="D709" s="153"/>
      <c r="E709" s="152"/>
      <c r="F709" s="152"/>
      <c r="G709" s="152"/>
      <c r="H709" s="155"/>
      <c r="I709" s="151"/>
      <c r="J709" s="153"/>
    </row>
    <row r="710" spans="1:10" ht="15.75" customHeight="1">
      <c r="A710" s="154" t="s">
        <v>35</v>
      </c>
      <c r="B710" s="152">
        <v>15</v>
      </c>
      <c r="C710" s="156"/>
      <c r="D710" s="153"/>
      <c r="E710" s="152"/>
      <c r="F710" s="152"/>
      <c r="G710" s="152"/>
      <c r="H710" s="155"/>
      <c r="I710" s="151"/>
      <c r="J710" s="152"/>
    </row>
    <row r="711" spans="1:10" ht="15.75" customHeight="1">
      <c r="A711" s="154" t="s">
        <v>35</v>
      </c>
      <c r="B711" s="152">
        <v>16</v>
      </c>
      <c r="C711" s="156"/>
      <c r="D711" s="153"/>
      <c r="E711" s="152"/>
      <c r="F711" s="152"/>
      <c r="G711" s="152"/>
      <c r="H711" s="155"/>
      <c r="I711" s="151"/>
      <c r="J711" s="152"/>
    </row>
    <row r="712" spans="1:10" ht="15.75" customHeight="1">
      <c r="A712" s="154" t="s">
        <v>35</v>
      </c>
      <c r="B712" s="152">
        <v>17</v>
      </c>
      <c r="C712" s="152"/>
      <c r="D712" s="152"/>
      <c r="E712" s="152"/>
      <c r="F712" s="152"/>
      <c r="G712" s="152"/>
      <c r="H712" s="155"/>
      <c r="I712" s="151"/>
      <c r="J712" s="152"/>
    </row>
    <row r="713" spans="1:10" ht="15.75" customHeight="1">
      <c r="A713" s="154" t="s">
        <v>35</v>
      </c>
      <c r="B713" s="152">
        <v>18</v>
      </c>
      <c r="C713" s="152"/>
      <c r="D713" s="152"/>
      <c r="E713" s="152"/>
      <c r="F713" s="152"/>
      <c r="G713" s="152"/>
      <c r="H713" s="155"/>
      <c r="I713" s="151"/>
      <c r="J713" s="152"/>
    </row>
    <row r="714" spans="1:10" ht="15.75" customHeight="1">
      <c r="A714" s="154" t="s">
        <v>35</v>
      </c>
      <c r="B714" s="152">
        <v>19</v>
      </c>
      <c r="C714" s="155"/>
      <c r="D714" s="153"/>
      <c r="E714" s="152"/>
      <c r="F714" s="152"/>
      <c r="G714" s="152"/>
      <c r="H714" s="155"/>
      <c r="I714" s="151"/>
      <c r="J714" s="152"/>
    </row>
    <row r="715" spans="1:10" ht="15.75" customHeight="1">
      <c r="A715" s="154" t="s">
        <v>35</v>
      </c>
      <c r="B715" s="152">
        <v>20</v>
      </c>
      <c r="C715" s="155"/>
      <c r="D715" s="153"/>
      <c r="E715" s="152"/>
      <c r="F715" s="152"/>
      <c r="G715" s="152"/>
      <c r="H715" s="155"/>
      <c r="I715" s="151"/>
      <c r="J715" s="152"/>
    </row>
    <row r="716" spans="1:10" ht="15.75" customHeight="1">
      <c r="A716" s="154" t="s">
        <v>35</v>
      </c>
      <c r="B716" s="152">
        <v>21</v>
      </c>
      <c r="C716" s="156"/>
      <c r="D716" s="153"/>
      <c r="E716" s="152"/>
      <c r="F716" s="152"/>
      <c r="G716" s="152"/>
      <c r="H716" s="157"/>
      <c r="I716" s="151"/>
      <c r="J716" s="152"/>
    </row>
    <row r="717" spans="1:10" ht="15.75" customHeight="1">
      <c r="A717" s="154" t="s">
        <v>35</v>
      </c>
      <c r="B717" s="152">
        <v>22</v>
      </c>
      <c r="C717" s="156"/>
      <c r="D717" s="153"/>
      <c r="E717" s="152"/>
      <c r="F717" s="152"/>
      <c r="G717" s="152"/>
      <c r="H717" s="157"/>
      <c r="I717" s="151"/>
      <c r="J717" s="152"/>
    </row>
    <row r="718" spans="1:10" ht="15.75" customHeight="1">
      <c r="A718" s="154" t="s">
        <v>35</v>
      </c>
      <c r="B718" s="152">
        <v>23</v>
      </c>
      <c r="C718" s="155"/>
      <c r="D718" s="153"/>
      <c r="E718" s="152"/>
      <c r="F718" s="152"/>
      <c r="G718" s="152"/>
      <c r="H718" s="155"/>
      <c r="I718" s="151"/>
      <c r="J718" s="152"/>
    </row>
    <row r="719" spans="1:10" ht="15.75" customHeight="1">
      <c r="A719" s="154" t="s">
        <v>35</v>
      </c>
      <c r="B719" s="152">
        <v>24</v>
      </c>
      <c r="C719" s="155"/>
      <c r="D719" s="153"/>
      <c r="E719" s="152"/>
      <c r="F719" s="152"/>
      <c r="G719" s="152"/>
      <c r="H719" s="155"/>
      <c r="I719" s="151"/>
      <c r="J719" s="152"/>
    </row>
    <row r="720" spans="1:10" ht="15.75" customHeight="1">
      <c r="A720" s="158"/>
      <c r="B720" s="159"/>
      <c r="C720" s="159"/>
      <c r="D720" s="160"/>
      <c r="E720" s="159"/>
      <c r="F720" s="159"/>
      <c r="G720" s="159"/>
      <c r="H720" s="161"/>
      <c r="I720" s="162"/>
      <c r="J720" s="159"/>
    </row>
    <row r="721" spans="1:10" ht="15.75" customHeight="1">
      <c r="A721" s="146" t="s">
        <v>90</v>
      </c>
      <c r="B721" s="147">
        <v>1</v>
      </c>
      <c r="C721" s="148"/>
      <c r="D721" s="149"/>
      <c r="E721" s="147"/>
      <c r="F721" s="147"/>
      <c r="G721" s="147"/>
      <c r="H721" s="150"/>
      <c r="I721" s="163"/>
    </row>
    <row r="722" spans="1:10" ht="15.75" customHeight="1">
      <c r="A722" s="146" t="s">
        <v>90</v>
      </c>
      <c r="B722" s="147">
        <v>3</v>
      </c>
      <c r="C722" s="148"/>
      <c r="D722" s="149"/>
      <c r="E722" s="147"/>
      <c r="F722" s="147"/>
      <c r="G722" s="147"/>
      <c r="H722" s="150"/>
      <c r="I722" s="164"/>
      <c r="J722" s="147"/>
    </row>
    <row r="723" spans="1:10" ht="15.75" customHeight="1">
      <c r="A723" s="146" t="s">
        <v>90</v>
      </c>
      <c r="B723" s="147">
        <v>4</v>
      </c>
      <c r="C723" s="148"/>
      <c r="D723" s="149"/>
      <c r="E723" s="147"/>
      <c r="F723" s="147"/>
      <c r="G723" s="147"/>
      <c r="H723" s="150"/>
      <c r="I723" s="164"/>
      <c r="J723" s="147"/>
    </row>
    <row r="724" spans="1:10" ht="15.75" customHeight="1">
      <c r="A724" s="146" t="s">
        <v>90</v>
      </c>
      <c r="B724" s="147">
        <v>5</v>
      </c>
      <c r="C724" s="148"/>
      <c r="D724" s="149"/>
      <c r="E724" s="147"/>
      <c r="F724" s="147"/>
      <c r="G724" s="147"/>
      <c r="H724" s="150"/>
      <c r="I724" s="164"/>
      <c r="J724" s="147"/>
    </row>
    <row r="725" spans="1:10" ht="15.75" customHeight="1">
      <c r="A725" s="146" t="s">
        <v>90</v>
      </c>
      <c r="B725" s="147">
        <v>6</v>
      </c>
      <c r="C725" s="148"/>
      <c r="D725" s="149"/>
      <c r="E725" s="147"/>
      <c r="F725" s="147"/>
      <c r="G725" s="147"/>
      <c r="H725" s="150"/>
      <c r="I725" s="164"/>
      <c r="J725" s="147"/>
    </row>
    <row r="726" spans="1:10" ht="15.75" customHeight="1">
      <c r="A726" s="146" t="s">
        <v>90</v>
      </c>
      <c r="B726" s="147">
        <v>7</v>
      </c>
      <c r="C726" s="147"/>
      <c r="D726" s="149"/>
      <c r="E726" s="147"/>
      <c r="F726" s="147"/>
      <c r="G726" s="147"/>
      <c r="H726" s="150"/>
      <c r="I726" s="164"/>
      <c r="J726" s="147"/>
    </row>
    <row r="727" spans="1:10" ht="15.75" customHeight="1">
      <c r="A727" s="146" t="s">
        <v>90</v>
      </c>
      <c r="B727" s="147">
        <v>8</v>
      </c>
      <c r="C727" s="147"/>
      <c r="D727" s="149"/>
      <c r="E727" s="147"/>
      <c r="F727" s="147"/>
      <c r="G727" s="147"/>
      <c r="H727" s="150"/>
      <c r="I727" s="164"/>
      <c r="J727" s="147"/>
    </row>
    <row r="728" spans="1:10" ht="15.75" customHeight="1">
      <c r="A728" s="146" t="s">
        <v>90</v>
      </c>
      <c r="B728" s="147">
        <v>9</v>
      </c>
      <c r="C728" s="147"/>
      <c r="D728" s="149"/>
      <c r="E728" s="147"/>
      <c r="F728" s="147"/>
      <c r="G728" s="147"/>
      <c r="H728" s="150"/>
      <c r="I728" s="164"/>
      <c r="J728" s="147"/>
    </row>
    <row r="729" spans="1:10" ht="15.75" customHeight="1">
      <c r="A729" s="146" t="s">
        <v>90</v>
      </c>
      <c r="B729" s="147">
        <v>10</v>
      </c>
      <c r="C729" s="147"/>
      <c r="D729" s="149"/>
      <c r="E729" s="147"/>
      <c r="F729" s="147"/>
      <c r="G729" s="147"/>
      <c r="H729" s="150"/>
      <c r="I729" s="164"/>
      <c r="J729" s="147"/>
    </row>
    <row r="730" spans="1:10" ht="15.75" customHeight="1">
      <c r="A730" s="146" t="s">
        <v>90</v>
      </c>
      <c r="B730" s="147">
        <v>11</v>
      </c>
      <c r="C730" s="147"/>
      <c r="D730" s="149"/>
      <c r="E730" s="147"/>
      <c r="F730" s="147"/>
      <c r="G730" s="147"/>
      <c r="H730" s="150"/>
      <c r="I730" s="164"/>
      <c r="J730" s="147"/>
    </row>
    <row r="731" spans="1:10" ht="15.75" customHeight="1">
      <c r="A731" s="146" t="s">
        <v>90</v>
      </c>
      <c r="B731" s="147">
        <v>12</v>
      </c>
      <c r="C731" s="147"/>
      <c r="D731" s="149"/>
      <c r="E731" s="147"/>
      <c r="F731" s="147"/>
      <c r="G731" s="147"/>
      <c r="H731" s="150"/>
      <c r="I731" s="164"/>
      <c r="J731" s="147"/>
    </row>
    <row r="732" spans="1:10" ht="15.75" customHeight="1">
      <c r="A732" s="146" t="s">
        <v>90</v>
      </c>
      <c r="B732" s="147">
        <v>13</v>
      </c>
      <c r="C732" s="147"/>
      <c r="D732" s="149"/>
      <c r="E732" s="147"/>
      <c r="F732" s="147"/>
      <c r="G732" s="147"/>
      <c r="H732" s="150"/>
      <c r="I732" s="164"/>
      <c r="J732" s="147"/>
    </row>
    <row r="733" spans="1:10" ht="15.75" customHeight="1">
      <c r="A733" s="146" t="s">
        <v>90</v>
      </c>
      <c r="B733" s="147">
        <v>14</v>
      </c>
      <c r="C733" s="147"/>
      <c r="D733" s="149"/>
      <c r="E733" s="147"/>
      <c r="F733" s="147"/>
      <c r="G733" s="147"/>
      <c r="H733" s="150"/>
      <c r="I733" s="164"/>
      <c r="J733" s="147"/>
    </row>
    <row r="734" spans="1:10" ht="15.75" customHeight="1">
      <c r="A734" s="146" t="s">
        <v>90</v>
      </c>
      <c r="B734" s="147">
        <v>15</v>
      </c>
      <c r="C734" s="147"/>
      <c r="D734" s="149"/>
      <c r="E734" s="147"/>
      <c r="F734" s="147"/>
      <c r="G734" s="147"/>
      <c r="H734" s="150"/>
      <c r="I734" s="164"/>
      <c r="J734" s="147"/>
    </row>
    <row r="735" spans="1:10" ht="15.75" customHeight="1">
      <c r="A735" s="146" t="s">
        <v>90</v>
      </c>
      <c r="B735" s="147">
        <v>16</v>
      </c>
      <c r="C735" s="147"/>
      <c r="D735" s="149"/>
      <c r="E735" s="147"/>
      <c r="F735" s="147"/>
      <c r="G735" s="147"/>
      <c r="H735" s="150"/>
      <c r="I735" s="164"/>
      <c r="J735" s="147"/>
    </row>
    <row r="736" spans="1:10" ht="15.75" customHeight="1">
      <c r="A736" s="146" t="s">
        <v>90</v>
      </c>
      <c r="B736" s="147">
        <v>17</v>
      </c>
      <c r="C736" s="147"/>
      <c r="D736" s="149"/>
      <c r="E736" s="147"/>
      <c r="F736" s="147"/>
      <c r="G736" s="147"/>
      <c r="H736" s="150"/>
      <c r="I736" s="163"/>
    </row>
    <row r="737" spans="1:10" ht="15.75" customHeight="1">
      <c r="A737" s="146" t="s">
        <v>90</v>
      </c>
      <c r="B737" s="147">
        <v>18</v>
      </c>
      <c r="C737" s="147"/>
      <c r="D737" s="149"/>
      <c r="E737" s="147"/>
      <c r="F737" s="147"/>
      <c r="G737" s="147"/>
      <c r="H737" s="150"/>
      <c r="I737" s="163"/>
      <c r="J737" s="147"/>
    </row>
    <row r="738" spans="1:10" ht="15.75" customHeight="1">
      <c r="A738" s="146" t="s">
        <v>90</v>
      </c>
      <c r="B738" s="147">
        <v>19</v>
      </c>
      <c r="C738" s="147"/>
      <c r="D738" s="149"/>
      <c r="E738" s="147"/>
      <c r="F738" s="147"/>
      <c r="G738" s="147"/>
      <c r="H738" s="150"/>
      <c r="I738" s="164"/>
      <c r="J738" s="147"/>
    </row>
    <row r="739" spans="1:10" ht="15.75" customHeight="1">
      <c r="A739" s="146" t="s">
        <v>90</v>
      </c>
      <c r="B739" s="147">
        <v>20</v>
      </c>
      <c r="C739" s="147"/>
      <c r="D739" s="149"/>
      <c r="E739" s="147"/>
      <c r="F739" s="147"/>
      <c r="G739" s="147"/>
      <c r="H739" s="150"/>
      <c r="I739" s="164"/>
      <c r="J739" s="147"/>
    </row>
    <row r="740" spans="1:10" ht="15.75" customHeight="1">
      <c r="A740" s="146" t="s">
        <v>90</v>
      </c>
      <c r="B740" s="147">
        <v>21</v>
      </c>
      <c r="C740" s="147"/>
      <c r="D740" s="149"/>
      <c r="E740" s="147"/>
      <c r="F740" s="147"/>
      <c r="G740" s="147"/>
      <c r="H740" s="150"/>
      <c r="I740" s="163"/>
      <c r="J740" s="147"/>
    </row>
    <row r="741" spans="1:10" ht="15.75" customHeight="1">
      <c r="A741" s="146" t="s">
        <v>90</v>
      </c>
      <c r="B741" s="147">
        <v>22</v>
      </c>
      <c r="C741" s="147"/>
      <c r="D741" s="149"/>
      <c r="E741" s="147"/>
      <c r="F741" s="147"/>
      <c r="G741" s="147"/>
      <c r="H741" s="150"/>
      <c r="I741" s="163"/>
      <c r="J741" s="147"/>
    </row>
    <row r="742" spans="1:10" ht="15.75" customHeight="1">
      <c r="A742" s="146" t="s">
        <v>90</v>
      </c>
      <c r="B742" s="147">
        <v>23</v>
      </c>
      <c r="C742" s="147"/>
      <c r="D742" s="149"/>
      <c r="E742" s="147"/>
      <c r="F742" s="147"/>
      <c r="G742" s="147"/>
      <c r="H742" s="150"/>
      <c r="I742" s="164"/>
      <c r="J742" s="147"/>
    </row>
    <row r="743" spans="1:10" ht="15.75" customHeight="1">
      <c r="A743" s="146" t="s">
        <v>90</v>
      </c>
      <c r="B743" s="147">
        <v>24</v>
      </c>
      <c r="C743" s="147"/>
      <c r="D743" s="149"/>
      <c r="E743" s="147"/>
      <c r="F743" s="147"/>
      <c r="G743" s="147"/>
      <c r="H743" s="150"/>
      <c r="I743" s="164"/>
      <c r="J743" s="147"/>
    </row>
    <row r="744" spans="1:10" ht="15.75" customHeight="1">
      <c r="A744" s="158"/>
      <c r="B744" s="159"/>
      <c r="C744" s="159"/>
      <c r="D744" s="160"/>
      <c r="E744" s="159"/>
      <c r="F744" s="159"/>
      <c r="G744" s="159"/>
      <c r="H744" s="161"/>
      <c r="I744" s="162"/>
      <c r="J744" s="159"/>
    </row>
    <row r="745" spans="1:10" ht="15.75" customHeight="1">
      <c r="A745" s="146" t="s">
        <v>144</v>
      </c>
      <c r="B745" s="147">
        <v>1</v>
      </c>
      <c r="C745" s="148"/>
      <c r="D745" s="149"/>
      <c r="E745" s="147"/>
      <c r="F745" s="147"/>
      <c r="G745" s="147"/>
      <c r="H745" s="150"/>
      <c r="I745" s="164"/>
      <c r="J745" s="147"/>
    </row>
    <row r="746" spans="1:10" ht="15.75" customHeight="1">
      <c r="A746" s="146" t="s">
        <v>144</v>
      </c>
      <c r="B746" s="147">
        <v>2</v>
      </c>
      <c r="C746" s="148"/>
      <c r="D746" s="149"/>
      <c r="E746" s="147"/>
      <c r="F746" s="147"/>
      <c r="G746" s="147"/>
      <c r="H746" s="150"/>
      <c r="I746" s="164"/>
      <c r="J746" s="147"/>
    </row>
    <row r="747" spans="1:10" ht="15.75" customHeight="1">
      <c r="A747" s="146" t="s">
        <v>144</v>
      </c>
      <c r="B747" s="147">
        <v>3</v>
      </c>
      <c r="C747" s="148"/>
      <c r="D747" s="149"/>
      <c r="E747" s="147"/>
      <c r="F747" s="147"/>
      <c r="G747" s="147"/>
      <c r="H747" s="150"/>
      <c r="I747" s="164"/>
      <c r="J747" s="147"/>
    </row>
    <row r="748" spans="1:10" ht="15.75" customHeight="1">
      <c r="A748" s="146" t="s">
        <v>144</v>
      </c>
      <c r="B748" s="147">
        <v>4</v>
      </c>
      <c r="C748" s="148"/>
      <c r="D748" s="149"/>
      <c r="E748" s="147"/>
      <c r="F748" s="147"/>
      <c r="G748" s="147"/>
      <c r="H748" s="150"/>
      <c r="I748" s="164"/>
      <c r="J748" s="147"/>
    </row>
    <row r="749" spans="1:10" ht="15.75" customHeight="1">
      <c r="A749" s="146" t="s">
        <v>144</v>
      </c>
      <c r="B749" s="147">
        <v>5</v>
      </c>
      <c r="C749" s="148"/>
      <c r="D749" s="149"/>
      <c r="E749" s="147"/>
      <c r="F749" s="147"/>
      <c r="G749" s="147"/>
      <c r="H749" s="150"/>
      <c r="I749" s="164"/>
      <c r="J749" s="147"/>
    </row>
    <row r="750" spans="1:10" ht="15.75" customHeight="1">
      <c r="A750" s="146" t="s">
        <v>144</v>
      </c>
      <c r="B750" s="147">
        <v>6</v>
      </c>
      <c r="C750" s="148"/>
      <c r="D750" s="149"/>
      <c r="E750" s="147"/>
      <c r="F750" s="147"/>
      <c r="G750" s="147"/>
      <c r="H750" s="150"/>
      <c r="I750" s="164"/>
      <c r="J750" s="147"/>
    </row>
    <row r="751" spans="1:10" ht="15.75" customHeight="1">
      <c r="A751" s="146" t="s">
        <v>144</v>
      </c>
      <c r="B751" s="147">
        <v>7</v>
      </c>
      <c r="C751" s="148"/>
      <c r="D751" s="149"/>
      <c r="E751" s="147"/>
      <c r="F751" s="147"/>
      <c r="G751" s="147"/>
      <c r="H751" s="150"/>
      <c r="I751" s="164"/>
      <c r="J751" s="147"/>
    </row>
    <row r="752" spans="1:10" ht="15.75" customHeight="1">
      <c r="A752" s="146" t="s">
        <v>144</v>
      </c>
      <c r="B752" s="147">
        <v>8</v>
      </c>
      <c r="C752" s="148"/>
      <c r="D752" s="149"/>
      <c r="E752" s="147"/>
      <c r="F752" s="147"/>
      <c r="G752" s="147"/>
      <c r="H752" s="150"/>
      <c r="I752" s="164"/>
      <c r="J752" s="147"/>
    </row>
    <row r="753" spans="1:10" ht="15.75" customHeight="1">
      <c r="A753" s="146" t="s">
        <v>144</v>
      </c>
      <c r="B753" s="147">
        <v>9</v>
      </c>
      <c r="C753" s="148"/>
      <c r="D753" s="149"/>
      <c r="E753" s="147"/>
      <c r="F753" s="147"/>
      <c r="G753" s="147"/>
      <c r="H753" s="150"/>
      <c r="I753" s="164"/>
      <c r="J753" s="147"/>
    </row>
    <row r="754" spans="1:10" ht="15.75" customHeight="1">
      <c r="A754" s="146" t="s">
        <v>144</v>
      </c>
      <c r="B754" s="147">
        <v>10</v>
      </c>
      <c r="C754" s="148"/>
      <c r="D754" s="149"/>
      <c r="E754" s="147"/>
      <c r="F754" s="147"/>
      <c r="G754" s="147"/>
      <c r="H754" s="150"/>
      <c r="I754" s="164"/>
      <c r="J754" s="147"/>
    </row>
    <row r="755" spans="1:10" ht="15.75" customHeight="1">
      <c r="A755" s="146" t="s">
        <v>144</v>
      </c>
      <c r="B755" s="147">
        <v>11</v>
      </c>
      <c r="C755" s="148"/>
      <c r="D755" s="149"/>
      <c r="E755" s="147"/>
      <c r="F755" s="147"/>
      <c r="G755" s="147"/>
      <c r="H755" s="150"/>
      <c r="I755" s="164"/>
      <c r="J755" s="147"/>
    </row>
    <row r="756" spans="1:10" ht="15.75" customHeight="1">
      <c r="A756" s="146" t="s">
        <v>144</v>
      </c>
      <c r="B756" s="147">
        <v>12</v>
      </c>
      <c r="C756" s="148"/>
      <c r="D756" s="149"/>
      <c r="E756" s="147"/>
      <c r="F756" s="147"/>
      <c r="G756" s="147"/>
      <c r="H756" s="150"/>
      <c r="I756" s="164"/>
      <c r="J756" s="147"/>
    </row>
    <row r="757" spans="1:10" ht="15.75" customHeight="1">
      <c r="A757" s="146" t="s">
        <v>144</v>
      </c>
      <c r="B757" s="147">
        <v>13</v>
      </c>
      <c r="C757" s="148"/>
      <c r="D757" s="149"/>
      <c r="E757" s="147"/>
      <c r="F757" s="147"/>
      <c r="G757" s="147"/>
      <c r="H757" s="150"/>
      <c r="I757" s="164"/>
      <c r="J757" s="147"/>
    </row>
    <row r="758" spans="1:10" ht="15.75" customHeight="1">
      <c r="A758" s="146" t="s">
        <v>144</v>
      </c>
      <c r="B758" s="147">
        <v>14</v>
      </c>
      <c r="C758" s="148"/>
      <c r="D758" s="149"/>
      <c r="E758" s="147"/>
      <c r="F758" s="147"/>
      <c r="G758" s="147"/>
      <c r="H758" s="150"/>
      <c r="I758" s="164"/>
      <c r="J758" s="147"/>
    </row>
    <row r="759" spans="1:10" ht="15.75" customHeight="1">
      <c r="A759" s="146" t="s">
        <v>144</v>
      </c>
      <c r="B759" s="147">
        <v>15</v>
      </c>
      <c r="C759" s="148"/>
      <c r="D759" s="149"/>
      <c r="E759" s="147"/>
      <c r="F759" s="147"/>
      <c r="G759" s="147"/>
      <c r="H759" s="150"/>
      <c r="I759" s="164"/>
      <c r="J759" s="147"/>
    </row>
    <row r="760" spans="1:10" ht="15.75" customHeight="1">
      <c r="A760" s="146" t="s">
        <v>144</v>
      </c>
      <c r="B760" s="147">
        <v>16</v>
      </c>
      <c r="C760" s="148"/>
      <c r="D760" s="149"/>
      <c r="E760" s="147"/>
      <c r="F760" s="147"/>
      <c r="G760" s="147"/>
      <c r="H760" s="150"/>
      <c r="I760" s="164"/>
      <c r="J760" s="147"/>
    </row>
    <row r="761" spans="1:10" ht="15.75" customHeight="1">
      <c r="A761" s="146" t="s">
        <v>144</v>
      </c>
      <c r="B761" s="147">
        <v>17</v>
      </c>
      <c r="C761" s="148"/>
      <c r="D761" s="149"/>
      <c r="E761" s="147"/>
      <c r="F761" s="147"/>
      <c r="G761" s="147"/>
      <c r="H761" s="150"/>
      <c r="I761" s="164"/>
      <c r="J761" s="147"/>
    </row>
    <row r="762" spans="1:10" ht="15.75" customHeight="1">
      <c r="A762" s="146" t="s">
        <v>144</v>
      </c>
      <c r="B762" s="147">
        <v>18</v>
      </c>
      <c r="C762" s="148"/>
      <c r="D762" s="149"/>
      <c r="E762" s="147"/>
      <c r="F762" s="147"/>
      <c r="G762" s="147"/>
      <c r="H762" s="150"/>
      <c r="I762" s="164"/>
      <c r="J762" s="147"/>
    </row>
    <row r="763" spans="1:10" ht="15.75" customHeight="1">
      <c r="A763" s="146" t="s">
        <v>144</v>
      </c>
      <c r="B763" s="147">
        <v>19</v>
      </c>
      <c r="C763" s="148"/>
      <c r="D763" s="149"/>
      <c r="E763" s="147"/>
      <c r="F763" s="147"/>
      <c r="G763" s="147"/>
      <c r="H763" s="150"/>
      <c r="I763" s="164"/>
      <c r="J763" s="147"/>
    </row>
    <row r="764" spans="1:10" ht="15.75" customHeight="1">
      <c r="A764" s="146" t="s">
        <v>144</v>
      </c>
      <c r="B764" s="147">
        <v>20</v>
      </c>
      <c r="C764" s="148"/>
      <c r="D764" s="149"/>
      <c r="E764" s="147"/>
      <c r="F764" s="147"/>
      <c r="G764" s="147"/>
      <c r="H764" s="150"/>
      <c r="I764" s="164"/>
      <c r="J764" s="147"/>
    </row>
    <row r="765" spans="1:10" ht="15.75" customHeight="1">
      <c r="A765" s="146" t="s">
        <v>144</v>
      </c>
      <c r="B765" s="147">
        <v>21</v>
      </c>
      <c r="C765" s="148"/>
      <c r="D765" s="149"/>
      <c r="E765" s="147"/>
      <c r="F765" s="147"/>
      <c r="G765" s="147"/>
      <c r="H765" s="150"/>
      <c r="I765" s="164"/>
      <c r="J765" s="147"/>
    </row>
    <row r="766" spans="1:10" ht="15.75" customHeight="1">
      <c r="A766" s="146" t="s">
        <v>144</v>
      </c>
      <c r="B766" s="147">
        <v>22</v>
      </c>
      <c r="C766" s="148"/>
      <c r="D766" s="149"/>
      <c r="E766" s="147"/>
      <c r="F766" s="147"/>
      <c r="G766" s="147"/>
      <c r="H766" s="150"/>
      <c r="I766" s="164"/>
      <c r="J766" s="147"/>
    </row>
    <row r="767" spans="1:10" ht="15.75" customHeight="1">
      <c r="A767" s="146" t="s">
        <v>144</v>
      </c>
      <c r="B767" s="147">
        <v>23</v>
      </c>
      <c r="C767" s="148"/>
      <c r="D767" s="149"/>
      <c r="E767" s="147"/>
      <c r="F767" s="147"/>
      <c r="G767" s="147"/>
      <c r="H767" s="150"/>
      <c r="I767" s="164"/>
      <c r="J767" s="147"/>
    </row>
    <row r="768" spans="1:10" ht="15.75" customHeight="1">
      <c r="A768" s="158"/>
      <c r="B768" s="159"/>
      <c r="C768" s="159"/>
      <c r="D768" s="160"/>
      <c r="E768" s="159"/>
      <c r="F768" s="159"/>
      <c r="G768" s="159"/>
      <c r="H768" s="161"/>
      <c r="I768" s="162"/>
      <c r="J768" s="159"/>
    </row>
    <row r="769" spans="1:10" ht="15.75" customHeight="1">
      <c r="A769" s="146" t="s">
        <v>188</v>
      </c>
      <c r="B769" s="147">
        <v>1</v>
      </c>
      <c r="C769" s="148"/>
      <c r="D769" s="149"/>
      <c r="E769" s="147"/>
      <c r="F769" s="147"/>
      <c r="G769" s="147"/>
      <c r="H769" s="150"/>
      <c r="I769" s="164"/>
      <c r="J769" s="147"/>
    </row>
    <row r="770" spans="1:10" ht="15.75" customHeight="1">
      <c r="A770" s="146" t="s">
        <v>188</v>
      </c>
      <c r="B770" s="147">
        <v>2</v>
      </c>
      <c r="C770" s="148"/>
      <c r="D770" s="149"/>
      <c r="E770" s="147"/>
      <c r="F770" s="147"/>
      <c r="G770" s="147"/>
      <c r="H770" s="150"/>
      <c r="I770" s="164"/>
      <c r="J770" s="147"/>
    </row>
    <row r="771" spans="1:10" ht="15.75" customHeight="1">
      <c r="A771" s="146" t="s">
        <v>188</v>
      </c>
      <c r="B771" s="147">
        <v>3</v>
      </c>
      <c r="C771" s="148"/>
      <c r="D771" s="149"/>
      <c r="E771" s="147"/>
      <c r="F771" s="147"/>
      <c r="G771" s="147"/>
      <c r="H771" s="150"/>
      <c r="I771" s="164"/>
      <c r="J771" s="147"/>
    </row>
    <row r="772" spans="1:10" ht="15.75" customHeight="1">
      <c r="A772" s="146" t="s">
        <v>188</v>
      </c>
      <c r="B772" s="147">
        <v>4</v>
      </c>
      <c r="C772" s="148"/>
      <c r="D772" s="149"/>
      <c r="E772" s="147"/>
      <c r="F772" s="147"/>
      <c r="G772" s="147"/>
      <c r="H772" s="150"/>
      <c r="I772" s="164"/>
      <c r="J772" s="147"/>
    </row>
    <row r="773" spans="1:10" ht="15.75" customHeight="1">
      <c r="A773" s="146" t="s">
        <v>188</v>
      </c>
      <c r="B773" s="147">
        <v>5</v>
      </c>
      <c r="C773" s="148"/>
      <c r="D773" s="149"/>
      <c r="E773" s="147"/>
      <c r="F773" s="147"/>
      <c r="G773" s="147"/>
      <c r="H773" s="150"/>
      <c r="I773" s="151"/>
      <c r="J773" s="152"/>
    </row>
    <row r="774" spans="1:10" ht="15.75" customHeight="1">
      <c r="A774" s="146" t="s">
        <v>188</v>
      </c>
      <c r="B774" s="147">
        <v>6</v>
      </c>
      <c r="C774" s="148"/>
      <c r="D774" s="149"/>
      <c r="E774" s="147"/>
      <c r="F774" s="147"/>
      <c r="G774" s="147"/>
      <c r="H774" s="150"/>
      <c r="I774" s="164"/>
      <c r="J774" s="147"/>
    </row>
    <row r="775" spans="1:10" ht="15.75" customHeight="1">
      <c r="A775" s="146" t="s">
        <v>188</v>
      </c>
      <c r="B775" s="147">
        <v>7</v>
      </c>
      <c r="C775" s="148"/>
      <c r="D775" s="149"/>
      <c r="E775" s="147"/>
      <c r="F775" s="147"/>
      <c r="G775" s="147"/>
      <c r="H775" s="150"/>
      <c r="I775" s="164"/>
      <c r="J775" s="147"/>
    </row>
    <row r="776" spans="1:10" ht="15.75" customHeight="1">
      <c r="A776" s="146" t="s">
        <v>188</v>
      </c>
      <c r="B776" s="147">
        <v>8</v>
      </c>
      <c r="C776" s="148"/>
      <c r="D776" s="149"/>
      <c r="E776" s="147"/>
      <c r="F776" s="147"/>
      <c r="G776" s="147"/>
      <c r="H776" s="150"/>
      <c r="I776" s="164"/>
      <c r="J776" s="147"/>
    </row>
    <row r="777" spans="1:10" ht="15.75" customHeight="1">
      <c r="A777" s="146" t="s">
        <v>188</v>
      </c>
      <c r="B777" s="147">
        <v>9</v>
      </c>
      <c r="C777" s="148"/>
      <c r="D777" s="149"/>
      <c r="E777" s="147"/>
      <c r="F777" s="147"/>
      <c r="G777" s="147"/>
      <c r="H777" s="150"/>
      <c r="I777" s="164"/>
      <c r="J777" s="147"/>
    </row>
    <row r="778" spans="1:10" ht="15.75" customHeight="1">
      <c r="A778" s="146" t="s">
        <v>188</v>
      </c>
      <c r="B778" s="147">
        <v>10</v>
      </c>
      <c r="C778" s="148"/>
      <c r="D778" s="149"/>
      <c r="E778" s="147"/>
      <c r="F778" s="147"/>
      <c r="G778" s="147"/>
      <c r="H778" s="150"/>
      <c r="I778" s="164"/>
      <c r="J778" s="147"/>
    </row>
    <row r="779" spans="1:10" ht="15.75" customHeight="1">
      <c r="A779" s="146" t="s">
        <v>188</v>
      </c>
      <c r="B779" s="147">
        <v>11</v>
      </c>
      <c r="C779" s="148"/>
      <c r="D779" s="149"/>
      <c r="E779" s="147"/>
      <c r="F779" s="147"/>
      <c r="G779" s="147"/>
      <c r="H779" s="150"/>
      <c r="I779" s="164"/>
      <c r="J779" s="147"/>
    </row>
    <row r="780" spans="1:10" ht="15.75" customHeight="1">
      <c r="A780" s="146" t="s">
        <v>188</v>
      </c>
      <c r="B780" s="147">
        <v>12</v>
      </c>
      <c r="C780" s="148"/>
      <c r="D780" s="149"/>
      <c r="E780" s="147"/>
      <c r="F780" s="147"/>
      <c r="G780" s="147"/>
      <c r="H780" s="150"/>
      <c r="I780" s="164"/>
      <c r="J780" s="147"/>
    </row>
    <row r="781" spans="1:10" ht="15.75" customHeight="1">
      <c r="A781" s="146" t="s">
        <v>188</v>
      </c>
      <c r="B781" s="147">
        <v>13</v>
      </c>
      <c r="C781" s="148"/>
      <c r="D781" s="149"/>
      <c r="E781" s="147"/>
      <c r="F781" s="147"/>
      <c r="G781" s="147"/>
      <c r="H781" s="150"/>
      <c r="I781" s="164"/>
      <c r="J781" s="147"/>
    </row>
    <row r="782" spans="1:10" ht="15.75" customHeight="1">
      <c r="A782" s="146" t="s">
        <v>188</v>
      </c>
      <c r="B782" s="147">
        <v>14</v>
      </c>
      <c r="C782" s="148"/>
      <c r="D782" s="149"/>
      <c r="E782" s="147"/>
      <c r="F782" s="147"/>
      <c r="G782" s="147"/>
      <c r="H782" s="150"/>
      <c r="I782" s="164"/>
      <c r="J782" s="147"/>
    </row>
    <row r="783" spans="1:10" ht="15.75" customHeight="1">
      <c r="A783" s="146" t="s">
        <v>188</v>
      </c>
      <c r="B783" s="147">
        <v>15</v>
      </c>
      <c r="C783" s="148"/>
      <c r="D783" s="149"/>
      <c r="E783" s="147"/>
      <c r="F783" s="147"/>
      <c r="G783" s="147"/>
      <c r="H783" s="150"/>
      <c r="I783" s="164"/>
      <c r="J783" s="147"/>
    </row>
    <row r="784" spans="1:10" ht="15.75" customHeight="1">
      <c r="A784" s="146" t="s">
        <v>188</v>
      </c>
      <c r="B784" s="147">
        <v>16</v>
      </c>
      <c r="C784" s="148"/>
      <c r="D784" s="149"/>
      <c r="E784" s="147"/>
      <c r="F784" s="147"/>
      <c r="G784" s="147"/>
      <c r="H784" s="150"/>
      <c r="I784" s="164"/>
      <c r="J784" s="147"/>
    </row>
    <row r="785" spans="1:10" ht="15.75" customHeight="1">
      <c r="A785" s="146" t="s">
        <v>188</v>
      </c>
      <c r="B785" s="147">
        <v>17</v>
      </c>
      <c r="C785" s="148"/>
      <c r="D785" s="149"/>
      <c r="E785" s="147"/>
      <c r="F785" s="147"/>
      <c r="G785" s="147"/>
      <c r="H785" s="150"/>
      <c r="I785" s="164"/>
      <c r="J785" s="147"/>
    </row>
    <row r="786" spans="1:10" ht="15.75" customHeight="1">
      <c r="A786" s="146" t="s">
        <v>188</v>
      </c>
      <c r="B786" s="147">
        <v>18</v>
      </c>
      <c r="C786" s="148"/>
      <c r="D786" s="149"/>
      <c r="E786" s="147"/>
      <c r="F786" s="147"/>
      <c r="G786" s="147"/>
      <c r="H786" s="150"/>
      <c r="I786" s="164"/>
      <c r="J786" s="147"/>
    </row>
    <row r="787" spans="1:10" ht="15.75" customHeight="1">
      <c r="A787" s="146" t="s">
        <v>188</v>
      </c>
      <c r="B787" s="147">
        <v>19</v>
      </c>
      <c r="C787" s="148"/>
      <c r="D787" s="149"/>
      <c r="E787" s="147"/>
      <c r="F787" s="147"/>
      <c r="G787" s="147"/>
      <c r="H787" s="150"/>
      <c r="I787" s="164"/>
      <c r="J787" s="147"/>
    </row>
    <row r="788" spans="1:10" ht="15.75" customHeight="1">
      <c r="A788" s="146" t="s">
        <v>188</v>
      </c>
      <c r="B788" s="147">
        <v>20</v>
      </c>
      <c r="C788" s="148"/>
      <c r="D788" s="149"/>
      <c r="E788" s="147"/>
      <c r="F788" s="147"/>
      <c r="G788" s="147"/>
      <c r="H788" s="150"/>
      <c r="I788" s="164"/>
      <c r="J788" s="147"/>
    </row>
    <row r="789" spans="1:10" ht="15.75" customHeight="1">
      <c r="A789" s="146" t="s">
        <v>188</v>
      </c>
      <c r="B789" s="147">
        <v>21</v>
      </c>
      <c r="C789" s="148"/>
      <c r="D789" s="149"/>
      <c r="E789" s="147"/>
      <c r="F789" s="147"/>
      <c r="G789" s="147"/>
      <c r="H789" s="150"/>
      <c r="I789" s="164"/>
      <c r="J789" s="147"/>
    </row>
    <row r="790" spans="1:10" ht="15.75" customHeight="1">
      <c r="A790" s="146" t="s">
        <v>188</v>
      </c>
      <c r="B790" s="147">
        <v>22</v>
      </c>
      <c r="C790" s="148"/>
      <c r="D790" s="149"/>
      <c r="E790" s="147"/>
      <c r="F790" s="147"/>
      <c r="G790" s="147"/>
      <c r="H790" s="150"/>
      <c r="I790" s="164"/>
      <c r="J790" s="147"/>
    </row>
    <row r="791" spans="1:10" ht="15.75" customHeight="1">
      <c r="A791" s="146" t="s">
        <v>188</v>
      </c>
      <c r="B791" s="147">
        <v>23</v>
      </c>
      <c r="C791" s="148"/>
      <c r="D791" s="149"/>
      <c r="E791" s="147"/>
      <c r="F791" s="147"/>
      <c r="G791" s="147"/>
      <c r="H791" s="150"/>
      <c r="I791" s="164"/>
      <c r="J791" s="147"/>
    </row>
    <row r="792" spans="1:10" ht="15.75" customHeight="1">
      <c r="A792" s="158"/>
      <c r="B792" s="159"/>
      <c r="C792" s="159"/>
      <c r="D792" s="160"/>
      <c r="E792" s="159"/>
      <c r="F792" s="159"/>
      <c r="G792" s="159"/>
      <c r="H792" s="161"/>
      <c r="I792" s="162"/>
      <c r="J792" s="159"/>
    </row>
    <row r="793" spans="1:10" ht="15.75" customHeight="1">
      <c r="A793" s="147"/>
      <c r="B793" s="147"/>
      <c r="C793" s="147"/>
      <c r="D793" s="149"/>
      <c r="E793" s="147"/>
      <c r="F793" s="147"/>
      <c r="G793" s="147"/>
      <c r="H793" s="150"/>
      <c r="I793" s="164"/>
      <c r="J793" s="147"/>
    </row>
    <row r="794" spans="1:10" ht="15.75" customHeight="1">
      <c r="A794" s="147"/>
      <c r="B794" s="147"/>
      <c r="C794" s="147"/>
      <c r="D794" s="149"/>
      <c r="E794" s="147"/>
      <c r="F794" s="147"/>
      <c r="G794" s="147"/>
      <c r="H794" s="150"/>
      <c r="I794" s="164"/>
      <c r="J794" s="147"/>
    </row>
    <row r="795" spans="1:10" ht="15.75" customHeight="1">
      <c r="A795" s="147"/>
      <c r="B795" s="147"/>
      <c r="C795" s="147"/>
      <c r="D795" s="149"/>
      <c r="E795" s="147"/>
      <c r="F795" s="147"/>
      <c r="G795" s="147"/>
      <c r="H795" s="150"/>
      <c r="I795" s="164"/>
      <c r="J795" s="147"/>
    </row>
    <row r="796" spans="1:10" ht="15.75" customHeight="1">
      <c r="A796" s="147"/>
      <c r="B796" s="147"/>
      <c r="C796" s="147"/>
      <c r="D796" s="149"/>
      <c r="E796" s="147"/>
      <c r="F796" s="147"/>
      <c r="G796" s="147"/>
      <c r="H796" s="150"/>
      <c r="I796" s="164"/>
      <c r="J796" s="147"/>
    </row>
    <row r="797" spans="1:10" ht="15.75" customHeight="1">
      <c r="A797" s="147"/>
      <c r="B797" s="147"/>
      <c r="C797" s="147"/>
      <c r="D797" s="149"/>
      <c r="E797" s="147"/>
      <c r="F797" s="147"/>
      <c r="G797" s="147"/>
      <c r="H797" s="150"/>
      <c r="I797" s="164"/>
      <c r="J797" s="147"/>
    </row>
    <row r="798" spans="1:10" ht="15.75" customHeight="1">
      <c r="A798" s="147"/>
      <c r="B798" s="147"/>
      <c r="C798" s="147"/>
      <c r="D798" s="149"/>
      <c r="E798" s="147"/>
      <c r="F798" s="147"/>
      <c r="G798" s="147"/>
      <c r="H798" s="150"/>
      <c r="I798" s="164"/>
      <c r="J798" s="147"/>
    </row>
    <row r="799" spans="1:10" ht="15.75" customHeight="1">
      <c r="A799" s="147"/>
      <c r="B799" s="147"/>
      <c r="C799" s="147"/>
      <c r="D799" s="149"/>
      <c r="E799" s="147"/>
      <c r="F799" s="147"/>
      <c r="G799" s="147"/>
      <c r="H799" s="150"/>
      <c r="I799" s="164"/>
      <c r="J799" s="147"/>
    </row>
    <row r="800" spans="1:10" ht="15.75" customHeight="1">
      <c r="A800" s="147"/>
      <c r="B800" s="147"/>
      <c r="C800" s="147"/>
      <c r="D800" s="149"/>
      <c r="E800" s="147"/>
      <c r="F800" s="147"/>
      <c r="G800" s="147"/>
      <c r="H800" s="150"/>
      <c r="I800" s="164"/>
      <c r="J800" s="147"/>
    </row>
    <row r="801" spans="1:10" ht="15.75" customHeight="1">
      <c r="A801" s="147"/>
      <c r="B801" s="147"/>
      <c r="C801" s="147"/>
      <c r="D801" s="149"/>
      <c r="E801" s="147"/>
      <c r="F801" s="147"/>
      <c r="G801" s="147"/>
      <c r="H801" s="150"/>
      <c r="I801" s="164"/>
      <c r="J801" s="147"/>
    </row>
    <row r="802" spans="1:10" ht="15.75" customHeight="1">
      <c r="A802" s="147"/>
      <c r="B802" s="147"/>
      <c r="C802" s="147"/>
      <c r="D802" s="149"/>
      <c r="E802" s="147"/>
      <c r="F802" s="147"/>
      <c r="G802" s="147"/>
      <c r="H802" s="150"/>
      <c r="I802" s="164"/>
      <c r="J802" s="147"/>
    </row>
    <row r="803" spans="1:10" ht="15.75" customHeight="1">
      <c r="A803" s="147"/>
      <c r="B803" s="147"/>
      <c r="C803" s="147"/>
      <c r="D803" s="149"/>
      <c r="E803" s="147"/>
      <c r="F803" s="147"/>
      <c r="G803" s="147"/>
      <c r="H803" s="150"/>
      <c r="I803" s="164"/>
      <c r="J803" s="147"/>
    </row>
    <row r="804" spans="1:10" ht="15.75" customHeight="1">
      <c r="A804" s="147"/>
      <c r="B804" s="147"/>
      <c r="C804" s="147"/>
      <c r="D804" s="149"/>
      <c r="E804" s="147"/>
      <c r="F804" s="147"/>
      <c r="G804" s="147"/>
      <c r="H804" s="150"/>
      <c r="I804" s="164"/>
      <c r="J804" s="147"/>
    </row>
    <row r="805" spans="1:10" ht="15.75" customHeight="1">
      <c r="A805" s="147"/>
      <c r="B805" s="147"/>
      <c r="C805" s="147"/>
      <c r="D805" s="149"/>
      <c r="E805" s="147"/>
      <c r="F805" s="147"/>
      <c r="G805" s="147"/>
      <c r="H805" s="150"/>
      <c r="I805" s="164"/>
      <c r="J805" s="147"/>
    </row>
    <row r="806" spans="1:10" ht="15.75" customHeight="1">
      <c r="A806" s="147"/>
      <c r="B806" s="147"/>
      <c r="C806" s="147"/>
      <c r="D806" s="149"/>
      <c r="E806" s="147"/>
      <c r="F806" s="147"/>
      <c r="G806" s="147"/>
      <c r="H806" s="150"/>
      <c r="I806" s="164"/>
      <c r="J806" s="147"/>
    </row>
    <row r="807" spans="1:10" ht="15.75" customHeight="1">
      <c r="A807" s="147"/>
      <c r="B807" s="147"/>
      <c r="C807" s="147"/>
      <c r="D807" s="149"/>
      <c r="E807" s="147"/>
      <c r="F807" s="147"/>
      <c r="G807" s="147"/>
      <c r="H807" s="150"/>
      <c r="I807" s="164"/>
      <c r="J807" s="147"/>
    </row>
    <row r="808" spans="1:10" ht="15.75" customHeight="1">
      <c r="A808" s="147"/>
      <c r="B808" s="147"/>
      <c r="C808" s="147"/>
      <c r="D808" s="149"/>
      <c r="E808" s="147"/>
      <c r="F808" s="147"/>
      <c r="G808" s="147"/>
      <c r="H808" s="150"/>
      <c r="I808" s="164"/>
      <c r="J808" s="147"/>
    </row>
    <row r="809" spans="1:10" ht="15.75" customHeight="1">
      <c r="A809" s="147"/>
      <c r="B809" s="147"/>
      <c r="C809" s="147"/>
      <c r="D809" s="149"/>
      <c r="E809" s="147"/>
      <c r="F809" s="147"/>
      <c r="G809" s="147"/>
      <c r="H809" s="150"/>
      <c r="I809" s="164"/>
      <c r="J809" s="147"/>
    </row>
    <row r="810" spans="1:10" ht="15.75" customHeight="1">
      <c r="A810" s="147"/>
      <c r="B810" s="147"/>
      <c r="C810" s="147"/>
      <c r="D810" s="149"/>
      <c r="E810" s="147"/>
      <c r="F810" s="147"/>
      <c r="G810" s="147"/>
      <c r="H810" s="150"/>
      <c r="I810" s="164"/>
      <c r="J810" s="147"/>
    </row>
    <row r="811" spans="1:10" ht="15.75" customHeight="1">
      <c r="A811" s="147"/>
      <c r="B811" s="147"/>
      <c r="C811" s="147"/>
      <c r="D811" s="149"/>
      <c r="E811" s="147"/>
      <c r="F811" s="147"/>
      <c r="G811" s="147"/>
      <c r="H811" s="150"/>
      <c r="I811" s="164"/>
      <c r="J811" s="147"/>
    </row>
    <row r="812" spans="1:10" ht="15.75" customHeight="1">
      <c r="A812" s="147"/>
      <c r="B812" s="147"/>
      <c r="C812" s="147"/>
      <c r="D812" s="149"/>
      <c r="E812" s="147"/>
      <c r="F812" s="147"/>
      <c r="G812" s="147"/>
      <c r="H812" s="150"/>
      <c r="I812" s="164"/>
      <c r="J812" s="147"/>
    </row>
    <row r="813" spans="1:10" ht="15.75" customHeight="1">
      <c r="A813" s="147"/>
      <c r="B813" s="147"/>
      <c r="C813" s="147"/>
      <c r="D813" s="149"/>
      <c r="E813" s="147"/>
      <c r="F813" s="147"/>
      <c r="G813" s="147"/>
      <c r="H813" s="150"/>
      <c r="I813" s="164"/>
      <c r="J813" s="147"/>
    </row>
    <row r="814" spans="1:10" ht="15.75" customHeight="1">
      <c r="A814" s="147"/>
      <c r="B814" s="147"/>
      <c r="C814" s="147"/>
      <c r="D814" s="149"/>
      <c r="E814" s="147"/>
      <c r="F814" s="147"/>
      <c r="G814" s="147"/>
      <c r="H814" s="150"/>
      <c r="I814" s="164"/>
      <c r="J814" s="147"/>
    </row>
    <row r="815" spans="1:10" ht="15.75" customHeight="1">
      <c r="A815" s="147"/>
      <c r="B815" s="147"/>
      <c r="C815" s="147"/>
      <c r="D815" s="149"/>
      <c r="E815" s="147"/>
      <c r="F815" s="147"/>
      <c r="G815" s="147"/>
      <c r="H815" s="150"/>
      <c r="I815" s="164"/>
      <c r="J815" s="147"/>
    </row>
    <row r="816" spans="1:10" ht="15.75" customHeight="1">
      <c r="A816" s="147"/>
      <c r="B816" s="147"/>
      <c r="C816" s="147"/>
      <c r="D816" s="149"/>
      <c r="E816" s="147"/>
      <c r="F816" s="147"/>
      <c r="G816" s="147"/>
      <c r="H816" s="150"/>
      <c r="I816" s="164"/>
      <c r="J816" s="147"/>
    </row>
    <row r="817" spans="1:10" ht="15.75" customHeight="1">
      <c r="A817" s="147"/>
      <c r="B817" s="147"/>
      <c r="C817" s="147"/>
      <c r="D817" s="149"/>
      <c r="E817" s="147"/>
      <c r="F817" s="147"/>
      <c r="G817" s="147"/>
      <c r="H817" s="150"/>
      <c r="I817" s="164"/>
      <c r="J817" s="147"/>
    </row>
    <row r="818" spans="1:10" ht="15.75" customHeight="1">
      <c r="A818" s="147"/>
      <c r="B818" s="147"/>
      <c r="C818" s="147"/>
      <c r="D818" s="149"/>
      <c r="E818" s="147"/>
      <c r="F818" s="147"/>
      <c r="G818" s="147"/>
      <c r="H818" s="150"/>
      <c r="I818" s="164"/>
      <c r="J818" s="147"/>
    </row>
    <row r="819" spans="1:10" ht="15.75" customHeight="1">
      <c r="A819" s="147"/>
      <c r="B819" s="147"/>
      <c r="C819" s="147"/>
      <c r="D819" s="149"/>
      <c r="E819" s="147"/>
      <c r="F819" s="147"/>
      <c r="G819" s="147"/>
      <c r="H819" s="150"/>
      <c r="I819" s="164"/>
      <c r="J819" s="147"/>
    </row>
    <row r="820" spans="1:10" ht="15.75" customHeight="1">
      <c r="A820" s="147"/>
      <c r="B820" s="147"/>
      <c r="C820" s="147"/>
      <c r="D820" s="149"/>
      <c r="E820" s="147"/>
      <c r="F820" s="147"/>
      <c r="G820" s="147"/>
      <c r="H820" s="150"/>
      <c r="I820" s="164"/>
      <c r="J820" s="147"/>
    </row>
    <row r="821" spans="1:10" ht="15.75" customHeight="1">
      <c r="A821" s="147"/>
      <c r="B821" s="147"/>
      <c r="C821" s="147"/>
      <c r="D821" s="149"/>
      <c r="E821" s="147"/>
      <c r="F821" s="147"/>
      <c r="G821" s="147"/>
      <c r="H821" s="150"/>
      <c r="I821" s="164"/>
      <c r="J821" s="147"/>
    </row>
    <row r="822" spans="1:10" ht="15.75" customHeight="1">
      <c r="A822" s="147"/>
      <c r="B822" s="147"/>
      <c r="C822" s="147"/>
      <c r="D822" s="149"/>
      <c r="E822" s="147"/>
      <c r="F822" s="147"/>
      <c r="G822" s="147"/>
      <c r="H822" s="150"/>
      <c r="I822" s="164"/>
      <c r="J822" s="147"/>
    </row>
    <row r="823" spans="1:10" ht="15.75" customHeight="1">
      <c r="A823" s="147"/>
      <c r="B823" s="147"/>
      <c r="C823" s="147"/>
      <c r="D823" s="149"/>
      <c r="E823" s="147"/>
      <c r="F823" s="147"/>
      <c r="G823" s="147"/>
      <c r="H823" s="150"/>
      <c r="I823" s="164"/>
      <c r="J823" s="147"/>
    </row>
    <row r="824" spans="1:10" ht="15.75" customHeight="1">
      <c r="A824" s="147"/>
      <c r="B824" s="147"/>
      <c r="C824" s="147"/>
      <c r="D824" s="149"/>
      <c r="E824" s="147"/>
      <c r="F824" s="147"/>
      <c r="G824" s="147"/>
      <c r="H824" s="150"/>
      <c r="I824" s="164"/>
      <c r="J824" s="147"/>
    </row>
    <row r="825" spans="1:10" ht="15.75" customHeight="1">
      <c r="A825" s="147"/>
      <c r="B825" s="147"/>
      <c r="C825" s="147"/>
      <c r="D825" s="149"/>
      <c r="E825" s="147"/>
      <c r="F825" s="147"/>
      <c r="G825" s="147"/>
      <c r="H825" s="150"/>
      <c r="I825" s="164"/>
      <c r="J825" s="147"/>
    </row>
    <row r="826" spans="1:10" ht="15.75" customHeight="1">
      <c r="A826" s="147"/>
      <c r="B826" s="147"/>
      <c r="C826" s="147"/>
      <c r="D826" s="149"/>
      <c r="E826" s="147"/>
      <c r="F826" s="147"/>
      <c r="G826" s="147"/>
      <c r="H826" s="150"/>
      <c r="I826" s="164"/>
      <c r="J826" s="147"/>
    </row>
    <row r="827" spans="1:10" ht="15.75" customHeight="1">
      <c r="A827" s="147"/>
      <c r="B827" s="147"/>
      <c r="C827" s="147"/>
      <c r="D827" s="149"/>
      <c r="E827" s="147"/>
      <c r="F827" s="147"/>
      <c r="G827" s="147"/>
      <c r="H827" s="150"/>
      <c r="I827" s="164"/>
      <c r="J827" s="147"/>
    </row>
    <row r="828" spans="1:10" ht="15.75" customHeight="1">
      <c r="A828" s="147"/>
      <c r="B828" s="147"/>
      <c r="C828" s="147"/>
      <c r="D828" s="149"/>
      <c r="E828" s="147"/>
      <c r="F828" s="147"/>
      <c r="G828" s="147"/>
      <c r="H828" s="150"/>
      <c r="I828" s="164"/>
      <c r="J828" s="147"/>
    </row>
    <row r="829" spans="1:10" ht="15.75" customHeight="1">
      <c r="A829" s="147"/>
      <c r="B829" s="147"/>
      <c r="C829" s="147"/>
      <c r="D829" s="149"/>
      <c r="E829" s="147"/>
      <c r="F829" s="147"/>
      <c r="G829" s="147"/>
      <c r="H829" s="150"/>
      <c r="I829" s="164"/>
      <c r="J829" s="147"/>
    </row>
    <row r="830" spans="1:10" ht="15.75" customHeight="1">
      <c r="A830" s="147"/>
      <c r="B830" s="147"/>
      <c r="C830" s="147"/>
      <c r="D830" s="149"/>
      <c r="E830" s="147"/>
      <c r="F830" s="147"/>
      <c r="G830" s="147"/>
      <c r="H830" s="150"/>
      <c r="I830" s="164"/>
      <c r="J830" s="147"/>
    </row>
    <row r="831" spans="1:10" ht="15.75" customHeight="1">
      <c r="A831" s="147"/>
      <c r="B831" s="147"/>
      <c r="C831" s="147"/>
      <c r="D831" s="149"/>
      <c r="E831" s="147"/>
      <c r="F831" s="147"/>
      <c r="G831" s="147"/>
      <c r="H831" s="150"/>
      <c r="I831" s="164"/>
      <c r="J831" s="147"/>
    </row>
    <row r="832" spans="1:10" ht="15.75" customHeight="1">
      <c r="A832" s="147"/>
      <c r="B832" s="147"/>
      <c r="C832" s="147"/>
      <c r="D832" s="149"/>
      <c r="E832" s="147"/>
      <c r="F832" s="147"/>
      <c r="G832" s="147"/>
      <c r="H832" s="150"/>
      <c r="I832" s="164"/>
      <c r="J832" s="147"/>
    </row>
    <row r="833" spans="1:10" ht="15.75" customHeight="1">
      <c r="A833" s="147"/>
      <c r="B833" s="147"/>
      <c r="C833" s="147"/>
      <c r="D833" s="149"/>
      <c r="E833" s="147"/>
      <c r="F833" s="147"/>
      <c r="G833" s="147"/>
      <c r="H833" s="150"/>
      <c r="I833" s="164"/>
      <c r="J833" s="147"/>
    </row>
    <row r="834" spans="1:10" ht="15.75" customHeight="1">
      <c r="A834" s="147"/>
      <c r="B834" s="147"/>
      <c r="C834" s="147"/>
      <c r="D834" s="149"/>
      <c r="E834" s="147"/>
      <c r="F834" s="147"/>
      <c r="G834" s="147"/>
      <c r="H834" s="150"/>
      <c r="I834" s="164"/>
      <c r="J834" s="147"/>
    </row>
    <row r="835" spans="1:10" ht="15.75" customHeight="1">
      <c r="A835" s="147"/>
      <c r="B835" s="147"/>
      <c r="C835" s="147"/>
      <c r="D835" s="149"/>
      <c r="E835" s="147"/>
      <c r="F835" s="147"/>
      <c r="G835" s="147"/>
      <c r="H835" s="150"/>
      <c r="I835" s="164"/>
      <c r="J835" s="147"/>
    </row>
    <row r="836" spans="1:10" ht="15.75" customHeight="1">
      <c r="A836" s="147"/>
      <c r="B836" s="147"/>
      <c r="C836" s="147"/>
      <c r="D836" s="149"/>
      <c r="E836" s="147"/>
      <c r="F836" s="147"/>
      <c r="G836" s="147"/>
      <c r="H836" s="150"/>
      <c r="I836" s="164"/>
      <c r="J836" s="147"/>
    </row>
    <row r="837" spans="1:10" ht="15.75" customHeight="1">
      <c r="A837" s="147"/>
      <c r="B837" s="147"/>
      <c r="C837" s="147"/>
      <c r="D837" s="149"/>
      <c r="E837" s="147"/>
      <c r="F837" s="147"/>
      <c r="G837" s="147"/>
      <c r="H837" s="150"/>
      <c r="I837" s="164"/>
      <c r="J837" s="147"/>
    </row>
    <row r="838" spans="1:10" ht="15.75" customHeight="1">
      <c r="A838" s="147"/>
      <c r="B838" s="147"/>
      <c r="C838" s="147"/>
      <c r="D838" s="149"/>
      <c r="E838" s="147"/>
      <c r="F838" s="147"/>
      <c r="G838" s="147"/>
      <c r="H838" s="150"/>
      <c r="I838" s="164"/>
      <c r="J838" s="147"/>
    </row>
    <row r="839" spans="1:10" ht="15.75" customHeight="1">
      <c r="A839" s="147"/>
      <c r="B839" s="147"/>
      <c r="C839" s="147"/>
      <c r="D839" s="149"/>
      <c r="E839" s="147"/>
      <c r="F839" s="147"/>
      <c r="G839" s="147"/>
      <c r="H839" s="150"/>
      <c r="I839" s="164"/>
      <c r="J839" s="147"/>
    </row>
    <row r="840" spans="1:10" ht="15.75" customHeight="1">
      <c r="A840" s="147"/>
      <c r="B840" s="147"/>
      <c r="C840" s="147"/>
      <c r="D840" s="149"/>
      <c r="E840" s="147"/>
      <c r="F840" s="147"/>
      <c r="G840" s="147"/>
      <c r="H840" s="150"/>
      <c r="I840" s="164"/>
      <c r="J840" s="147"/>
    </row>
    <row r="841" spans="1:10" ht="15.75" customHeight="1">
      <c r="A841" s="147"/>
      <c r="B841" s="147"/>
      <c r="C841" s="147"/>
      <c r="D841" s="149"/>
      <c r="E841" s="147"/>
      <c r="F841" s="147"/>
      <c r="G841" s="147"/>
      <c r="H841" s="150"/>
      <c r="I841" s="164"/>
      <c r="J841" s="147"/>
    </row>
    <row r="842" spans="1:10" ht="15.75" customHeight="1"/>
    <row r="843" spans="1:10" ht="15.75" customHeight="1"/>
    <row r="844" spans="1:10" ht="15.75" customHeight="1"/>
    <row r="845" spans="1:10" ht="15.75" customHeight="1"/>
    <row r="846" spans="1:10" ht="15.75" customHeight="1"/>
    <row r="847" spans="1:10" ht="15.75" customHeight="1"/>
    <row r="848" spans="1:10"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592:J592"/>
    <mergeCell ref="A694:J694"/>
    <mergeCell ref="A1:J1"/>
    <mergeCell ref="A103:J103"/>
    <mergeCell ref="A205:J205"/>
    <mergeCell ref="A307:J307"/>
    <mergeCell ref="A490:J490"/>
  </mergeCells>
  <dataValidations count="1">
    <dataValidation type="list" allowBlank="1" showErrorMessage="1" sqref="A3:A99 A105:A201 A207:A303 A309:A486 A492:A588 A594:A690 A696:A792">
      <formula1>"1°,2°,3°,4°"</formula1>
    </dataValidation>
  </dataValidations>
  <pageMargins left="0" right="0" top="0" bottom="0" header="0" footer="0"/>
  <pageSetup orientation="landscape"/>
</worksheet>
</file>

<file path=xl/worksheets/sheet23.xml><?xml version="1.0" encoding="utf-8"?>
<worksheet xmlns="http://schemas.openxmlformats.org/spreadsheetml/2006/main" xmlns:r="http://schemas.openxmlformats.org/officeDocument/2006/relationships">
  <dimension ref="A1:A1000"/>
  <sheetViews>
    <sheetView workbookViewId="0"/>
  </sheetViews>
  <sheetFormatPr defaultColWidth="12.5703125" defaultRowHeight="15" customHeight="1"/>
  <cols>
    <col min="1" max="26" width="8.5703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dimension ref="A1:A1000"/>
  <sheetViews>
    <sheetView workbookViewId="0"/>
  </sheetViews>
  <sheetFormatPr defaultColWidth="12.5703125" defaultRowHeight="15" customHeight="1"/>
  <cols>
    <col min="1" max="26" width="8.8554687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dimension ref="A1:Z1000"/>
  <sheetViews>
    <sheetView workbookViewId="0">
      <pane ySplit="2" topLeftCell="A3" activePane="bottomLeft" state="frozen"/>
      <selection pane="bottomLeft" activeCell="B4" sqref="B4"/>
    </sheetView>
  </sheetViews>
  <sheetFormatPr defaultColWidth="12.5703125" defaultRowHeight="15" customHeight="1"/>
  <cols>
    <col min="1" max="1" width="10" customWidth="1"/>
    <col min="2" max="2" width="14.5703125" customWidth="1"/>
    <col min="3" max="3" width="15.140625" customWidth="1"/>
    <col min="4" max="4" width="9.140625" customWidth="1"/>
    <col min="5" max="5" width="11.42578125" customWidth="1"/>
    <col min="6" max="6" width="25.42578125" customWidth="1"/>
    <col min="7" max="7" width="28.42578125" customWidth="1"/>
    <col min="8" max="8" width="9.140625" customWidth="1"/>
    <col min="9" max="9" width="8.85546875" customWidth="1"/>
    <col min="10" max="10" width="46" customWidth="1"/>
    <col min="11" max="11" width="18.85546875" customWidth="1"/>
    <col min="12" max="12" width="47.140625" customWidth="1"/>
    <col min="13" max="13" width="43.42578125" customWidth="1"/>
    <col min="14" max="14" width="25.42578125" customWidth="1"/>
    <col min="15" max="16" width="49.85546875" customWidth="1"/>
    <col min="17" max="17" width="33.140625" customWidth="1"/>
    <col min="18" max="18" width="47.140625" customWidth="1"/>
    <col min="19" max="19" width="28.85546875" customWidth="1"/>
    <col min="20" max="20" width="39.42578125" customWidth="1"/>
    <col min="21" max="21" width="48.42578125" customWidth="1"/>
    <col min="22" max="26" width="8.85546875" customWidth="1"/>
  </cols>
  <sheetData>
    <row r="1" spans="1:26" ht="12.75" customHeight="1">
      <c r="A1" s="180"/>
      <c r="B1" s="181"/>
      <c r="C1" s="181"/>
      <c r="D1" s="182"/>
      <c r="E1" s="182"/>
      <c r="F1" s="183"/>
      <c r="G1" s="181"/>
      <c r="H1" s="182"/>
      <c r="I1" s="182"/>
      <c r="J1" s="184"/>
      <c r="K1" s="181"/>
      <c r="L1" s="180"/>
      <c r="M1" s="180"/>
      <c r="N1" s="180"/>
      <c r="O1" s="185"/>
      <c r="P1" s="180"/>
      <c r="Q1" s="185"/>
      <c r="R1" s="185"/>
      <c r="S1" s="180"/>
      <c r="T1" s="180"/>
      <c r="U1" s="180"/>
      <c r="V1" s="186"/>
      <c r="W1" s="186"/>
      <c r="X1" s="186"/>
      <c r="Y1" s="186"/>
      <c r="Z1" s="186"/>
    </row>
    <row r="2" spans="1:26" ht="27" customHeight="1">
      <c r="A2" s="14" t="s">
        <v>5079</v>
      </c>
      <c r="B2" s="14" t="s">
        <v>5080</v>
      </c>
      <c r="C2" s="14" t="s">
        <v>3223</v>
      </c>
      <c r="D2" s="14" t="s">
        <v>4249</v>
      </c>
      <c r="E2" s="14" t="s">
        <v>4250</v>
      </c>
      <c r="F2" s="187" t="s">
        <v>5081</v>
      </c>
      <c r="G2" s="14" t="s">
        <v>5082</v>
      </c>
      <c r="H2" s="14" t="s">
        <v>5083</v>
      </c>
      <c r="I2" s="188" t="s">
        <v>5084</v>
      </c>
      <c r="J2" s="14" t="s">
        <v>5085</v>
      </c>
      <c r="K2" s="14" t="s">
        <v>5086</v>
      </c>
      <c r="L2" s="14" t="s">
        <v>5087</v>
      </c>
      <c r="M2" s="14" t="s">
        <v>5088</v>
      </c>
      <c r="N2" s="14" t="s">
        <v>5089</v>
      </c>
      <c r="O2" s="187" t="s">
        <v>5090</v>
      </c>
      <c r="P2" s="14" t="s">
        <v>5091</v>
      </c>
      <c r="Q2" s="187" t="s">
        <v>5092</v>
      </c>
      <c r="R2" s="187" t="s">
        <v>5093</v>
      </c>
      <c r="S2" s="14" t="s">
        <v>5094</v>
      </c>
      <c r="T2" s="14" t="s">
        <v>5095</v>
      </c>
      <c r="U2" s="14" t="s">
        <v>5096</v>
      </c>
      <c r="V2" s="189"/>
      <c r="W2" s="189"/>
      <c r="X2" s="189"/>
      <c r="Y2" s="189"/>
      <c r="Z2" s="189"/>
    </row>
    <row r="3" spans="1:26" ht="99" customHeight="1">
      <c r="A3" s="273"/>
      <c r="B3" s="241" t="s">
        <v>3395</v>
      </c>
      <c r="C3" s="241" t="s">
        <v>4805</v>
      </c>
      <c r="D3" s="274" t="s">
        <v>1070</v>
      </c>
      <c r="E3" s="274">
        <v>1</v>
      </c>
      <c r="F3" s="242" t="s">
        <v>3521</v>
      </c>
      <c r="G3" s="241" t="s">
        <v>5097</v>
      </c>
      <c r="H3" s="190">
        <v>1</v>
      </c>
      <c r="I3" s="190">
        <v>1</v>
      </c>
      <c r="J3" s="191" t="s">
        <v>5098</v>
      </c>
      <c r="K3" s="192" t="s">
        <v>3250</v>
      </c>
      <c r="L3" s="193"/>
      <c r="M3" s="193"/>
      <c r="N3" s="193"/>
      <c r="O3" s="194"/>
      <c r="P3" s="195"/>
      <c r="Q3" s="196"/>
      <c r="R3" s="196"/>
      <c r="S3" s="195"/>
      <c r="T3" s="195"/>
      <c r="U3" s="195"/>
      <c r="V3" s="186"/>
      <c r="W3" s="186"/>
      <c r="X3" s="186"/>
      <c r="Y3" s="186"/>
      <c r="Z3" s="186"/>
    </row>
    <row r="4" spans="1:26" ht="70.5" customHeight="1">
      <c r="A4" s="237"/>
      <c r="B4" s="237"/>
      <c r="C4" s="237"/>
      <c r="D4" s="237"/>
      <c r="E4" s="237"/>
      <c r="F4" s="237"/>
      <c r="G4" s="236"/>
      <c r="H4" s="190">
        <v>2</v>
      </c>
      <c r="I4" s="190">
        <v>2</v>
      </c>
      <c r="J4" s="191" t="s">
        <v>5099</v>
      </c>
      <c r="K4" s="192" t="s">
        <v>3250</v>
      </c>
      <c r="L4" s="193"/>
      <c r="M4" s="193"/>
      <c r="N4" s="193"/>
      <c r="O4" s="194"/>
      <c r="P4" s="195"/>
      <c r="Q4" s="196"/>
      <c r="R4" s="196"/>
      <c r="S4" s="195"/>
      <c r="T4" s="195"/>
      <c r="U4" s="195"/>
      <c r="V4" s="186"/>
      <c r="W4" s="186"/>
      <c r="X4" s="186"/>
      <c r="Y4" s="186"/>
      <c r="Z4" s="186"/>
    </row>
    <row r="5" spans="1:26" ht="67.5" customHeight="1">
      <c r="A5" s="273"/>
      <c r="B5" s="241" t="s">
        <v>3395</v>
      </c>
      <c r="C5" s="241" t="s">
        <v>4805</v>
      </c>
      <c r="D5" s="274" t="s">
        <v>1070</v>
      </c>
      <c r="E5" s="274">
        <v>2</v>
      </c>
      <c r="F5" s="242" t="s">
        <v>3256</v>
      </c>
      <c r="G5" s="236"/>
      <c r="H5" s="190">
        <v>3</v>
      </c>
      <c r="I5" s="190">
        <v>3</v>
      </c>
      <c r="J5" s="191" t="s">
        <v>5100</v>
      </c>
      <c r="K5" s="192" t="s">
        <v>3250</v>
      </c>
      <c r="L5" s="193"/>
      <c r="M5" s="193"/>
      <c r="N5" s="193"/>
      <c r="O5" s="196"/>
      <c r="P5" s="193"/>
      <c r="Q5" s="196"/>
      <c r="R5" s="196"/>
      <c r="S5" s="195"/>
      <c r="T5" s="195"/>
      <c r="U5" s="195"/>
      <c r="V5" s="186"/>
      <c r="W5" s="186"/>
      <c r="X5" s="186"/>
      <c r="Y5" s="186"/>
      <c r="Z5" s="186"/>
    </row>
    <row r="6" spans="1:26" ht="63.75" customHeight="1">
      <c r="A6" s="237"/>
      <c r="B6" s="237"/>
      <c r="C6" s="237"/>
      <c r="D6" s="237"/>
      <c r="E6" s="237"/>
      <c r="F6" s="237"/>
      <c r="G6" s="237"/>
      <c r="H6" s="190">
        <v>4</v>
      </c>
      <c r="I6" s="190">
        <v>4</v>
      </c>
      <c r="J6" s="191" t="s">
        <v>5101</v>
      </c>
      <c r="K6" s="192" t="s">
        <v>3250</v>
      </c>
      <c r="L6" s="193"/>
      <c r="M6" s="193"/>
      <c r="N6" s="193"/>
      <c r="O6" s="196"/>
      <c r="P6" s="193"/>
      <c r="Q6" s="196"/>
      <c r="R6" s="196"/>
      <c r="S6" s="195"/>
      <c r="T6" s="195"/>
      <c r="U6" s="195"/>
      <c r="V6" s="186"/>
      <c r="W6" s="186"/>
      <c r="X6" s="186"/>
      <c r="Y6" s="186"/>
      <c r="Z6" s="186"/>
    </row>
    <row r="7" spans="1:26" ht="61.5" customHeight="1">
      <c r="A7" s="186"/>
      <c r="B7" s="46" t="s">
        <v>3395</v>
      </c>
      <c r="C7" s="46" t="s">
        <v>4805</v>
      </c>
      <c r="D7" s="197" t="s">
        <v>1070</v>
      </c>
      <c r="E7" s="198">
        <v>3</v>
      </c>
      <c r="F7" s="48" t="s">
        <v>3270</v>
      </c>
      <c r="G7" s="47" t="s">
        <v>3271</v>
      </c>
      <c r="H7" s="197"/>
      <c r="I7" s="197"/>
      <c r="J7" s="199"/>
      <c r="K7" s="46"/>
      <c r="L7" s="200"/>
      <c r="M7" s="200"/>
      <c r="N7" s="200"/>
      <c r="O7" s="201"/>
      <c r="P7" s="200"/>
      <c r="Q7" s="201"/>
      <c r="R7" s="201"/>
      <c r="S7" s="202"/>
      <c r="T7" s="202"/>
      <c r="U7" s="202"/>
      <c r="V7" s="186"/>
      <c r="W7" s="186"/>
      <c r="X7" s="186"/>
      <c r="Y7" s="186"/>
      <c r="Z7" s="186"/>
    </row>
    <row r="8" spans="1:26" ht="73.5" customHeight="1">
      <c r="A8" s="273"/>
      <c r="B8" s="241" t="s">
        <v>3395</v>
      </c>
      <c r="C8" s="241" t="s">
        <v>4805</v>
      </c>
      <c r="D8" s="274" t="s">
        <v>1070</v>
      </c>
      <c r="E8" s="272">
        <v>4</v>
      </c>
      <c r="F8" s="259" t="s">
        <v>3272</v>
      </c>
      <c r="G8" s="241" t="s">
        <v>5102</v>
      </c>
      <c r="H8" s="190">
        <v>1</v>
      </c>
      <c r="I8" s="190">
        <v>5</v>
      </c>
      <c r="J8" s="191" t="s">
        <v>5103</v>
      </c>
      <c r="K8" s="192" t="s">
        <v>3242</v>
      </c>
      <c r="L8" s="193"/>
      <c r="M8" s="193"/>
      <c r="N8" s="193"/>
      <c r="O8" s="196"/>
      <c r="P8" s="193"/>
      <c r="Q8" s="196"/>
      <c r="R8" s="196"/>
      <c r="S8" s="195"/>
      <c r="T8" s="195"/>
      <c r="U8" s="193"/>
      <c r="V8" s="186"/>
      <c r="W8" s="186"/>
      <c r="X8" s="186"/>
      <c r="Y8" s="186"/>
      <c r="Z8" s="186"/>
    </row>
    <row r="9" spans="1:26" ht="60.75" customHeight="1">
      <c r="A9" s="237"/>
      <c r="B9" s="237"/>
      <c r="C9" s="237"/>
      <c r="D9" s="237"/>
      <c r="E9" s="237"/>
      <c r="F9" s="245"/>
      <c r="G9" s="236"/>
      <c r="H9" s="190">
        <v>2</v>
      </c>
      <c r="I9" s="190">
        <v>6</v>
      </c>
      <c r="J9" s="191" t="s">
        <v>5104</v>
      </c>
      <c r="K9" s="192" t="s">
        <v>3250</v>
      </c>
      <c r="L9" s="193"/>
      <c r="M9" s="193"/>
      <c r="N9" s="193"/>
      <c r="O9" s="196"/>
      <c r="P9" s="193"/>
      <c r="Q9" s="196"/>
      <c r="R9" s="196"/>
      <c r="S9" s="195"/>
      <c r="T9" s="195"/>
      <c r="U9" s="193"/>
      <c r="V9" s="186"/>
      <c r="W9" s="186"/>
      <c r="X9" s="186"/>
      <c r="Y9" s="186"/>
      <c r="Z9" s="186"/>
    </row>
    <row r="10" spans="1:26" ht="75.75" customHeight="1">
      <c r="A10" s="273"/>
      <c r="B10" s="241" t="s">
        <v>3395</v>
      </c>
      <c r="C10" s="241" t="s">
        <v>4805</v>
      </c>
      <c r="D10" s="274" t="s">
        <v>1070</v>
      </c>
      <c r="E10" s="275">
        <v>5</v>
      </c>
      <c r="F10" s="267" t="s">
        <v>3286</v>
      </c>
      <c r="G10" s="236"/>
      <c r="H10" s="190">
        <v>3</v>
      </c>
      <c r="I10" s="190">
        <v>7</v>
      </c>
      <c r="J10" s="191" t="s">
        <v>5105</v>
      </c>
      <c r="K10" s="192" t="s">
        <v>3250</v>
      </c>
      <c r="L10" s="193"/>
      <c r="M10" s="193"/>
      <c r="N10" s="193"/>
      <c r="O10" s="196"/>
      <c r="P10" s="193"/>
      <c r="Q10" s="196"/>
      <c r="R10" s="196"/>
      <c r="S10" s="193"/>
      <c r="T10" s="193"/>
      <c r="U10" s="193"/>
      <c r="V10" s="186"/>
      <c r="W10" s="186"/>
      <c r="X10" s="186"/>
      <c r="Y10" s="186"/>
      <c r="Z10" s="186"/>
    </row>
    <row r="11" spans="1:26" ht="48" customHeight="1">
      <c r="A11" s="237"/>
      <c r="B11" s="237"/>
      <c r="C11" s="237"/>
      <c r="D11" s="237"/>
      <c r="E11" s="263"/>
      <c r="F11" s="237"/>
      <c r="G11" s="237"/>
      <c r="H11" s="190">
        <v>4</v>
      </c>
      <c r="I11" s="190">
        <v>8</v>
      </c>
      <c r="J11" s="191" t="s">
        <v>5106</v>
      </c>
      <c r="K11" s="192" t="s">
        <v>3250</v>
      </c>
      <c r="L11" s="193"/>
      <c r="M11" s="193"/>
      <c r="N11" s="193"/>
      <c r="O11" s="196"/>
      <c r="P11" s="193"/>
      <c r="Q11" s="196"/>
      <c r="R11" s="196"/>
      <c r="S11" s="193"/>
      <c r="T11" s="193"/>
      <c r="U11" s="193"/>
      <c r="V11" s="186"/>
      <c r="W11" s="186"/>
      <c r="X11" s="186"/>
      <c r="Y11" s="186"/>
      <c r="Z11" s="186"/>
    </row>
    <row r="12" spans="1:26" ht="72.75" customHeight="1">
      <c r="A12" s="186"/>
      <c r="B12" s="53" t="s">
        <v>3395</v>
      </c>
      <c r="C12" s="53" t="s">
        <v>4805</v>
      </c>
      <c r="D12" s="203" t="s">
        <v>1070</v>
      </c>
      <c r="E12" s="203">
        <v>6</v>
      </c>
      <c r="F12" s="104" t="s">
        <v>3556</v>
      </c>
      <c r="G12" s="105"/>
      <c r="H12" s="203" t="s">
        <v>1750</v>
      </c>
      <c r="I12" s="203" t="s">
        <v>3294</v>
      </c>
      <c r="J12" s="204" t="s">
        <v>5107</v>
      </c>
      <c r="K12" s="205"/>
      <c r="L12" s="205"/>
      <c r="M12" s="205"/>
      <c r="N12" s="205" t="s">
        <v>3296</v>
      </c>
      <c r="O12" s="206" t="s">
        <v>3296</v>
      </c>
      <c r="P12" s="205" t="s">
        <v>2850</v>
      </c>
      <c r="Q12" s="206" t="s">
        <v>2850</v>
      </c>
      <c r="R12" s="206" t="s">
        <v>3296</v>
      </c>
      <c r="S12" s="205" t="s">
        <v>3296</v>
      </c>
      <c r="T12" s="205"/>
      <c r="U12" s="207"/>
      <c r="V12" s="186"/>
      <c r="W12" s="186"/>
      <c r="X12" s="186"/>
      <c r="Y12" s="186"/>
      <c r="Z12" s="186"/>
    </row>
    <row r="13" spans="1:26" ht="71.25" customHeight="1">
      <c r="A13" s="273"/>
      <c r="B13" s="241" t="s">
        <v>3395</v>
      </c>
      <c r="C13" s="241" t="s">
        <v>4805</v>
      </c>
      <c r="D13" s="274" t="s">
        <v>1070</v>
      </c>
      <c r="E13" s="272">
        <v>7</v>
      </c>
      <c r="F13" s="242" t="s">
        <v>3297</v>
      </c>
      <c r="G13" s="241" t="s">
        <v>5108</v>
      </c>
      <c r="H13" s="208">
        <v>1</v>
      </c>
      <c r="I13" s="190">
        <v>11</v>
      </c>
      <c r="J13" s="209" t="s">
        <v>5109</v>
      </c>
      <c r="K13" s="192" t="s">
        <v>3242</v>
      </c>
      <c r="L13" s="193"/>
      <c r="M13" s="193"/>
      <c r="N13" s="210"/>
      <c r="O13" s="196"/>
      <c r="P13" s="193"/>
      <c r="Q13" s="196"/>
      <c r="R13" s="196"/>
      <c r="S13" s="195"/>
      <c r="T13" s="195"/>
      <c r="U13" s="193"/>
      <c r="V13" s="186"/>
      <c r="W13" s="186"/>
      <c r="X13" s="186"/>
      <c r="Y13" s="186"/>
      <c r="Z13" s="186"/>
    </row>
    <row r="14" spans="1:26" ht="64.5" customHeight="1">
      <c r="A14" s="237"/>
      <c r="B14" s="237"/>
      <c r="C14" s="237"/>
      <c r="D14" s="237"/>
      <c r="E14" s="237"/>
      <c r="F14" s="237"/>
      <c r="G14" s="236"/>
      <c r="H14" s="208">
        <v>2</v>
      </c>
      <c r="I14" s="190">
        <v>12</v>
      </c>
      <c r="J14" s="209" t="s">
        <v>5110</v>
      </c>
      <c r="K14" s="192" t="s">
        <v>3242</v>
      </c>
      <c r="L14" s="193"/>
      <c r="M14" s="193"/>
      <c r="N14" s="210"/>
      <c r="O14" s="196"/>
      <c r="P14" s="193"/>
      <c r="Q14" s="196"/>
      <c r="R14" s="196"/>
      <c r="S14" s="195"/>
      <c r="T14" s="195"/>
      <c r="U14" s="193"/>
      <c r="V14" s="186"/>
      <c r="W14" s="186"/>
      <c r="X14" s="186"/>
      <c r="Y14" s="186"/>
      <c r="Z14" s="186"/>
    </row>
    <row r="15" spans="1:26" ht="63.75" customHeight="1">
      <c r="A15" s="273"/>
      <c r="B15" s="241" t="s">
        <v>3395</v>
      </c>
      <c r="C15" s="241" t="s">
        <v>4805</v>
      </c>
      <c r="D15" s="274" t="s">
        <v>1070</v>
      </c>
      <c r="E15" s="272">
        <v>8</v>
      </c>
      <c r="F15" s="267" t="s">
        <v>3306</v>
      </c>
      <c r="G15" s="236"/>
      <c r="H15" s="208">
        <v>3</v>
      </c>
      <c r="I15" s="190">
        <v>13</v>
      </c>
      <c r="J15" s="209" t="s">
        <v>5111</v>
      </c>
      <c r="K15" s="192" t="s">
        <v>3242</v>
      </c>
      <c r="L15" s="193"/>
      <c r="M15" s="193"/>
      <c r="N15" s="210"/>
      <c r="O15" s="196"/>
      <c r="P15" s="193"/>
      <c r="Q15" s="196"/>
      <c r="R15" s="196"/>
      <c r="S15" s="195"/>
      <c r="T15" s="195"/>
      <c r="U15" s="193"/>
      <c r="V15" s="186"/>
      <c r="W15" s="186"/>
      <c r="X15" s="186"/>
      <c r="Y15" s="186"/>
      <c r="Z15" s="186"/>
    </row>
    <row r="16" spans="1:26" ht="63" customHeight="1">
      <c r="A16" s="237"/>
      <c r="B16" s="237"/>
      <c r="C16" s="237"/>
      <c r="D16" s="237"/>
      <c r="E16" s="237"/>
      <c r="F16" s="237"/>
      <c r="G16" s="237"/>
      <c r="H16" s="208">
        <v>4</v>
      </c>
      <c r="I16" s="190">
        <v>14</v>
      </c>
      <c r="J16" s="209" t="s">
        <v>5112</v>
      </c>
      <c r="K16" s="192" t="s">
        <v>3242</v>
      </c>
      <c r="L16" s="193"/>
      <c r="M16" s="193"/>
      <c r="N16" s="193"/>
      <c r="O16" s="196"/>
      <c r="P16" s="193"/>
      <c r="Q16" s="196"/>
      <c r="R16" s="196"/>
      <c r="S16" s="195"/>
      <c r="T16" s="195"/>
      <c r="U16" s="193"/>
      <c r="V16" s="186"/>
      <c r="W16" s="186"/>
      <c r="X16" s="186"/>
      <c r="Y16" s="186"/>
      <c r="Z16" s="186"/>
    </row>
    <row r="17" spans="1:26" ht="63" customHeight="1">
      <c r="A17" s="186"/>
      <c r="B17" s="211" t="s">
        <v>3395</v>
      </c>
      <c r="C17" s="211" t="s">
        <v>4805</v>
      </c>
      <c r="D17" s="212" t="s">
        <v>1070</v>
      </c>
      <c r="E17" s="212">
        <v>9</v>
      </c>
      <c r="F17" s="213" t="s">
        <v>3314</v>
      </c>
      <c r="G17" s="211"/>
      <c r="H17" s="212" t="s">
        <v>1750</v>
      </c>
      <c r="I17" s="212" t="s">
        <v>3315</v>
      </c>
      <c r="J17" s="214" t="s">
        <v>3316</v>
      </c>
      <c r="K17" s="211"/>
      <c r="L17" s="215"/>
      <c r="M17" s="215"/>
      <c r="N17" s="215"/>
      <c r="O17" s="216" t="s">
        <v>3296</v>
      </c>
      <c r="P17" s="215" t="s">
        <v>3296</v>
      </c>
      <c r="Q17" s="216" t="s">
        <v>2850</v>
      </c>
      <c r="R17" s="216" t="s">
        <v>2850</v>
      </c>
      <c r="S17" s="215" t="s">
        <v>3296</v>
      </c>
      <c r="T17" s="215" t="s">
        <v>3296</v>
      </c>
      <c r="U17" s="215"/>
      <c r="V17" s="186"/>
      <c r="W17" s="186"/>
      <c r="X17" s="186"/>
      <c r="Y17" s="186"/>
      <c r="Z17" s="186"/>
    </row>
    <row r="18" spans="1:26" ht="100.5" customHeight="1">
      <c r="A18" s="186"/>
      <c r="B18" s="53" t="s">
        <v>3395</v>
      </c>
      <c r="C18" s="53" t="s">
        <v>4805</v>
      </c>
      <c r="D18" s="203" t="s">
        <v>1070</v>
      </c>
      <c r="E18" s="203">
        <v>10</v>
      </c>
      <c r="F18" s="55" t="s">
        <v>3317</v>
      </c>
      <c r="G18" s="53"/>
      <c r="H18" s="203" t="s">
        <v>1750</v>
      </c>
      <c r="I18" s="203" t="s">
        <v>3318</v>
      </c>
      <c r="J18" s="204" t="s">
        <v>5113</v>
      </c>
      <c r="K18" s="205"/>
      <c r="L18" s="205"/>
      <c r="M18" s="205"/>
      <c r="N18" s="205" t="s">
        <v>3296</v>
      </c>
      <c r="O18" s="206" t="s">
        <v>3296</v>
      </c>
      <c r="P18" s="205" t="s">
        <v>2850</v>
      </c>
      <c r="Q18" s="206" t="s">
        <v>2850</v>
      </c>
      <c r="R18" s="206" t="s">
        <v>3296</v>
      </c>
      <c r="S18" s="205" t="s">
        <v>3296</v>
      </c>
      <c r="T18" s="205"/>
      <c r="U18" s="207"/>
      <c r="V18" s="186"/>
      <c r="W18" s="186"/>
      <c r="X18" s="186"/>
      <c r="Y18" s="186"/>
      <c r="Z18" s="186"/>
    </row>
    <row r="19" spans="1:26" ht="92.25" customHeight="1">
      <c r="A19" s="217"/>
      <c r="B19" s="65" t="s">
        <v>3395</v>
      </c>
      <c r="C19" s="65" t="s">
        <v>4805</v>
      </c>
      <c r="D19" s="218" t="s">
        <v>1070</v>
      </c>
      <c r="E19" s="218">
        <v>11</v>
      </c>
      <c r="F19" s="66" t="s">
        <v>5114</v>
      </c>
      <c r="G19" s="67"/>
      <c r="H19" s="218" t="s">
        <v>1750</v>
      </c>
      <c r="I19" s="218" t="s">
        <v>3321</v>
      </c>
      <c r="J19" s="219" t="s">
        <v>3322</v>
      </c>
      <c r="K19" s="220"/>
      <c r="L19" s="220"/>
      <c r="M19" s="220"/>
      <c r="N19" s="220"/>
      <c r="O19" s="221"/>
      <c r="P19" s="220"/>
      <c r="Q19" s="221"/>
      <c r="R19" s="221"/>
      <c r="S19" s="220"/>
      <c r="T19" s="220"/>
      <c r="U19" s="222"/>
      <c r="V19" s="186"/>
      <c r="W19" s="186"/>
      <c r="X19" s="186"/>
      <c r="Y19" s="186"/>
      <c r="Z19" s="186"/>
    </row>
    <row r="20" spans="1:26" ht="87.75" customHeight="1">
      <c r="A20" s="273"/>
      <c r="B20" s="241" t="s">
        <v>3395</v>
      </c>
      <c r="C20" s="241" t="s">
        <v>4805</v>
      </c>
      <c r="D20" s="274" t="s">
        <v>1106</v>
      </c>
      <c r="E20" s="274">
        <v>12</v>
      </c>
      <c r="F20" s="242" t="s">
        <v>3323</v>
      </c>
      <c r="G20" s="241" t="s">
        <v>5115</v>
      </c>
      <c r="H20" s="190">
        <v>1</v>
      </c>
      <c r="I20" s="190">
        <v>21</v>
      </c>
      <c r="J20" s="209"/>
      <c r="K20" s="192" t="s">
        <v>3250</v>
      </c>
      <c r="L20" s="193"/>
      <c r="M20" s="193"/>
      <c r="N20" s="193"/>
      <c r="O20" s="196"/>
      <c r="P20" s="193"/>
      <c r="Q20" s="196"/>
      <c r="R20" s="196"/>
      <c r="S20" s="193"/>
      <c r="T20" s="193"/>
      <c r="U20" s="193"/>
      <c r="V20" s="186"/>
      <c r="W20" s="186"/>
      <c r="X20" s="186"/>
      <c r="Y20" s="186"/>
      <c r="Z20" s="186"/>
    </row>
    <row r="21" spans="1:26" ht="81.75" customHeight="1">
      <c r="A21" s="237"/>
      <c r="B21" s="237"/>
      <c r="C21" s="237"/>
      <c r="D21" s="237"/>
      <c r="E21" s="237"/>
      <c r="F21" s="237"/>
      <c r="G21" s="236"/>
      <c r="H21" s="190">
        <v>2</v>
      </c>
      <c r="I21" s="190">
        <v>22</v>
      </c>
      <c r="J21" s="209"/>
      <c r="K21" s="192" t="s">
        <v>3250</v>
      </c>
      <c r="L21" s="193"/>
      <c r="M21" s="193"/>
      <c r="N21" s="193"/>
      <c r="O21" s="196"/>
      <c r="P21" s="193"/>
      <c r="Q21" s="196"/>
      <c r="R21" s="196"/>
      <c r="S21" s="193"/>
      <c r="T21" s="193"/>
      <c r="U21" s="193"/>
      <c r="V21" s="186"/>
      <c r="W21" s="186"/>
      <c r="X21" s="186"/>
      <c r="Y21" s="186"/>
      <c r="Z21" s="186"/>
    </row>
    <row r="22" spans="1:26" ht="62.25" customHeight="1">
      <c r="A22" s="273"/>
      <c r="B22" s="241" t="s">
        <v>3395</v>
      </c>
      <c r="C22" s="241" t="s">
        <v>4805</v>
      </c>
      <c r="D22" s="274" t="s">
        <v>1106</v>
      </c>
      <c r="E22" s="274">
        <v>13</v>
      </c>
      <c r="F22" s="242" t="s">
        <v>3336</v>
      </c>
      <c r="G22" s="236"/>
      <c r="H22" s="190">
        <v>3</v>
      </c>
      <c r="I22" s="190">
        <v>23</v>
      </c>
      <c r="J22" s="209"/>
      <c r="K22" s="192" t="s">
        <v>3250</v>
      </c>
      <c r="L22" s="193"/>
      <c r="M22" s="193"/>
      <c r="N22" s="193"/>
      <c r="O22" s="196"/>
      <c r="P22" s="193"/>
      <c r="Q22" s="196"/>
      <c r="R22" s="196"/>
      <c r="S22" s="195"/>
      <c r="T22" s="195"/>
      <c r="U22" s="193"/>
      <c r="V22" s="186"/>
      <c r="W22" s="186"/>
      <c r="X22" s="186"/>
      <c r="Y22" s="186"/>
      <c r="Z22" s="186"/>
    </row>
    <row r="23" spans="1:26" ht="71.25" customHeight="1">
      <c r="A23" s="237"/>
      <c r="B23" s="237"/>
      <c r="C23" s="237"/>
      <c r="D23" s="237"/>
      <c r="E23" s="237"/>
      <c r="F23" s="237"/>
      <c r="G23" s="237"/>
      <c r="H23" s="190">
        <v>4</v>
      </c>
      <c r="I23" s="190">
        <v>24</v>
      </c>
      <c r="J23" s="209"/>
      <c r="K23" s="192" t="s">
        <v>3250</v>
      </c>
      <c r="L23" s="193"/>
      <c r="M23" s="193"/>
      <c r="N23" s="193"/>
      <c r="O23" s="196"/>
      <c r="P23" s="193"/>
      <c r="Q23" s="196"/>
      <c r="R23" s="196"/>
      <c r="S23" s="195"/>
      <c r="T23" s="195"/>
      <c r="U23" s="193"/>
      <c r="V23" s="186"/>
      <c r="W23" s="186"/>
      <c r="X23" s="186"/>
      <c r="Y23" s="186"/>
      <c r="Z23" s="186"/>
    </row>
    <row r="24" spans="1:26" ht="150" customHeight="1">
      <c r="A24" s="186"/>
      <c r="B24" s="53" t="s">
        <v>3395</v>
      </c>
      <c r="C24" s="53" t="s">
        <v>4805</v>
      </c>
      <c r="D24" s="203" t="s">
        <v>1106</v>
      </c>
      <c r="E24" s="203">
        <v>14</v>
      </c>
      <c r="F24" s="55" t="s">
        <v>3345</v>
      </c>
      <c r="G24" s="53"/>
      <c r="H24" s="203" t="s">
        <v>1750</v>
      </c>
      <c r="I24" s="203" t="s">
        <v>3346</v>
      </c>
      <c r="J24" s="204" t="s">
        <v>5116</v>
      </c>
      <c r="K24" s="205"/>
      <c r="L24" s="205"/>
      <c r="M24" s="205"/>
      <c r="N24" s="205" t="s">
        <v>3296</v>
      </c>
      <c r="O24" s="206" t="s">
        <v>3296</v>
      </c>
      <c r="P24" s="205" t="s">
        <v>2850</v>
      </c>
      <c r="Q24" s="206" t="s">
        <v>2850</v>
      </c>
      <c r="R24" s="206" t="s">
        <v>3296</v>
      </c>
      <c r="S24" s="205" t="s">
        <v>3296</v>
      </c>
      <c r="T24" s="205"/>
      <c r="U24" s="207"/>
      <c r="V24" s="186"/>
      <c r="W24" s="186"/>
      <c r="X24" s="186"/>
      <c r="Y24" s="186"/>
      <c r="Z24" s="186"/>
    </row>
    <row r="25" spans="1:26" ht="100.5" customHeight="1">
      <c r="A25" s="273"/>
      <c r="B25" s="241" t="s">
        <v>3395</v>
      </c>
      <c r="C25" s="241" t="s">
        <v>4805</v>
      </c>
      <c r="D25" s="274" t="s">
        <v>1106</v>
      </c>
      <c r="E25" s="274">
        <v>15</v>
      </c>
      <c r="F25" s="242" t="s">
        <v>3348</v>
      </c>
      <c r="G25" s="241" t="s">
        <v>5117</v>
      </c>
      <c r="H25" s="190">
        <v>1</v>
      </c>
      <c r="I25" s="190">
        <v>27</v>
      </c>
      <c r="J25" s="191"/>
      <c r="K25" s="192"/>
      <c r="L25" s="193"/>
      <c r="M25" s="193"/>
      <c r="N25" s="210"/>
      <c r="O25" s="196"/>
      <c r="P25" s="193"/>
      <c r="Q25" s="196"/>
      <c r="R25" s="196"/>
      <c r="S25" s="195"/>
      <c r="T25" s="195"/>
      <c r="U25" s="193"/>
      <c r="V25" s="186"/>
      <c r="W25" s="186"/>
      <c r="X25" s="186"/>
      <c r="Y25" s="186"/>
      <c r="Z25" s="186"/>
    </row>
    <row r="26" spans="1:26" ht="100.5" customHeight="1">
      <c r="A26" s="237"/>
      <c r="B26" s="237"/>
      <c r="C26" s="237"/>
      <c r="D26" s="237"/>
      <c r="E26" s="237"/>
      <c r="F26" s="237"/>
      <c r="G26" s="236"/>
      <c r="H26" s="190">
        <v>2</v>
      </c>
      <c r="I26" s="190">
        <v>28</v>
      </c>
      <c r="J26" s="191"/>
      <c r="K26" s="192"/>
      <c r="L26" s="193"/>
      <c r="M26" s="193"/>
      <c r="N26" s="193"/>
      <c r="O26" s="196"/>
      <c r="P26" s="193"/>
      <c r="Q26" s="196"/>
      <c r="R26" s="196"/>
      <c r="S26" s="195"/>
      <c r="T26" s="195"/>
      <c r="U26" s="195"/>
      <c r="V26" s="186"/>
      <c r="W26" s="186"/>
      <c r="X26" s="186"/>
      <c r="Y26" s="186"/>
      <c r="Z26" s="186"/>
    </row>
    <row r="27" spans="1:26" ht="100.5" customHeight="1">
      <c r="A27" s="186"/>
      <c r="B27" s="241" t="s">
        <v>3395</v>
      </c>
      <c r="C27" s="241" t="s">
        <v>4805</v>
      </c>
      <c r="D27" s="274" t="s">
        <v>1106</v>
      </c>
      <c r="E27" s="272">
        <v>16</v>
      </c>
      <c r="F27" s="242" t="s">
        <v>3360</v>
      </c>
      <c r="G27" s="236"/>
      <c r="H27" s="190">
        <v>3</v>
      </c>
      <c r="I27" s="190">
        <v>29</v>
      </c>
      <c r="J27" s="191"/>
      <c r="K27" s="192"/>
      <c r="L27" s="193"/>
      <c r="M27" s="193"/>
      <c r="N27" s="193"/>
      <c r="O27" s="196"/>
      <c r="P27" s="193"/>
      <c r="Q27" s="196"/>
      <c r="R27" s="196"/>
      <c r="S27" s="195"/>
      <c r="T27" s="195"/>
      <c r="U27" s="195"/>
      <c r="V27" s="186"/>
      <c r="W27" s="186"/>
      <c r="X27" s="186"/>
      <c r="Y27" s="186"/>
      <c r="Z27" s="186"/>
    </row>
    <row r="28" spans="1:26" ht="100.5" customHeight="1">
      <c r="A28" s="186"/>
      <c r="B28" s="237"/>
      <c r="C28" s="237"/>
      <c r="D28" s="237"/>
      <c r="E28" s="237"/>
      <c r="F28" s="237"/>
      <c r="G28" s="236"/>
      <c r="H28" s="190">
        <v>4</v>
      </c>
      <c r="I28" s="190">
        <v>30</v>
      </c>
      <c r="J28" s="191"/>
      <c r="K28" s="192"/>
      <c r="L28" s="193"/>
      <c r="M28" s="193"/>
      <c r="N28" s="193"/>
      <c r="O28" s="196"/>
      <c r="P28" s="193"/>
      <c r="Q28" s="196"/>
      <c r="R28" s="196"/>
      <c r="S28" s="195"/>
      <c r="T28" s="195"/>
      <c r="U28" s="195"/>
      <c r="V28" s="186"/>
      <c r="W28" s="186"/>
      <c r="X28" s="186"/>
      <c r="Y28" s="186"/>
      <c r="Z28" s="186"/>
    </row>
    <row r="29" spans="1:26" ht="68.25" customHeight="1">
      <c r="A29" s="186"/>
      <c r="B29" s="211" t="s">
        <v>3395</v>
      </c>
      <c r="C29" s="211" t="s">
        <v>4805</v>
      </c>
      <c r="D29" s="212" t="s">
        <v>1106</v>
      </c>
      <c r="E29" s="212">
        <v>17</v>
      </c>
      <c r="F29" s="213" t="s">
        <v>3367</v>
      </c>
      <c r="G29" s="211"/>
      <c r="H29" s="212" t="s">
        <v>1750</v>
      </c>
      <c r="I29" s="212" t="s">
        <v>3368</v>
      </c>
      <c r="J29" s="214" t="s">
        <v>3316</v>
      </c>
      <c r="K29" s="211"/>
      <c r="L29" s="215"/>
      <c r="M29" s="215"/>
      <c r="N29" s="215"/>
      <c r="O29" s="216" t="s">
        <v>3296</v>
      </c>
      <c r="P29" s="215" t="s">
        <v>3296</v>
      </c>
      <c r="Q29" s="216" t="s">
        <v>2850</v>
      </c>
      <c r="R29" s="216" t="s">
        <v>2850</v>
      </c>
      <c r="S29" s="215" t="s">
        <v>3296</v>
      </c>
      <c r="T29" s="215" t="s">
        <v>3296</v>
      </c>
      <c r="U29" s="215"/>
      <c r="V29" s="186"/>
      <c r="W29" s="186"/>
      <c r="X29" s="186"/>
      <c r="Y29" s="186"/>
      <c r="Z29" s="186"/>
    </row>
    <row r="30" spans="1:26" ht="100.5" customHeight="1">
      <c r="A30" s="273"/>
      <c r="B30" s="241" t="s">
        <v>3395</v>
      </c>
      <c r="C30" s="241" t="s">
        <v>4805</v>
      </c>
      <c r="D30" s="274" t="s">
        <v>1106</v>
      </c>
      <c r="E30" s="272">
        <v>18</v>
      </c>
      <c r="F30" s="242" t="s">
        <v>3369</v>
      </c>
      <c r="G30" s="241" t="s">
        <v>5117</v>
      </c>
      <c r="H30" s="190">
        <v>5</v>
      </c>
      <c r="I30" s="190">
        <v>33</v>
      </c>
      <c r="J30" s="191"/>
      <c r="K30" s="192"/>
      <c r="L30" s="193"/>
      <c r="M30" s="193"/>
      <c r="N30" s="210"/>
      <c r="O30" s="196"/>
      <c r="P30" s="193"/>
      <c r="Q30" s="196"/>
      <c r="R30" s="196"/>
      <c r="S30" s="195"/>
      <c r="T30" s="195"/>
      <c r="U30" s="195"/>
      <c r="V30" s="186"/>
      <c r="W30" s="186"/>
      <c r="X30" s="186"/>
      <c r="Y30" s="186"/>
      <c r="Z30" s="186"/>
    </row>
    <row r="31" spans="1:26" ht="100.5" customHeight="1">
      <c r="A31" s="237"/>
      <c r="B31" s="237"/>
      <c r="C31" s="237"/>
      <c r="D31" s="237"/>
      <c r="E31" s="237"/>
      <c r="F31" s="237"/>
      <c r="G31" s="236"/>
      <c r="H31" s="190">
        <v>6</v>
      </c>
      <c r="I31" s="190">
        <v>34</v>
      </c>
      <c r="J31" s="191"/>
      <c r="K31" s="192"/>
      <c r="L31" s="193"/>
      <c r="M31" s="193"/>
      <c r="N31" s="193"/>
      <c r="O31" s="196"/>
      <c r="P31" s="193"/>
      <c r="Q31" s="196"/>
      <c r="R31" s="196"/>
      <c r="S31" s="195"/>
      <c r="T31" s="195"/>
      <c r="U31" s="195"/>
      <c r="V31" s="186"/>
      <c r="W31" s="186"/>
      <c r="X31" s="186"/>
      <c r="Y31" s="186"/>
      <c r="Z31" s="186"/>
    </row>
    <row r="32" spans="1:26" ht="100.5" customHeight="1">
      <c r="A32" s="273"/>
      <c r="B32" s="241" t="s">
        <v>3395</v>
      </c>
      <c r="C32" s="241" t="s">
        <v>4805</v>
      </c>
      <c r="D32" s="274" t="s">
        <v>1106</v>
      </c>
      <c r="E32" s="272">
        <v>19</v>
      </c>
      <c r="F32" s="242" t="s">
        <v>3381</v>
      </c>
      <c r="G32" s="236"/>
      <c r="H32" s="190">
        <v>7</v>
      </c>
      <c r="I32" s="190">
        <v>35</v>
      </c>
      <c r="J32" s="191"/>
      <c r="K32" s="192"/>
      <c r="L32" s="193"/>
      <c r="M32" s="193"/>
      <c r="N32" s="193"/>
      <c r="O32" s="196"/>
      <c r="P32" s="193"/>
      <c r="Q32" s="196"/>
      <c r="R32" s="196"/>
      <c r="S32" s="195"/>
      <c r="T32" s="195"/>
      <c r="U32" s="195"/>
      <c r="V32" s="186"/>
      <c r="W32" s="186"/>
      <c r="X32" s="186"/>
      <c r="Y32" s="186"/>
      <c r="Z32" s="186"/>
    </row>
    <row r="33" spans="1:26" ht="100.5" customHeight="1">
      <c r="A33" s="237"/>
      <c r="B33" s="237"/>
      <c r="C33" s="237"/>
      <c r="D33" s="237"/>
      <c r="E33" s="237"/>
      <c r="F33" s="237"/>
      <c r="G33" s="236"/>
      <c r="H33" s="190">
        <v>8</v>
      </c>
      <c r="I33" s="190">
        <v>36</v>
      </c>
      <c r="J33" s="191"/>
      <c r="K33" s="192"/>
      <c r="L33" s="193"/>
      <c r="M33" s="193"/>
      <c r="N33" s="193"/>
      <c r="O33" s="196"/>
      <c r="P33" s="193"/>
      <c r="Q33" s="196"/>
      <c r="R33" s="196"/>
      <c r="S33" s="195"/>
      <c r="T33" s="195"/>
      <c r="U33" s="195"/>
      <c r="V33" s="186"/>
      <c r="W33" s="186"/>
      <c r="X33" s="186"/>
      <c r="Y33" s="186"/>
      <c r="Z33" s="186"/>
    </row>
    <row r="34" spans="1:26" ht="100.5" customHeight="1">
      <c r="A34" s="186"/>
      <c r="B34" s="53" t="s">
        <v>3395</v>
      </c>
      <c r="C34" s="53" t="s">
        <v>4805</v>
      </c>
      <c r="D34" s="203" t="s">
        <v>1106</v>
      </c>
      <c r="E34" s="203">
        <v>20</v>
      </c>
      <c r="F34" s="55" t="s">
        <v>3390</v>
      </c>
      <c r="G34" s="53"/>
      <c r="H34" s="203" t="s">
        <v>1750</v>
      </c>
      <c r="I34" s="203" t="s">
        <v>3391</v>
      </c>
      <c r="J34" s="204" t="s">
        <v>5118</v>
      </c>
      <c r="K34" s="205"/>
      <c r="L34" s="205"/>
      <c r="M34" s="205"/>
      <c r="N34" s="205" t="s">
        <v>3296</v>
      </c>
      <c r="O34" s="206" t="s">
        <v>3296</v>
      </c>
      <c r="P34" s="205" t="s">
        <v>2850</v>
      </c>
      <c r="Q34" s="206" t="s">
        <v>2850</v>
      </c>
      <c r="R34" s="206" t="s">
        <v>3296</v>
      </c>
      <c r="S34" s="205" t="s">
        <v>3296</v>
      </c>
      <c r="T34" s="205"/>
      <c r="U34" s="207"/>
      <c r="V34" s="186"/>
      <c r="W34" s="186"/>
      <c r="X34" s="186"/>
      <c r="Y34" s="186"/>
      <c r="Z34" s="186"/>
    </row>
    <row r="35" spans="1:26" ht="92.25" customHeight="1">
      <c r="A35" s="217"/>
      <c r="B35" s="65" t="s">
        <v>3395</v>
      </c>
      <c r="C35" s="65" t="s">
        <v>4805</v>
      </c>
      <c r="D35" s="218" t="s">
        <v>1106</v>
      </c>
      <c r="E35" s="218">
        <v>21</v>
      </c>
      <c r="F35" s="66" t="s">
        <v>5119</v>
      </c>
      <c r="G35" s="67"/>
      <c r="H35" s="218" t="s">
        <v>1750</v>
      </c>
      <c r="I35" s="218" t="s">
        <v>3394</v>
      </c>
      <c r="J35" s="219" t="s">
        <v>3632</v>
      </c>
      <c r="K35" s="220"/>
      <c r="L35" s="220"/>
      <c r="M35" s="220"/>
      <c r="N35" s="220"/>
      <c r="O35" s="221"/>
      <c r="P35" s="220"/>
      <c r="Q35" s="221"/>
      <c r="R35" s="221"/>
      <c r="S35" s="220"/>
      <c r="T35" s="220"/>
      <c r="U35" s="222"/>
      <c r="V35" s="186"/>
      <c r="W35" s="186"/>
      <c r="X35" s="186"/>
      <c r="Y35" s="186"/>
      <c r="Z35" s="186"/>
    </row>
    <row r="36" spans="1:26" ht="93" customHeight="1">
      <c r="A36" s="273"/>
      <c r="B36" s="241" t="s">
        <v>3395</v>
      </c>
      <c r="C36" s="241" t="s">
        <v>4806</v>
      </c>
      <c r="D36" s="274" t="s">
        <v>1070</v>
      </c>
      <c r="E36" s="274">
        <v>1</v>
      </c>
      <c r="F36" s="267" t="s">
        <v>3521</v>
      </c>
      <c r="G36" s="278" t="s">
        <v>5120</v>
      </c>
      <c r="H36" s="190">
        <v>1</v>
      </c>
      <c r="I36" s="190">
        <v>1</v>
      </c>
      <c r="J36" s="223" t="s">
        <v>5121</v>
      </c>
      <c r="K36" s="9" t="s">
        <v>3242</v>
      </c>
      <c r="L36" s="224" t="s">
        <v>5122</v>
      </c>
      <c r="M36" s="224" t="s">
        <v>5123</v>
      </c>
      <c r="N36" s="193"/>
      <c r="O36" s="196"/>
      <c r="P36" s="193"/>
      <c r="Q36" s="196"/>
      <c r="R36" s="196"/>
      <c r="S36" s="195"/>
      <c r="T36" s="195"/>
      <c r="U36" s="195"/>
      <c r="V36" s="186"/>
      <c r="W36" s="186"/>
      <c r="X36" s="186"/>
      <c r="Y36" s="186"/>
      <c r="Z36" s="186"/>
    </row>
    <row r="37" spans="1:26" ht="92.25" customHeight="1">
      <c r="A37" s="237"/>
      <c r="B37" s="237"/>
      <c r="C37" s="237"/>
      <c r="D37" s="237"/>
      <c r="E37" s="237"/>
      <c r="F37" s="237"/>
      <c r="G37" s="236"/>
      <c r="H37" s="190">
        <v>2</v>
      </c>
      <c r="I37" s="190">
        <v>2</v>
      </c>
      <c r="J37" s="223" t="s">
        <v>5124</v>
      </c>
      <c r="K37" s="9" t="s">
        <v>3250</v>
      </c>
      <c r="L37" s="224" t="s">
        <v>5125</v>
      </c>
      <c r="M37" s="224" t="s">
        <v>5126</v>
      </c>
      <c r="N37" s="193"/>
      <c r="O37" s="194"/>
      <c r="P37" s="195"/>
      <c r="Q37" s="196"/>
      <c r="R37" s="196"/>
      <c r="S37" s="193"/>
      <c r="T37" s="193"/>
      <c r="U37" s="195"/>
      <c r="V37" s="186"/>
      <c r="W37" s="186"/>
      <c r="X37" s="186"/>
      <c r="Y37" s="186"/>
      <c r="Z37" s="186"/>
    </row>
    <row r="38" spans="1:26" ht="77.25" customHeight="1">
      <c r="A38" s="273"/>
      <c r="B38" s="241" t="s">
        <v>3395</v>
      </c>
      <c r="C38" s="241" t="s">
        <v>4806</v>
      </c>
      <c r="D38" s="274" t="s">
        <v>1070</v>
      </c>
      <c r="E38" s="272">
        <v>2</v>
      </c>
      <c r="F38" s="267" t="s">
        <v>3256</v>
      </c>
      <c r="G38" s="236"/>
      <c r="H38" s="190">
        <v>3</v>
      </c>
      <c r="I38" s="190">
        <v>3</v>
      </c>
      <c r="J38" s="223" t="s">
        <v>5127</v>
      </c>
      <c r="K38" s="9" t="s">
        <v>3250</v>
      </c>
      <c r="L38" s="224" t="s">
        <v>5128</v>
      </c>
      <c r="M38" s="224" t="s">
        <v>5129</v>
      </c>
      <c r="N38" s="210"/>
      <c r="O38" s="196"/>
      <c r="P38" s="193"/>
      <c r="Q38" s="196"/>
      <c r="R38" s="196"/>
      <c r="S38" s="195"/>
      <c r="T38" s="195"/>
      <c r="U38" s="195"/>
      <c r="V38" s="186"/>
      <c r="W38" s="186"/>
      <c r="X38" s="186"/>
      <c r="Y38" s="186"/>
      <c r="Z38" s="186"/>
    </row>
    <row r="39" spans="1:26" ht="77.25" customHeight="1">
      <c r="A39" s="237"/>
      <c r="B39" s="237"/>
      <c r="C39" s="237"/>
      <c r="D39" s="237"/>
      <c r="E39" s="237"/>
      <c r="F39" s="237"/>
      <c r="G39" s="237"/>
      <c r="H39" s="190">
        <v>4</v>
      </c>
      <c r="I39" s="190">
        <v>4</v>
      </c>
      <c r="J39" s="223" t="s">
        <v>5130</v>
      </c>
      <c r="K39" s="9" t="s">
        <v>3250</v>
      </c>
      <c r="L39" s="224" t="s">
        <v>5131</v>
      </c>
      <c r="M39" s="224" t="s">
        <v>5132</v>
      </c>
      <c r="N39" s="193"/>
      <c r="O39" s="194"/>
      <c r="P39" s="195"/>
      <c r="Q39" s="196"/>
      <c r="R39" s="196"/>
      <c r="S39" s="193"/>
      <c r="T39" s="193"/>
      <c r="U39" s="195"/>
      <c r="V39" s="186"/>
      <c r="W39" s="186"/>
      <c r="X39" s="186"/>
      <c r="Y39" s="186"/>
      <c r="Z39" s="186"/>
    </row>
    <row r="40" spans="1:26" ht="87.75" customHeight="1">
      <c r="A40" s="186"/>
      <c r="B40" s="46" t="s">
        <v>3395</v>
      </c>
      <c r="C40" s="46" t="s">
        <v>4806</v>
      </c>
      <c r="D40" s="197" t="s">
        <v>1070</v>
      </c>
      <c r="E40" s="198">
        <v>3</v>
      </c>
      <c r="F40" s="48" t="s">
        <v>3270</v>
      </c>
      <c r="G40" s="47" t="s">
        <v>3271</v>
      </c>
      <c r="H40" s="197"/>
      <c r="I40" s="197"/>
      <c r="J40" s="199"/>
      <c r="K40" s="46"/>
      <c r="L40" s="200"/>
      <c r="M40" s="200"/>
      <c r="N40" s="200"/>
      <c r="O40" s="201"/>
      <c r="P40" s="200"/>
      <c r="Q40" s="201"/>
      <c r="R40" s="201"/>
      <c r="S40" s="202"/>
      <c r="T40" s="202"/>
      <c r="U40" s="202"/>
      <c r="V40" s="186"/>
      <c r="W40" s="186"/>
      <c r="X40" s="186"/>
      <c r="Y40" s="186"/>
      <c r="Z40" s="186"/>
    </row>
    <row r="41" spans="1:26" ht="87.75" customHeight="1">
      <c r="A41" s="273"/>
      <c r="B41" s="241" t="s">
        <v>3395</v>
      </c>
      <c r="C41" s="241" t="s">
        <v>4806</v>
      </c>
      <c r="D41" s="274" t="s">
        <v>1070</v>
      </c>
      <c r="E41" s="272">
        <v>4</v>
      </c>
      <c r="F41" s="267" t="s">
        <v>3272</v>
      </c>
      <c r="G41" s="276" t="s">
        <v>5120</v>
      </c>
      <c r="H41" s="190">
        <v>5</v>
      </c>
      <c r="I41" s="190">
        <v>5</v>
      </c>
      <c r="J41" s="209" t="s">
        <v>5133</v>
      </c>
      <c r="K41" s="9" t="s">
        <v>3250</v>
      </c>
      <c r="L41" s="224" t="s">
        <v>5134</v>
      </c>
      <c r="M41" s="224" t="s">
        <v>5135</v>
      </c>
      <c r="N41" s="193"/>
      <c r="O41" s="196"/>
      <c r="P41" s="193"/>
      <c r="Q41" s="196"/>
      <c r="R41" s="196"/>
      <c r="S41" s="195"/>
      <c r="T41" s="195"/>
      <c r="U41" s="195"/>
      <c r="V41" s="186"/>
      <c r="W41" s="186"/>
      <c r="X41" s="186"/>
      <c r="Y41" s="186"/>
      <c r="Z41" s="186"/>
    </row>
    <row r="42" spans="1:26" ht="87.75" customHeight="1">
      <c r="A42" s="237"/>
      <c r="B42" s="237"/>
      <c r="C42" s="237"/>
      <c r="D42" s="237"/>
      <c r="E42" s="237"/>
      <c r="F42" s="237"/>
      <c r="G42" s="236"/>
      <c r="H42" s="190">
        <v>6</v>
      </c>
      <c r="I42" s="190">
        <v>6</v>
      </c>
      <c r="J42" s="209" t="s">
        <v>5136</v>
      </c>
      <c r="K42" s="9" t="s">
        <v>3250</v>
      </c>
      <c r="L42" s="224" t="s">
        <v>5137</v>
      </c>
      <c r="M42" s="224" t="s">
        <v>5138</v>
      </c>
      <c r="N42" s="193"/>
      <c r="O42" s="196"/>
      <c r="P42" s="193"/>
      <c r="Q42" s="196"/>
      <c r="R42" s="196"/>
      <c r="S42" s="195"/>
      <c r="T42" s="195"/>
      <c r="U42" s="195"/>
      <c r="V42" s="186"/>
      <c r="W42" s="186"/>
      <c r="X42" s="186"/>
      <c r="Y42" s="186"/>
      <c r="Z42" s="186"/>
    </row>
    <row r="43" spans="1:26" ht="87.75" customHeight="1">
      <c r="A43" s="273"/>
      <c r="B43" s="241" t="s">
        <v>3395</v>
      </c>
      <c r="C43" s="241" t="s">
        <v>4806</v>
      </c>
      <c r="D43" s="274" t="s">
        <v>1070</v>
      </c>
      <c r="E43" s="272">
        <v>5</v>
      </c>
      <c r="F43" s="267" t="s">
        <v>3286</v>
      </c>
      <c r="G43" s="236"/>
      <c r="H43" s="190">
        <v>7</v>
      </c>
      <c r="I43" s="190">
        <v>7</v>
      </c>
      <c r="J43" s="209" t="s">
        <v>5139</v>
      </c>
      <c r="K43" s="9" t="s">
        <v>3250</v>
      </c>
      <c r="L43" s="224" t="s">
        <v>5140</v>
      </c>
      <c r="M43" s="224" t="s">
        <v>5141</v>
      </c>
      <c r="N43" s="193"/>
      <c r="O43" s="196"/>
      <c r="P43" s="193"/>
      <c r="Q43" s="196"/>
      <c r="R43" s="196"/>
      <c r="S43" s="195"/>
      <c r="T43" s="195"/>
      <c r="U43" s="195"/>
      <c r="V43" s="186"/>
      <c r="W43" s="186"/>
      <c r="X43" s="186"/>
      <c r="Y43" s="186"/>
      <c r="Z43" s="186"/>
    </row>
    <row r="44" spans="1:26" ht="87.75" customHeight="1">
      <c r="A44" s="237"/>
      <c r="B44" s="237"/>
      <c r="C44" s="237"/>
      <c r="D44" s="237"/>
      <c r="E44" s="237"/>
      <c r="F44" s="237"/>
      <c r="G44" s="237"/>
      <c r="H44" s="190">
        <v>8</v>
      </c>
      <c r="I44" s="190">
        <v>8</v>
      </c>
      <c r="J44" s="209" t="s">
        <v>5142</v>
      </c>
      <c r="K44" s="9" t="s">
        <v>3242</v>
      </c>
      <c r="L44" s="224" t="s">
        <v>5143</v>
      </c>
      <c r="M44" s="224" t="s">
        <v>5144</v>
      </c>
      <c r="N44" s="193"/>
      <c r="O44" s="196"/>
      <c r="P44" s="193"/>
      <c r="Q44" s="196"/>
      <c r="R44" s="196"/>
      <c r="S44" s="195"/>
      <c r="T44" s="195"/>
      <c r="U44" s="195"/>
      <c r="V44" s="186"/>
      <c r="W44" s="186"/>
      <c r="X44" s="186"/>
      <c r="Y44" s="186"/>
      <c r="Z44" s="186"/>
    </row>
    <row r="45" spans="1:26" ht="77.25" customHeight="1">
      <c r="A45" s="186"/>
      <c r="B45" s="53" t="s">
        <v>3395</v>
      </c>
      <c r="C45" s="53" t="s">
        <v>5145</v>
      </c>
      <c r="D45" s="203" t="s">
        <v>1070</v>
      </c>
      <c r="E45" s="203">
        <v>6</v>
      </c>
      <c r="F45" s="104" t="s">
        <v>3556</v>
      </c>
      <c r="G45" s="105"/>
      <c r="H45" s="203" t="s">
        <v>1750</v>
      </c>
      <c r="I45" s="203" t="s">
        <v>3294</v>
      </c>
      <c r="J45" s="204" t="s">
        <v>5146</v>
      </c>
      <c r="K45" s="205"/>
      <c r="L45" s="205"/>
      <c r="M45" s="205"/>
      <c r="N45" s="205" t="s">
        <v>3296</v>
      </c>
      <c r="O45" s="206" t="s">
        <v>3296</v>
      </c>
      <c r="P45" s="205" t="s">
        <v>2850</v>
      </c>
      <c r="Q45" s="206" t="s">
        <v>2850</v>
      </c>
      <c r="R45" s="206" t="s">
        <v>3296</v>
      </c>
      <c r="S45" s="205" t="s">
        <v>3296</v>
      </c>
      <c r="T45" s="205"/>
      <c r="U45" s="207"/>
      <c r="V45" s="186"/>
      <c r="W45" s="186"/>
      <c r="X45" s="186"/>
      <c r="Y45" s="186"/>
      <c r="Z45" s="186"/>
    </row>
    <row r="46" spans="1:26" ht="96.75" customHeight="1">
      <c r="A46" s="273"/>
      <c r="B46" s="241" t="s">
        <v>3395</v>
      </c>
      <c r="C46" s="241" t="s">
        <v>4806</v>
      </c>
      <c r="D46" s="274" t="s">
        <v>1070</v>
      </c>
      <c r="E46" s="272">
        <v>7</v>
      </c>
      <c r="F46" s="267" t="s">
        <v>3297</v>
      </c>
      <c r="G46" s="243" t="s">
        <v>5147</v>
      </c>
      <c r="H46" s="190">
        <v>1</v>
      </c>
      <c r="I46" s="190">
        <v>11</v>
      </c>
      <c r="J46" s="209" t="s">
        <v>5148</v>
      </c>
      <c r="K46" s="9" t="s">
        <v>5149</v>
      </c>
      <c r="L46" s="224" t="s">
        <v>5150</v>
      </c>
      <c r="M46" s="224" t="s">
        <v>5151</v>
      </c>
      <c r="N46" s="193"/>
      <c r="O46" s="194"/>
      <c r="P46" s="195"/>
      <c r="Q46" s="196"/>
      <c r="R46" s="196"/>
      <c r="S46" s="193"/>
      <c r="T46" s="193"/>
      <c r="U46" s="195"/>
      <c r="V46" s="186"/>
      <c r="W46" s="186"/>
      <c r="X46" s="186"/>
      <c r="Y46" s="186"/>
      <c r="Z46" s="186"/>
    </row>
    <row r="47" spans="1:26" ht="103.5" customHeight="1">
      <c r="A47" s="237"/>
      <c r="B47" s="237"/>
      <c r="C47" s="237"/>
      <c r="D47" s="237"/>
      <c r="E47" s="237"/>
      <c r="F47" s="237"/>
      <c r="G47" s="236"/>
      <c r="H47" s="190">
        <v>2</v>
      </c>
      <c r="I47" s="190">
        <v>12</v>
      </c>
      <c r="J47" s="209" t="s">
        <v>5152</v>
      </c>
      <c r="K47" s="9" t="s">
        <v>5149</v>
      </c>
      <c r="L47" s="224" t="s">
        <v>5153</v>
      </c>
      <c r="M47" s="224" t="s">
        <v>5154</v>
      </c>
      <c r="N47" s="210"/>
      <c r="O47" s="196"/>
      <c r="P47" s="193"/>
      <c r="Q47" s="196"/>
      <c r="R47" s="196"/>
      <c r="S47" s="195"/>
      <c r="T47" s="195"/>
      <c r="U47" s="195"/>
      <c r="V47" s="186"/>
      <c r="W47" s="186"/>
      <c r="X47" s="186"/>
      <c r="Y47" s="186"/>
      <c r="Z47" s="186"/>
    </row>
    <row r="48" spans="1:26" ht="106.5" customHeight="1">
      <c r="A48" s="273"/>
      <c r="B48" s="241" t="s">
        <v>3395</v>
      </c>
      <c r="C48" s="241" t="s">
        <v>4806</v>
      </c>
      <c r="D48" s="274" t="s">
        <v>1070</v>
      </c>
      <c r="E48" s="272">
        <v>8</v>
      </c>
      <c r="F48" s="267" t="s">
        <v>3306</v>
      </c>
      <c r="G48" s="236"/>
      <c r="H48" s="190">
        <v>3</v>
      </c>
      <c r="I48" s="190">
        <v>13</v>
      </c>
      <c r="J48" s="209" t="s">
        <v>5155</v>
      </c>
      <c r="K48" s="9" t="s">
        <v>5149</v>
      </c>
      <c r="L48" s="224" t="s">
        <v>5156</v>
      </c>
      <c r="M48" s="224" t="s">
        <v>5157</v>
      </c>
      <c r="N48" s="193"/>
      <c r="O48" s="194"/>
      <c r="P48" s="195"/>
      <c r="Q48" s="196"/>
      <c r="R48" s="196"/>
      <c r="S48" s="195"/>
      <c r="T48" s="195"/>
      <c r="U48" s="193"/>
      <c r="V48" s="186"/>
      <c r="W48" s="186"/>
      <c r="X48" s="186"/>
      <c r="Y48" s="186"/>
      <c r="Z48" s="186"/>
    </row>
    <row r="49" spans="1:26" ht="123" customHeight="1">
      <c r="A49" s="237"/>
      <c r="B49" s="237"/>
      <c r="C49" s="237"/>
      <c r="D49" s="237"/>
      <c r="E49" s="237"/>
      <c r="F49" s="237"/>
      <c r="G49" s="237"/>
      <c r="H49" s="190">
        <v>4</v>
      </c>
      <c r="I49" s="190">
        <v>14</v>
      </c>
      <c r="J49" s="209" t="s">
        <v>5158</v>
      </c>
      <c r="K49" s="9" t="s">
        <v>5149</v>
      </c>
      <c r="L49" s="224" t="s">
        <v>5159</v>
      </c>
      <c r="M49" s="224" t="s">
        <v>5160</v>
      </c>
      <c r="N49" s="193"/>
      <c r="O49" s="194"/>
      <c r="P49" s="195"/>
      <c r="Q49" s="196"/>
      <c r="R49" s="196"/>
      <c r="S49" s="195"/>
      <c r="T49" s="195"/>
      <c r="U49" s="193"/>
      <c r="V49" s="186"/>
      <c r="W49" s="186"/>
      <c r="X49" s="186"/>
      <c r="Y49" s="186"/>
      <c r="Z49" s="186"/>
    </row>
    <row r="50" spans="1:26" ht="111" customHeight="1">
      <c r="A50" s="186"/>
      <c r="B50" s="211" t="s">
        <v>3395</v>
      </c>
      <c r="C50" s="211" t="s">
        <v>4806</v>
      </c>
      <c r="D50" s="212" t="s">
        <v>1070</v>
      </c>
      <c r="E50" s="212">
        <v>9</v>
      </c>
      <c r="F50" s="213" t="s">
        <v>3314</v>
      </c>
      <c r="G50" s="211"/>
      <c r="H50" s="212" t="s">
        <v>1750</v>
      </c>
      <c r="I50" s="212" t="s">
        <v>3315</v>
      </c>
      <c r="J50" s="214" t="s">
        <v>3316</v>
      </c>
      <c r="K50" s="211"/>
      <c r="L50" s="215"/>
      <c r="M50" s="215"/>
      <c r="N50" s="215"/>
      <c r="O50" s="216" t="s">
        <v>3296</v>
      </c>
      <c r="P50" s="215" t="s">
        <v>3296</v>
      </c>
      <c r="Q50" s="216" t="s">
        <v>2850</v>
      </c>
      <c r="R50" s="216" t="s">
        <v>2850</v>
      </c>
      <c r="S50" s="215" t="s">
        <v>3296</v>
      </c>
      <c r="T50" s="215" t="s">
        <v>3296</v>
      </c>
      <c r="U50" s="215"/>
      <c r="V50" s="186"/>
      <c r="W50" s="186"/>
      <c r="X50" s="186"/>
      <c r="Y50" s="186"/>
      <c r="Z50" s="186"/>
    </row>
    <row r="51" spans="1:26" ht="100.5" customHeight="1">
      <c r="A51" s="186"/>
      <c r="B51" s="53" t="s">
        <v>3395</v>
      </c>
      <c r="C51" s="53" t="s">
        <v>4806</v>
      </c>
      <c r="D51" s="203" t="s">
        <v>1070</v>
      </c>
      <c r="E51" s="203">
        <v>10</v>
      </c>
      <c r="F51" s="55" t="s">
        <v>3317</v>
      </c>
      <c r="G51" s="53"/>
      <c r="H51" s="203" t="s">
        <v>1750</v>
      </c>
      <c r="I51" s="203" t="s">
        <v>3318</v>
      </c>
      <c r="J51" s="204" t="s">
        <v>5161</v>
      </c>
      <c r="K51" s="205"/>
      <c r="L51" s="205"/>
      <c r="M51" s="205"/>
      <c r="N51" s="205" t="s">
        <v>3296</v>
      </c>
      <c r="O51" s="206" t="s">
        <v>3296</v>
      </c>
      <c r="P51" s="205" t="s">
        <v>2850</v>
      </c>
      <c r="Q51" s="206" t="s">
        <v>2850</v>
      </c>
      <c r="R51" s="206" t="s">
        <v>3296</v>
      </c>
      <c r="S51" s="205" t="s">
        <v>3296</v>
      </c>
      <c r="T51" s="205"/>
      <c r="U51" s="207"/>
      <c r="V51" s="186"/>
      <c r="W51" s="186"/>
      <c r="X51" s="186"/>
      <c r="Y51" s="186"/>
      <c r="Z51" s="186"/>
    </row>
    <row r="52" spans="1:26" ht="92.25" customHeight="1">
      <c r="A52" s="217"/>
      <c r="B52" s="65" t="s">
        <v>3395</v>
      </c>
      <c r="C52" s="65" t="s">
        <v>4806</v>
      </c>
      <c r="D52" s="218" t="s">
        <v>1070</v>
      </c>
      <c r="E52" s="218">
        <v>11</v>
      </c>
      <c r="F52" s="66" t="s">
        <v>5114</v>
      </c>
      <c r="G52" s="67"/>
      <c r="H52" s="218" t="s">
        <v>1750</v>
      </c>
      <c r="I52" s="218" t="s">
        <v>3321</v>
      </c>
      <c r="J52" s="219" t="s">
        <v>3322</v>
      </c>
      <c r="K52" s="220"/>
      <c r="L52" s="220"/>
      <c r="M52" s="220"/>
      <c r="N52" s="220"/>
      <c r="O52" s="221"/>
      <c r="P52" s="220"/>
      <c r="Q52" s="221"/>
      <c r="R52" s="221"/>
      <c r="S52" s="220"/>
      <c r="T52" s="220"/>
      <c r="U52" s="222"/>
      <c r="V52" s="186"/>
      <c r="W52" s="186"/>
      <c r="X52" s="186"/>
      <c r="Y52" s="186"/>
      <c r="Z52" s="186"/>
    </row>
    <row r="53" spans="1:26" ht="77.25" customHeight="1">
      <c r="A53" s="273"/>
      <c r="B53" s="241" t="s">
        <v>3395</v>
      </c>
      <c r="C53" s="241" t="s">
        <v>4806</v>
      </c>
      <c r="D53" s="274" t="s">
        <v>1106</v>
      </c>
      <c r="E53" s="272">
        <v>12</v>
      </c>
      <c r="F53" s="267" t="s">
        <v>3323</v>
      </c>
      <c r="G53" s="243" t="s">
        <v>5162</v>
      </c>
      <c r="H53" s="190">
        <v>1</v>
      </c>
      <c r="I53" s="190">
        <v>21</v>
      </c>
      <c r="J53" s="191"/>
      <c r="K53" s="192"/>
      <c r="L53" s="193"/>
      <c r="M53" s="193"/>
      <c r="N53" s="193"/>
      <c r="O53" s="194"/>
      <c r="P53" s="195"/>
      <c r="Q53" s="196"/>
      <c r="R53" s="196"/>
      <c r="S53" s="195"/>
      <c r="T53" s="195"/>
      <c r="U53" s="193"/>
      <c r="V53" s="186"/>
      <c r="W53" s="186"/>
      <c r="X53" s="186"/>
      <c r="Y53" s="186"/>
      <c r="Z53" s="186"/>
    </row>
    <row r="54" spans="1:26" ht="66" customHeight="1">
      <c r="A54" s="237"/>
      <c r="B54" s="237"/>
      <c r="C54" s="237"/>
      <c r="D54" s="237"/>
      <c r="E54" s="237"/>
      <c r="F54" s="237"/>
      <c r="G54" s="236"/>
      <c r="H54" s="190">
        <v>2</v>
      </c>
      <c r="I54" s="190">
        <v>22</v>
      </c>
      <c r="J54" s="191"/>
      <c r="K54" s="192"/>
      <c r="L54" s="193"/>
      <c r="M54" s="193"/>
      <c r="N54" s="193"/>
      <c r="O54" s="194"/>
      <c r="P54" s="195"/>
      <c r="Q54" s="196"/>
      <c r="R54" s="196"/>
      <c r="S54" s="195"/>
      <c r="T54" s="195"/>
      <c r="U54" s="193"/>
      <c r="V54" s="186"/>
      <c r="W54" s="186"/>
      <c r="X54" s="186"/>
      <c r="Y54" s="186"/>
      <c r="Z54" s="186"/>
    </row>
    <row r="55" spans="1:26" ht="66" customHeight="1">
      <c r="A55" s="273"/>
      <c r="B55" s="241" t="s">
        <v>3395</v>
      </c>
      <c r="C55" s="241" t="s">
        <v>4806</v>
      </c>
      <c r="D55" s="274" t="s">
        <v>1106</v>
      </c>
      <c r="E55" s="272">
        <v>13</v>
      </c>
      <c r="F55" s="267" t="s">
        <v>3336</v>
      </c>
      <c r="G55" s="236"/>
      <c r="H55" s="190">
        <v>3</v>
      </c>
      <c r="I55" s="190">
        <v>23</v>
      </c>
      <c r="J55" s="191"/>
      <c r="K55" s="192"/>
      <c r="L55" s="193"/>
      <c r="M55" s="193"/>
      <c r="N55" s="193"/>
      <c r="O55" s="194"/>
      <c r="P55" s="195"/>
      <c r="Q55" s="196"/>
      <c r="R55" s="196"/>
      <c r="S55" s="195"/>
      <c r="T55" s="195"/>
      <c r="U55" s="193"/>
      <c r="V55" s="186"/>
      <c r="W55" s="186"/>
      <c r="X55" s="186"/>
      <c r="Y55" s="186"/>
      <c r="Z55" s="186"/>
    </row>
    <row r="56" spans="1:26" ht="66" customHeight="1">
      <c r="A56" s="237"/>
      <c r="B56" s="237"/>
      <c r="C56" s="237"/>
      <c r="D56" s="237"/>
      <c r="E56" s="237"/>
      <c r="F56" s="237"/>
      <c r="G56" s="237"/>
      <c r="H56" s="190">
        <v>4</v>
      </c>
      <c r="I56" s="190">
        <v>24</v>
      </c>
      <c r="J56" s="191"/>
      <c r="K56" s="192"/>
      <c r="L56" s="193"/>
      <c r="M56" s="193"/>
      <c r="N56" s="193"/>
      <c r="O56" s="194"/>
      <c r="P56" s="195"/>
      <c r="Q56" s="196"/>
      <c r="R56" s="196"/>
      <c r="S56" s="195"/>
      <c r="T56" s="195"/>
      <c r="U56" s="193"/>
      <c r="V56" s="186"/>
      <c r="W56" s="186"/>
      <c r="X56" s="186"/>
      <c r="Y56" s="186"/>
      <c r="Z56" s="186"/>
    </row>
    <row r="57" spans="1:26" ht="66" customHeight="1">
      <c r="A57" s="186"/>
      <c r="B57" s="53" t="s">
        <v>3395</v>
      </c>
      <c r="C57" s="53" t="s">
        <v>4806</v>
      </c>
      <c r="D57" s="203" t="s">
        <v>1106</v>
      </c>
      <c r="E57" s="203">
        <v>14</v>
      </c>
      <c r="F57" s="55" t="s">
        <v>3345</v>
      </c>
      <c r="G57" s="53"/>
      <c r="H57" s="203" t="s">
        <v>1750</v>
      </c>
      <c r="I57" s="203" t="s">
        <v>3346</v>
      </c>
      <c r="J57" s="204" t="s">
        <v>5163</v>
      </c>
      <c r="K57" s="205"/>
      <c r="L57" s="205"/>
      <c r="M57" s="205"/>
      <c r="N57" s="205" t="s">
        <v>3296</v>
      </c>
      <c r="O57" s="206" t="s">
        <v>3296</v>
      </c>
      <c r="P57" s="205" t="s">
        <v>2850</v>
      </c>
      <c r="Q57" s="206" t="s">
        <v>2850</v>
      </c>
      <c r="R57" s="206" t="s">
        <v>3296</v>
      </c>
      <c r="S57" s="205" t="s">
        <v>3296</v>
      </c>
      <c r="T57" s="205"/>
      <c r="U57" s="207"/>
      <c r="V57" s="186"/>
      <c r="W57" s="186"/>
      <c r="X57" s="186"/>
      <c r="Y57" s="186"/>
      <c r="Z57" s="186"/>
    </row>
    <row r="58" spans="1:26" ht="72.75" customHeight="1">
      <c r="A58" s="273"/>
      <c r="B58" s="241" t="s">
        <v>3395</v>
      </c>
      <c r="C58" s="241" t="s">
        <v>4806</v>
      </c>
      <c r="D58" s="274" t="s">
        <v>1106</v>
      </c>
      <c r="E58" s="274">
        <v>15</v>
      </c>
      <c r="F58" s="242" t="s">
        <v>3348</v>
      </c>
      <c r="G58" s="276" t="s">
        <v>5164</v>
      </c>
      <c r="H58" s="190">
        <v>1</v>
      </c>
      <c r="I58" s="190">
        <v>27</v>
      </c>
      <c r="J58" s="191"/>
      <c r="K58" s="192"/>
      <c r="L58" s="193"/>
      <c r="M58" s="193"/>
      <c r="N58" s="210"/>
      <c r="O58" s="194"/>
      <c r="P58" s="195"/>
      <c r="Q58" s="196"/>
      <c r="R58" s="196"/>
      <c r="S58" s="195"/>
      <c r="T58" s="195"/>
      <c r="U58" s="193"/>
      <c r="V58" s="186"/>
      <c r="W58" s="186"/>
      <c r="X58" s="186"/>
      <c r="Y58" s="186"/>
      <c r="Z58" s="186"/>
    </row>
    <row r="59" spans="1:26" ht="72" customHeight="1">
      <c r="A59" s="237"/>
      <c r="B59" s="237"/>
      <c r="C59" s="237"/>
      <c r="D59" s="237"/>
      <c r="E59" s="237"/>
      <c r="F59" s="237"/>
      <c r="G59" s="236"/>
      <c r="H59" s="190">
        <v>2</v>
      </c>
      <c r="I59" s="190">
        <v>28</v>
      </c>
      <c r="J59" s="191"/>
      <c r="K59" s="192"/>
      <c r="L59" s="193"/>
      <c r="M59" s="193"/>
      <c r="N59" s="193"/>
      <c r="O59" s="194"/>
      <c r="P59" s="195"/>
      <c r="Q59" s="196"/>
      <c r="R59" s="196"/>
      <c r="S59" s="195"/>
      <c r="T59" s="195"/>
      <c r="U59" s="193"/>
      <c r="V59" s="186"/>
      <c r="W59" s="186"/>
      <c r="X59" s="186"/>
      <c r="Y59" s="186"/>
      <c r="Z59" s="186"/>
    </row>
    <row r="60" spans="1:26" ht="64.5" customHeight="1">
      <c r="A60" s="273"/>
      <c r="B60" s="241" t="s">
        <v>3395</v>
      </c>
      <c r="C60" s="241" t="s">
        <v>4806</v>
      </c>
      <c r="D60" s="274" t="s">
        <v>1106</v>
      </c>
      <c r="E60" s="274">
        <v>16</v>
      </c>
      <c r="F60" s="242" t="s">
        <v>3360</v>
      </c>
      <c r="G60" s="236"/>
      <c r="H60" s="190">
        <v>3</v>
      </c>
      <c r="I60" s="190">
        <v>29</v>
      </c>
      <c r="J60" s="191"/>
      <c r="K60" s="192"/>
      <c r="L60" s="193"/>
      <c r="M60" s="193"/>
      <c r="N60" s="193"/>
      <c r="O60" s="194"/>
      <c r="P60" s="195"/>
      <c r="Q60" s="196"/>
      <c r="R60" s="196"/>
      <c r="S60" s="195"/>
      <c r="T60" s="195"/>
      <c r="U60" s="193"/>
      <c r="V60" s="186"/>
      <c r="W60" s="186"/>
      <c r="X60" s="186"/>
      <c r="Y60" s="186"/>
      <c r="Z60" s="186"/>
    </row>
    <row r="61" spans="1:26" ht="64.5" customHeight="1">
      <c r="A61" s="237"/>
      <c r="B61" s="237"/>
      <c r="C61" s="237"/>
      <c r="D61" s="237"/>
      <c r="E61" s="237"/>
      <c r="F61" s="237"/>
      <c r="G61" s="245"/>
      <c r="H61" s="190">
        <v>4</v>
      </c>
      <c r="I61" s="190">
        <v>30</v>
      </c>
      <c r="J61" s="191"/>
      <c r="K61" s="192"/>
      <c r="L61" s="193"/>
      <c r="M61" s="193"/>
      <c r="N61" s="193"/>
      <c r="O61" s="194"/>
      <c r="P61" s="195"/>
      <c r="Q61" s="196"/>
      <c r="R61" s="196"/>
      <c r="S61" s="195"/>
      <c r="T61" s="195"/>
      <c r="U61" s="193"/>
      <c r="V61" s="186"/>
      <c r="W61" s="186"/>
      <c r="X61" s="186"/>
      <c r="Y61" s="186"/>
      <c r="Z61" s="186"/>
    </row>
    <row r="62" spans="1:26" ht="64.5" customHeight="1">
      <c r="A62" s="186"/>
      <c r="B62" s="211" t="s">
        <v>3395</v>
      </c>
      <c r="C62" s="211" t="s">
        <v>4806</v>
      </c>
      <c r="D62" s="212" t="s">
        <v>1106</v>
      </c>
      <c r="E62" s="212">
        <v>17</v>
      </c>
      <c r="F62" s="213" t="s">
        <v>3367</v>
      </c>
      <c r="G62" s="211"/>
      <c r="H62" s="212" t="s">
        <v>1750</v>
      </c>
      <c r="I62" s="212" t="s">
        <v>3368</v>
      </c>
      <c r="J62" s="214" t="s">
        <v>3316</v>
      </c>
      <c r="K62" s="211"/>
      <c r="L62" s="215"/>
      <c r="M62" s="215"/>
      <c r="N62" s="215"/>
      <c r="O62" s="216" t="s">
        <v>3296</v>
      </c>
      <c r="P62" s="215" t="s">
        <v>3296</v>
      </c>
      <c r="Q62" s="216" t="s">
        <v>2850</v>
      </c>
      <c r="R62" s="216" t="s">
        <v>2850</v>
      </c>
      <c r="S62" s="215" t="s">
        <v>3296</v>
      </c>
      <c r="T62" s="215" t="s">
        <v>3296</v>
      </c>
      <c r="U62" s="215"/>
      <c r="V62" s="186"/>
      <c r="W62" s="186"/>
      <c r="X62" s="186"/>
      <c r="Y62" s="186"/>
      <c r="Z62" s="186"/>
    </row>
    <row r="63" spans="1:26" ht="64.5" customHeight="1">
      <c r="A63" s="273"/>
      <c r="B63" s="241" t="s">
        <v>3395</v>
      </c>
      <c r="C63" s="241" t="s">
        <v>4806</v>
      </c>
      <c r="D63" s="274" t="s">
        <v>1106</v>
      </c>
      <c r="E63" s="274">
        <v>18</v>
      </c>
      <c r="F63" s="242" t="s">
        <v>3369</v>
      </c>
      <c r="G63" s="277" t="s">
        <v>5164</v>
      </c>
      <c r="H63" s="190">
        <v>5</v>
      </c>
      <c r="I63" s="190">
        <v>33</v>
      </c>
      <c r="J63" s="191"/>
      <c r="K63" s="192"/>
      <c r="L63" s="193"/>
      <c r="M63" s="193"/>
      <c r="N63" s="193"/>
      <c r="O63" s="194"/>
      <c r="P63" s="195"/>
      <c r="Q63" s="196"/>
      <c r="R63" s="196"/>
      <c r="S63" s="195"/>
      <c r="T63" s="195"/>
      <c r="U63" s="193"/>
      <c r="V63" s="186"/>
      <c r="W63" s="186"/>
      <c r="X63" s="186"/>
      <c r="Y63" s="186"/>
      <c r="Z63" s="186"/>
    </row>
    <row r="64" spans="1:26" ht="64.5" customHeight="1">
      <c r="A64" s="237"/>
      <c r="B64" s="237"/>
      <c r="C64" s="237"/>
      <c r="D64" s="237"/>
      <c r="E64" s="237"/>
      <c r="F64" s="237"/>
      <c r="G64" s="236"/>
      <c r="H64" s="190">
        <v>6</v>
      </c>
      <c r="I64" s="190">
        <v>34</v>
      </c>
      <c r="J64" s="191"/>
      <c r="K64" s="192"/>
      <c r="L64" s="193"/>
      <c r="M64" s="193"/>
      <c r="N64" s="193"/>
      <c r="O64" s="194"/>
      <c r="P64" s="195"/>
      <c r="Q64" s="196"/>
      <c r="R64" s="196"/>
      <c r="S64" s="195"/>
      <c r="T64" s="195"/>
      <c r="U64" s="193"/>
      <c r="V64" s="186"/>
      <c r="W64" s="186"/>
      <c r="X64" s="186"/>
      <c r="Y64" s="186"/>
      <c r="Z64" s="186"/>
    </row>
    <row r="65" spans="1:26" ht="64.5" customHeight="1">
      <c r="A65" s="273"/>
      <c r="B65" s="241" t="s">
        <v>3395</v>
      </c>
      <c r="C65" s="241" t="s">
        <v>4806</v>
      </c>
      <c r="D65" s="274" t="s">
        <v>1106</v>
      </c>
      <c r="E65" s="274">
        <v>19</v>
      </c>
      <c r="F65" s="242" t="s">
        <v>3381</v>
      </c>
      <c r="G65" s="236"/>
      <c r="H65" s="190">
        <v>7</v>
      </c>
      <c r="I65" s="190">
        <v>35</v>
      </c>
      <c r="J65" s="191"/>
      <c r="K65" s="192"/>
      <c r="L65" s="193"/>
      <c r="M65" s="193"/>
      <c r="N65" s="193"/>
      <c r="O65" s="194"/>
      <c r="P65" s="195"/>
      <c r="Q65" s="196"/>
      <c r="R65" s="196"/>
      <c r="S65" s="195"/>
      <c r="T65" s="195"/>
      <c r="U65" s="193"/>
      <c r="V65" s="186"/>
      <c r="W65" s="186"/>
      <c r="X65" s="186"/>
      <c r="Y65" s="186"/>
      <c r="Z65" s="186"/>
    </row>
    <row r="66" spans="1:26" ht="64.5" customHeight="1">
      <c r="A66" s="237"/>
      <c r="B66" s="237"/>
      <c r="C66" s="237"/>
      <c r="D66" s="237"/>
      <c r="E66" s="237"/>
      <c r="F66" s="237"/>
      <c r="G66" s="237"/>
      <c r="H66" s="190">
        <v>8</v>
      </c>
      <c r="I66" s="190">
        <v>36</v>
      </c>
      <c r="J66" s="191"/>
      <c r="K66" s="192"/>
      <c r="L66" s="193"/>
      <c r="M66" s="193"/>
      <c r="N66" s="193"/>
      <c r="O66" s="194"/>
      <c r="P66" s="195"/>
      <c r="Q66" s="196"/>
      <c r="R66" s="196"/>
      <c r="S66" s="195"/>
      <c r="T66" s="195"/>
      <c r="U66" s="193"/>
      <c r="V66" s="186"/>
      <c r="W66" s="186"/>
      <c r="X66" s="186"/>
      <c r="Y66" s="186"/>
      <c r="Z66" s="186"/>
    </row>
    <row r="67" spans="1:26" ht="64.5" customHeight="1">
      <c r="A67" s="186"/>
      <c r="B67" s="53" t="s">
        <v>3395</v>
      </c>
      <c r="C67" s="53" t="s">
        <v>4806</v>
      </c>
      <c r="D67" s="203" t="s">
        <v>1106</v>
      </c>
      <c r="E67" s="203">
        <v>20</v>
      </c>
      <c r="F67" s="55" t="s">
        <v>3390</v>
      </c>
      <c r="G67" s="53"/>
      <c r="H67" s="203" t="s">
        <v>1750</v>
      </c>
      <c r="I67" s="203" t="s">
        <v>3391</v>
      </c>
      <c r="J67" s="204" t="s">
        <v>5165</v>
      </c>
      <c r="K67" s="205"/>
      <c r="L67" s="205"/>
      <c r="M67" s="205"/>
      <c r="N67" s="205" t="s">
        <v>3296</v>
      </c>
      <c r="O67" s="206" t="s">
        <v>3296</v>
      </c>
      <c r="P67" s="205" t="s">
        <v>2850</v>
      </c>
      <c r="Q67" s="206" t="s">
        <v>2850</v>
      </c>
      <c r="R67" s="206" t="s">
        <v>3296</v>
      </c>
      <c r="S67" s="205" t="s">
        <v>3296</v>
      </c>
      <c r="T67" s="205"/>
      <c r="U67" s="207"/>
      <c r="V67" s="186"/>
      <c r="W67" s="186"/>
      <c r="X67" s="186"/>
      <c r="Y67" s="186"/>
      <c r="Z67" s="186"/>
    </row>
    <row r="68" spans="1:26" ht="64.5" customHeight="1">
      <c r="A68" s="217"/>
      <c r="B68" s="65" t="s">
        <v>3395</v>
      </c>
      <c r="C68" s="65" t="s">
        <v>4806</v>
      </c>
      <c r="D68" s="218" t="s">
        <v>1106</v>
      </c>
      <c r="E68" s="218">
        <v>21</v>
      </c>
      <c r="F68" s="66" t="s">
        <v>5119</v>
      </c>
      <c r="G68" s="67"/>
      <c r="H68" s="218" t="s">
        <v>1750</v>
      </c>
      <c r="I68" s="218" t="s">
        <v>3394</v>
      </c>
      <c r="J68" s="219" t="s">
        <v>3632</v>
      </c>
      <c r="K68" s="220"/>
      <c r="L68" s="220"/>
      <c r="M68" s="220"/>
      <c r="N68" s="220"/>
      <c r="O68" s="221"/>
      <c r="P68" s="220"/>
      <c r="Q68" s="221"/>
      <c r="R68" s="221"/>
      <c r="S68" s="220"/>
      <c r="T68" s="220"/>
      <c r="U68" s="222"/>
      <c r="V68" s="186"/>
      <c r="W68" s="186"/>
      <c r="X68" s="186"/>
      <c r="Y68" s="186"/>
      <c r="Z68" s="186"/>
    </row>
    <row r="69" spans="1:26" ht="150" hidden="1" customHeight="1">
      <c r="A69" s="186"/>
      <c r="B69" s="9" t="s">
        <v>3395</v>
      </c>
      <c r="C69" s="9" t="s">
        <v>4806</v>
      </c>
      <c r="D69" s="190" t="s">
        <v>1106</v>
      </c>
      <c r="E69" s="225"/>
      <c r="F69" s="226"/>
      <c r="G69" s="29"/>
      <c r="H69" s="190"/>
      <c r="I69" s="190"/>
      <c r="J69" s="209"/>
      <c r="K69" s="9"/>
      <c r="L69" s="227"/>
      <c r="M69" s="228"/>
      <c r="N69" s="227"/>
      <c r="O69" s="229"/>
      <c r="P69" s="227"/>
      <c r="Q69" s="229"/>
      <c r="R69" s="229"/>
      <c r="S69" s="228"/>
      <c r="T69" s="228"/>
      <c r="U69" s="228"/>
      <c r="V69" s="186"/>
      <c r="W69" s="186"/>
      <c r="X69" s="186"/>
      <c r="Y69" s="186"/>
      <c r="Z69" s="186"/>
    </row>
    <row r="70" spans="1:26" ht="12.75" customHeight="1">
      <c r="A70" s="186"/>
      <c r="B70" s="189"/>
      <c r="C70" s="189"/>
      <c r="D70" s="230"/>
      <c r="E70" s="230"/>
      <c r="F70" s="231"/>
      <c r="G70" s="189"/>
      <c r="H70" s="230"/>
      <c r="I70" s="230"/>
      <c r="J70" s="232"/>
      <c r="K70" s="233"/>
      <c r="L70" s="186"/>
      <c r="M70" s="186"/>
      <c r="N70" s="186"/>
      <c r="O70" s="234"/>
      <c r="P70" s="186"/>
      <c r="Q70" s="234"/>
      <c r="R70" s="234"/>
      <c r="S70" s="186"/>
      <c r="T70" s="186"/>
      <c r="U70" s="186"/>
      <c r="V70" s="186"/>
      <c r="W70" s="186"/>
      <c r="X70" s="186"/>
      <c r="Y70" s="186"/>
      <c r="Z70" s="186"/>
    </row>
    <row r="71" spans="1:26" ht="12.75" customHeight="1">
      <c r="A71" s="186"/>
      <c r="B71" s="189"/>
      <c r="C71" s="189"/>
      <c r="D71" s="230"/>
      <c r="E71" s="230"/>
      <c r="F71" s="231"/>
      <c r="G71" s="189"/>
      <c r="H71" s="230"/>
      <c r="I71" s="230"/>
      <c r="J71" s="232"/>
      <c r="K71" s="233"/>
      <c r="L71" s="186"/>
      <c r="M71" s="186"/>
      <c r="N71" s="186"/>
      <c r="O71" s="234"/>
      <c r="P71" s="186"/>
      <c r="Q71" s="234"/>
      <c r="R71" s="234"/>
      <c r="S71" s="186"/>
      <c r="T71" s="186"/>
      <c r="U71" s="186"/>
      <c r="V71" s="186"/>
      <c r="W71" s="186"/>
      <c r="X71" s="186"/>
      <c r="Y71" s="186"/>
      <c r="Z71" s="186"/>
    </row>
    <row r="72" spans="1:26" ht="12.75" customHeight="1">
      <c r="A72" s="186"/>
      <c r="B72" s="189"/>
      <c r="C72" s="189"/>
      <c r="D72" s="230"/>
      <c r="E72" s="230"/>
      <c r="F72" s="231"/>
      <c r="G72" s="189"/>
      <c r="H72" s="230"/>
      <c r="I72" s="230"/>
      <c r="J72" s="232"/>
      <c r="K72" s="233"/>
      <c r="L72" s="186"/>
      <c r="M72" s="186"/>
      <c r="N72" s="186"/>
      <c r="O72" s="234"/>
      <c r="P72" s="186"/>
      <c r="Q72" s="234"/>
      <c r="R72" s="234"/>
      <c r="S72" s="186"/>
      <c r="T72" s="186"/>
      <c r="U72" s="186"/>
      <c r="V72" s="186"/>
      <c r="W72" s="186"/>
      <c r="X72" s="186"/>
      <c r="Y72" s="186"/>
      <c r="Z72" s="186"/>
    </row>
    <row r="73" spans="1:26" ht="12.75" customHeight="1">
      <c r="A73" s="186"/>
      <c r="B73" s="189"/>
      <c r="C73" s="189"/>
      <c r="D73" s="230"/>
      <c r="E73" s="230"/>
      <c r="F73" s="231"/>
      <c r="G73" s="189"/>
      <c r="H73" s="230"/>
      <c r="I73" s="230"/>
      <c r="J73" s="232"/>
      <c r="K73" s="233"/>
      <c r="L73" s="186"/>
      <c r="M73" s="186"/>
      <c r="N73" s="186"/>
      <c r="O73" s="234"/>
      <c r="P73" s="186"/>
      <c r="Q73" s="234"/>
      <c r="R73" s="234"/>
      <c r="S73" s="186"/>
      <c r="T73" s="186"/>
      <c r="U73" s="186"/>
      <c r="V73" s="186"/>
      <c r="W73" s="186"/>
      <c r="X73" s="186"/>
      <c r="Y73" s="186"/>
      <c r="Z73" s="186"/>
    </row>
    <row r="74" spans="1:26" ht="12.75" customHeight="1">
      <c r="A74" s="186"/>
      <c r="B74" s="189"/>
      <c r="C74" s="189"/>
      <c r="D74" s="230"/>
      <c r="E74" s="230"/>
      <c r="F74" s="231"/>
      <c r="G74" s="189"/>
      <c r="H74" s="230"/>
      <c r="I74" s="230"/>
      <c r="J74" s="232"/>
      <c r="K74" s="233"/>
      <c r="L74" s="186"/>
      <c r="M74" s="186"/>
      <c r="N74" s="186"/>
      <c r="O74" s="234"/>
      <c r="P74" s="186"/>
      <c r="Q74" s="234"/>
      <c r="R74" s="234"/>
      <c r="S74" s="186"/>
      <c r="T74" s="186"/>
      <c r="U74" s="186"/>
      <c r="V74" s="186"/>
      <c r="W74" s="186"/>
      <c r="X74" s="186"/>
      <c r="Y74" s="186"/>
      <c r="Z74" s="186"/>
    </row>
    <row r="75" spans="1:26" ht="12.75" customHeight="1">
      <c r="A75" s="186"/>
      <c r="B75" s="189"/>
      <c r="C75" s="189"/>
      <c r="D75" s="230"/>
      <c r="E75" s="230"/>
      <c r="F75" s="231"/>
      <c r="G75" s="189"/>
      <c r="H75" s="230"/>
      <c r="I75" s="230"/>
      <c r="J75" s="232"/>
      <c r="K75" s="233"/>
      <c r="L75" s="186"/>
      <c r="M75" s="186"/>
      <c r="N75" s="186"/>
      <c r="O75" s="234"/>
      <c r="P75" s="186"/>
      <c r="Q75" s="234"/>
      <c r="R75" s="234"/>
      <c r="S75" s="186"/>
      <c r="T75" s="186"/>
      <c r="U75" s="186"/>
      <c r="V75" s="186"/>
      <c r="W75" s="186"/>
      <c r="X75" s="186"/>
      <c r="Y75" s="186"/>
      <c r="Z75" s="186"/>
    </row>
    <row r="76" spans="1:26" ht="12.75" customHeight="1">
      <c r="A76" s="186"/>
      <c r="B76" s="189"/>
      <c r="C76" s="189"/>
      <c r="D76" s="230"/>
      <c r="E76" s="230"/>
      <c r="F76" s="231"/>
      <c r="G76" s="189"/>
      <c r="H76" s="230"/>
      <c r="I76" s="230"/>
      <c r="J76" s="232"/>
      <c r="K76" s="233"/>
      <c r="L76" s="186"/>
      <c r="M76" s="186"/>
      <c r="N76" s="186"/>
      <c r="O76" s="234"/>
      <c r="P76" s="186"/>
      <c r="Q76" s="234"/>
      <c r="R76" s="234"/>
      <c r="S76" s="186"/>
      <c r="T76" s="186"/>
      <c r="U76" s="186"/>
      <c r="V76" s="186"/>
      <c r="W76" s="186"/>
      <c r="X76" s="186"/>
      <c r="Y76" s="186"/>
      <c r="Z76" s="186"/>
    </row>
    <row r="77" spans="1:26" ht="12.75" customHeight="1">
      <c r="A77" s="186"/>
      <c r="B77" s="189"/>
      <c r="C77" s="189"/>
      <c r="D77" s="230"/>
      <c r="E77" s="230"/>
      <c r="F77" s="231"/>
      <c r="G77" s="189"/>
      <c r="H77" s="230"/>
      <c r="I77" s="230"/>
      <c r="J77" s="232"/>
      <c r="K77" s="233"/>
      <c r="L77" s="186"/>
      <c r="M77" s="186"/>
      <c r="N77" s="186"/>
      <c r="O77" s="234"/>
      <c r="P77" s="186"/>
      <c r="Q77" s="234"/>
      <c r="R77" s="234"/>
      <c r="S77" s="186"/>
      <c r="T77" s="186"/>
      <c r="U77" s="186"/>
      <c r="V77" s="186"/>
      <c r="W77" s="186"/>
      <c r="X77" s="186"/>
      <c r="Y77" s="186"/>
      <c r="Z77" s="186"/>
    </row>
    <row r="78" spans="1:26" ht="12.75" customHeight="1">
      <c r="A78" s="186"/>
      <c r="B78" s="189"/>
      <c r="C78" s="189"/>
      <c r="D78" s="230"/>
      <c r="E78" s="230"/>
      <c r="F78" s="231"/>
      <c r="G78" s="189"/>
      <c r="H78" s="230"/>
      <c r="I78" s="230"/>
      <c r="J78" s="232"/>
      <c r="K78" s="233"/>
      <c r="L78" s="186"/>
      <c r="M78" s="186"/>
      <c r="N78" s="186"/>
      <c r="O78" s="234"/>
      <c r="P78" s="186"/>
      <c r="Q78" s="234"/>
      <c r="R78" s="234"/>
      <c r="S78" s="186"/>
      <c r="T78" s="186"/>
      <c r="U78" s="186"/>
      <c r="V78" s="186"/>
      <c r="W78" s="186"/>
      <c r="X78" s="186"/>
      <c r="Y78" s="186"/>
      <c r="Z78" s="186"/>
    </row>
    <row r="79" spans="1:26" ht="12.75" customHeight="1">
      <c r="A79" s="186"/>
      <c r="B79" s="189"/>
      <c r="C79" s="189"/>
      <c r="D79" s="230"/>
      <c r="E79" s="230"/>
      <c r="F79" s="231"/>
      <c r="G79" s="189"/>
      <c r="H79" s="230"/>
      <c r="I79" s="230"/>
      <c r="J79" s="232"/>
      <c r="K79" s="233"/>
      <c r="L79" s="186"/>
      <c r="M79" s="186"/>
      <c r="N79" s="186"/>
      <c r="O79" s="234"/>
      <c r="P79" s="186"/>
      <c r="Q79" s="234"/>
      <c r="R79" s="234"/>
      <c r="S79" s="186"/>
      <c r="T79" s="186"/>
      <c r="U79" s="186"/>
      <c r="V79" s="186"/>
      <c r="W79" s="186"/>
      <c r="X79" s="186"/>
      <c r="Y79" s="186"/>
      <c r="Z79" s="186"/>
    </row>
    <row r="80" spans="1:26" ht="12.75" customHeight="1">
      <c r="A80" s="186"/>
      <c r="B80" s="189"/>
      <c r="C80" s="189"/>
      <c r="D80" s="230"/>
      <c r="E80" s="230"/>
      <c r="F80" s="231"/>
      <c r="G80" s="189"/>
      <c r="H80" s="230"/>
      <c r="I80" s="230"/>
      <c r="J80" s="232"/>
      <c r="K80" s="233"/>
      <c r="L80" s="186"/>
      <c r="M80" s="186"/>
      <c r="N80" s="186"/>
      <c r="O80" s="234"/>
      <c r="P80" s="186"/>
      <c r="Q80" s="234"/>
      <c r="R80" s="234"/>
      <c r="S80" s="186"/>
      <c r="T80" s="186"/>
      <c r="U80" s="186"/>
      <c r="V80" s="186"/>
      <c r="W80" s="186"/>
      <c r="X80" s="186"/>
      <c r="Y80" s="186"/>
      <c r="Z80" s="186"/>
    </row>
    <row r="81" spans="1:26" ht="12.75" customHeight="1">
      <c r="A81" s="186"/>
      <c r="B81" s="189"/>
      <c r="C81" s="189"/>
      <c r="D81" s="230"/>
      <c r="E81" s="230"/>
      <c r="F81" s="231"/>
      <c r="G81" s="189"/>
      <c r="H81" s="230"/>
      <c r="I81" s="230"/>
      <c r="J81" s="232"/>
      <c r="K81" s="233"/>
      <c r="L81" s="186"/>
      <c r="M81" s="186"/>
      <c r="N81" s="186"/>
      <c r="O81" s="234"/>
      <c r="P81" s="186"/>
      <c r="Q81" s="234"/>
      <c r="R81" s="234"/>
      <c r="S81" s="186"/>
      <c r="T81" s="186"/>
      <c r="U81" s="186"/>
      <c r="V81" s="186"/>
      <c r="W81" s="186"/>
      <c r="X81" s="186"/>
      <c r="Y81" s="186"/>
      <c r="Z81" s="186"/>
    </row>
    <row r="82" spans="1:26" ht="12.75" customHeight="1">
      <c r="A82" s="186"/>
      <c r="B82" s="189"/>
      <c r="C82" s="189"/>
      <c r="D82" s="230"/>
      <c r="E82" s="230"/>
      <c r="F82" s="231"/>
      <c r="G82" s="189"/>
      <c r="H82" s="230"/>
      <c r="I82" s="230"/>
      <c r="J82" s="232"/>
      <c r="K82" s="233"/>
      <c r="L82" s="186"/>
      <c r="M82" s="186"/>
      <c r="N82" s="186"/>
      <c r="O82" s="234"/>
      <c r="P82" s="186"/>
      <c r="Q82" s="234"/>
      <c r="R82" s="234"/>
      <c r="S82" s="186"/>
      <c r="T82" s="186"/>
      <c r="U82" s="186"/>
      <c r="V82" s="186"/>
      <c r="W82" s="186"/>
      <c r="X82" s="186"/>
      <c r="Y82" s="186"/>
      <c r="Z82" s="186"/>
    </row>
    <row r="83" spans="1:26" ht="12.75" customHeight="1">
      <c r="A83" s="186"/>
      <c r="B83" s="189"/>
      <c r="C83" s="189"/>
      <c r="D83" s="230"/>
      <c r="E83" s="230"/>
      <c r="F83" s="231"/>
      <c r="G83" s="189"/>
      <c r="H83" s="230"/>
      <c r="I83" s="230"/>
      <c r="J83" s="232"/>
      <c r="K83" s="233"/>
      <c r="L83" s="186"/>
      <c r="M83" s="186"/>
      <c r="N83" s="186"/>
      <c r="O83" s="234"/>
      <c r="P83" s="186"/>
      <c r="Q83" s="234"/>
      <c r="R83" s="234"/>
      <c r="S83" s="186"/>
      <c r="T83" s="186"/>
      <c r="U83" s="186"/>
      <c r="V83" s="186"/>
      <c r="W83" s="186"/>
      <c r="X83" s="186"/>
      <c r="Y83" s="186"/>
      <c r="Z83" s="186"/>
    </row>
    <row r="84" spans="1:26" ht="12.75" customHeight="1">
      <c r="A84" s="186"/>
      <c r="B84" s="189"/>
      <c r="C84" s="189"/>
      <c r="D84" s="230"/>
      <c r="E84" s="230"/>
      <c r="F84" s="231"/>
      <c r="G84" s="189"/>
      <c r="H84" s="230"/>
      <c r="I84" s="230"/>
      <c r="J84" s="232"/>
      <c r="K84" s="233"/>
      <c r="L84" s="186"/>
      <c r="M84" s="186"/>
      <c r="N84" s="186"/>
      <c r="O84" s="234"/>
      <c r="P84" s="186"/>
      <c r="Q84" s="234"/>
      <c r="R84" s="234"/>
      <c r="S84" s="186"/>
      <c r="T84" s="186"/>
      <c r="U84" s="186"/>
      <c r="V84" s="186"/>
      <c r="W84" s="186"/>
      <c r="X84" s="186"/>
      <c r="Y84" s="186"/>
      <c r="Z84" s="186"/>
    </row>
    <row r="85" spans="1:26" ht="12.75" customHeight="1">
      <c r="A85" s="186"/>
      <c r="B85" s="189"/>
      <c r="C85" s="189"/>
      <c r="D85" s="230"/>
      <c r="E85" s="230"/>
      <c r="F85" s="231"/>
      <c r="G85" s="189"/>
      <c r="H85" s="230"/>
      <c r="I85" s="230"/>
      <c r="J85" s="232"/>
      <c r="K85" s="233"/>
      <c r="L85" s="186"/>
      <c r="M85" s="186"/>
      <c r="N85" s="186"/>
      <c r="O85" s="234"/>
      <c r="P85" s="186"/>
      <c r="Q85" s="234"/>
      <c r="R85" s="234"/>
      <c r="S85" s="186"/>
      <c r="T85" s="186"/>
      <c r="U85" s="186"/>
      <c r="V85" s="186"/>
      <c r="W85" s="186"/>
      <c r="X85" s="186"/>
      <c r="Y85" s="186"/>
      <c r="Z85" s="186"/>
    </row>
    <row r="86" spans="1:26" ht="12.75" customHeight="1">
      <c r="A86" s="186"/>
      <c r="B86" s="189"/>
      <c r="C86" s="189"/>
      <c r="D86" s="230"/>
      <c r="E86" s="230"/>
      <c r="F86" s="231"/>
      <c r="G86" s="189"/>
      <c r="H86" s="230"/>
      <c r="I86" s="230"/>
      <c r="J86" s="232"/>
      <c r="K86" s="233"/>
      <c r="L86" s="186"/>
      <c r="M86" s="186"/>
      <c r="N86" s="186"/>
      <c r="O86" s="234"/>
      <c r="P86" s="186"/>
      <c r="Q86" s="234"/>
      <c r="R86" s="234"/>
      <c r="S86" s="186"/>
      <c r="T86" s="186"/>
      <c r="U86" s="186"/>
      <c r="V86" s="186"/>
      <c r="W86" s="186"/>
      <c r="X86" s="186"/>
      <c r="Y86" s="186"/>
      <c r="Z86" s="186"/>
    </row>
    <row r="87" spans="1:26" ht="12.75" customHeight="1">
      <c r="A87" s="186"/>
      <c r="B87" s="189"/>
      <c r="C87" s="189"/>
      <c r="D87" s="230"/>
      <c r="E87" s="230"/>
      <c r="F87" s="231"/>
      <c r="G87" s="189"/>
      <c r="H87" s="230"/>
      <c r="I87" s="230"/>
      <c r="J87" s="232"/>
      <c r="K87" s="233"/>
      <c r="L87" s="186"/>
      <c r="M87" s="186"/>
      <c r="N87" s="186"/>
      <c r="O87" s="234"/>
      <c r="P87" s="186"/>
      <c r="Q87" s="234"/>
      <c r="R87" s="234"/>
      <c r="S87" s="186"/>
      <c r="T87" s="186"/>
      <c r="U87" s="186"/>
      <c r="V87" s="186"/>
      <c r="W87" s="186"/>
      <c r="X87" s="186"/>
      <c r="Y87" s="186"/>
      <c r="Z87" s="186"/>
    </row>
    <row r="88" spans="1:26" ht="12.75" customHeight="1">
      <c r="A88" s="186"/>
      <c r="B88" s="189"/>
      <c r="C88" s="189"/>
      <c r="D88" s="230"/>
      <c r="E88" s="230"/>
      <c r="F88" s="231"/>
      <c r="G88" s="189"/>
      <c r="H88" s="230"/>
      <c r="I88" s="230"/>
      <c r="J88" s="232"/>
      <c r="K88" s="233"/>
      <c r="L88" s="186"/>
      <c r="M88" s="186"/>
      <c r="N88" s="186"/>
      <c r="O88" s="234"/>
      <c r="P88" s="186"/>
      <c r="Q88" s="234"/>
      <c r="R88" s="234"/>
      <c r="S88" s="186"/>
      <c r="T88" s="186"/>
      <c r="U88" s="186"/>
      <c r="V88" s="186"/>
      <c r="W88" s="186"/>
      <c r="X88" s="186"/>
      <c r="Y88" s="186"/>
      <c r="Z88" s="186"/>
    </row>
    <row r="89" spans="1:26" ht="12.75" customHeight="1">
      <c r="A89" s="186"/>
      <c r="B89" s="189"/>
      <c r="C89" s="189"/>
      <c r="D89" s="230"/>
      <c r="E89" s="230"/>
      <c r="F89" s="231"/>
      <c r="G89" s="189"/>
      <c r="H89" s="230"/>
      <c r="I89" s="230"/>
      <c r="J89" s="232"/>
      <c r="K89" s="233"/>
      <c r="L89" s="186"/>
      <c r="M89" s="186"/>
      <c r="N89" s="186"/>
      <c r="O89" s="234"/>
      <c r="P89" s="186"/>
      <c r="Q89" s="234"/>
      <c r="R89" s="234"/>
      <c r="S89" s="186"/>
      <c r="T89" s="186"/>
      <c r="U89" s="186"/>
      <c r="V89" s="186"/>
      <c r="W89" s="186"/>
      <c r="X89" s="186"/>
      <c r="Y89" s="186"/>
      <c r="Z89" s="186"/>
    </row>
    <row r="90" spans="1:26" ht="12.75" customHeight="1">
      <c r="A90" s="186"/>
      <c r="B90" s="189"/>
      <c r="C90" s="189"/>
      <c r="D90" s="230"/>
      <c r="E90" s="230"/>
      <c r="F90" s="231"/>
      <c r="G90" s="189"/>
      <c r="H90" s="230"/>
      <c r="I90" s="230"/>
      <c r="J90" s="232"/>
      <c r="K90" s="233"/>
      <c r="L90" s="186"/>
      <c r="M90" s="186"/>
      <c r="N90" s="186"/>
      <c r="O90" s="234"/>
      <c r="P90" s="186"/>
      <c r="Q90" s="234"/>
      <c r="R90" s="234"/>
      <c r="S90" s="186"/>
      <c r="T90" s="186"/>
      <c r="U90" s="186"/>
      <c r="V90" s="186"/>
      <c r="W90" s="186"/>
      <c r="X90" s="186"/>
      <c r="Y90" s="186"/>
      <c r="Z90" s="186"/>
    </row>
    <row r="91" spans="1:26" ht="12.75" customHeight="1">
      <c r="A91" s="186"/>
      <c r="B91" s="189"/>
      <c r="C91" s="189"/>
      <c r="D91" s="230"/>
      <c r="E91" s="230"/>
      <c r="F91" s="231"/>
      <c r="G91" s="189"/>
      <c r="H91" s="230"/>
      <c r="I91" s="230"/>
      <c r="J91" s="232"/>
      <c r="K91" s="233"/>
      <c r="L91" s="186"/>
      <c r="M91" s="186"/>
      <c r="N91" s="186"/>
      <c r="O91" s="234"/>
      <c r="P91" s="186"/>
      <c r="Q91" s="234"/>
      <c r="R91" s="234"/>
      <c r="S91" s="186"/>
      <c r="T91" s="186"/>
      <c r="U91" s="186"/>
      <c r="V91" s="186"/>
      <c r="W91" s="186"/>
      <c r="X91" s="186"/>
      <c r="Y91" s="186"/>
      <c r="Z91" s="186"/>
    </row>
    <row r="92" spans="1:26" ht="12.75" customHeight="1">
      <c r="A92" s="186"/>
      <c r="B92" s="189"/>
      <c r="C92" s="189"/>
      <c r="D92" s="230"/>
      <c r="E92" s="230"/>
      <c r="F92" s="231"/>
      <c r="G92" s="189"/>
      <c r="H92" s="230"/>
      <c r="I92" s="230"/>
      <c r="J92" s="232"/>
      <c r="K92" s="233"/>
      <c r="L92" s="186"/>
      <c r="M92" s="186"/>
      <c r="N92" s="186"/>
      <c r="O92" s="234"/>
      <c r="P92" s="186"/>
      <c r="Q92" s="234"/>
      <c r="R92" s="234"/>
      <c r="S92" s="186"/>
      <c r="T92" s="186"/>
      <c r="U92" s="186"/>
      <c r="V92" s="186"/>
      <c r="W92" s="186"/>
      <c r="X92" s="186"/>
      <c r="Y92" s="186"/>
      <c r="Z92" s="186"/>
    </row>
    <row r="93" spans="1:26" ht="12.75" customHeight="1">
      <c r="A93" s="186"/>
      <c r="B93" s="189"/>
      <c r="C93" s="189"/>
      <c r="D93" s="230"/>
      <c r="E93" s="230"/>
      <c r="F93" s="231"/>
      <c r="G93" s="189"/>
      <c r="H93" s="230"/>
      <c r="I93" s="230"/>
      <c r="J93" s="232"/>
      <c r="K93" s="233"/>
      <c r="L93" s="186"/>
      <c r="M93" s="186"/>
      <c r="N93" s="186"/>
      <c r="O93" s="234"/>
      <c r="P93" s="186"/>
      <c r="Q93" s="234"/>
      <c r="R93" s="234"/>
      <c r="S93" s="186"/>
      <c r="T93" s="186"/>
      <c r="U93" s="186"/>
      <c r="V93" s="186"/>
      <c r="W93" s="186"/>
      <c r="X93" s="186"/>
      <c r="Y93" s="186"/>
      <c r="Z93" s="186"/>
    </row>
    <row r="94" spans="1:26" ht="12.75" customHeight="1">
      <c r="A94" s="186"/>
      <c r="B94" s="189"/>
      <c r="C94" s="189"/>
      <c r="D94" s="230"/>
      <c r="E94" s="230"/>
      <c r="F94" s="231"/>
      <c r="G94" s="189"/>
      <c r="H94" s="230"/>
      <c r="I94" s="230"/>
      <c r="J94" s="232"/>
      <c r="K94" s="233"/>
      <c r="L94" s="186"/>
      <c r="M94" s="186"/>
      <c r="N94" s="186"/>
      <c r="O94" s="234"/>
      <c r="P94" s="186"/>
      <c r="Q94" s="234"/>
      <c r="R94" s="234"/>
      <c r="S94" s="186"/>
      <c r="T94" s="186"/>
      <c r="U94" s="186"/>
      <c r="V94" s="186"/>
      <c r="W94" s="186"/>
      <c r="X94" s="186"/>
      <c r="Y94" s="186"/>
      <c r="Z94" s="186"/>
    </row>
    <row r="95" spans="1:26" ht="12.75" customHeight="1">
      <c r="A95" s="186"/>
      <c r="B95" s="189"/>
      <c r="C95" s="189"/>
      <c r="D95" s="230"/>
      <c r="E95" s="230"/>
      <c r="F95" s="231"/>
      <c r="G95" s="189"/>
      <c r="H95" s="230"/>
      <c r="I95" s="230"/>
      <c r="J95" s="232"/>
      <c r="K95" s="233"/>
      <c r="L95" s="186"/>
      <c r="M95" s="186"/>
      <c r="N95" s="186"/>
      <c r="O95" s="234"/>
      <c r="P95" s="186"/>
      <c r="Q95" s="234"/>
      <c r="R95" s="234"/>
      <c r="S95" s="186"/>
      <c r="T95" s="186"/>
      <c r="U95" s="186"/>
      <c r="V95" s="186"/>
      <c r="W95" s="186"/>
      <c r="X95" s="186"/>
      <c r="Y95" s="186"/>
      <c r="Z95" s="186"/>
    </row>
    <row r="96" spans="1:26" ht="12.75" customHeight="1">
      <c r="A96" s="186"/>
      <c r="B96" s="189"/>
      <c r="C96" s="189"/>
      <c r="D96" s="230"/>
      <c r="E96" s="230"/>
      <c r="F96" s="231"/>
      <c r="G96" s="189"/>
      <c r="H96" s="230"/>
      <c r="I96" s="230"/>
      <c r="J96" s="232"/>
      <c r="K96" s="233"/>
      <c r="L96" s="186"/>
      <c r="M96" s="186"/>
      <c r="N96" s="186"/>
      <c r="O96" s="234"/>
      <c r="P96" s="186"/>
      <c r="Q96" s="234"/>
      <c r="R96" s="234"/>
      <c r="S96" s="186"/>
      <c r="T96" s="186"/>
      <c r="U96" s="186"/>
      <c r="V96" s="186"/>
      <c r="W96" s="186"/>
      <c r="X96" s="186"/>
      <c r="Y96" s="186"/>
      <c r="Z96" s="186"/>
    </row>
    <row r="97" spans="1:26" ht="12.75" customHeight="1">
      <c r="A97" s="186"/>
      <c r="B97" s="189"/>
      <c r="C97" s="189"/>
      <c r="D97" s="230"/>
      <c r="E97" s="230"/>
      <c r="F97" s="231"/>
      <c r="G97" s="189"/>
      <c r="H97" s="230"/>
      <c r="I97" s="230"/>
      <c r="J97" s="232"/>
      <c r="K97" s="233"/>
      <c r="L97" s="186"/>
      <c r="M97" s="186"/>
      <c r="N97" s="186"/>
      <c r="O97" s="234"/>
      <c r="P97" s="186"/>
      <c r="Q97" s="234"/>
      <c r="R97" s="234"/>
      <c r="S97" s="186"/>
      <c r="T97" s="186"/>
      <c r="U97" s="186"/>
      <c r="V97" s="186"/>
      <c r="W97" s="186"/>
      <c r="X97" s="186"/>
      <c r="Y97" s="186"/>
      <c r="Z97" s="186"/>
    </row>
    <row r="98" spans="1:26" ht="12.75" customHeight="1">
      <c r="A98" s="186"/>
      <c r="B98" s="189"/>
      <c r="C98" s="189"/>
      <c r="D98" s="230"/>
      <c r="E98" s="230"/>
      <c r="F98" s="231"/>
      <c r="G98" s="189"/>
      <c r="H98" s="230"/>
      <c r="I98" s="230"/>
      <c r="J98" s="232"/>
      <c r="K98" s="233"/>
      <c r="L98" s="186"/>
      <c r="M98" s="186"/>
      <c r="N98" s="186"/>
      <c r="O98" s="234"/>
      <c r="P98" s="186"/>
      <c r="Q98" s="234"/>
      <c r="R98" s="234"/>
      <c r="S98" s="186"/>
      <c r="T98" s="186"/>
      <c r="U98" s="186"/>
      <c r="V98" s="186"/>
      <c r="W98" s="186"/>
      <c r="X98" s="186"/>
      <c r="Y98" s="186"/>
      <c r="Z98" s="186"/>
    </row>
    <row r="99" spans="1:26" ht="12.75" customHeight="1">
      <c r="A99" s="186"/>
      <c r="B99" s="189"/>
      <c r="C99" s="189"/>
      <c r="D99" s="230"/>
      <c r="E99" s="230"/>
      <c r="F99" s="231"/>
      <c r="G99" s="189"/>
      <c r="H99" s="230"/>
      <c r="I99" s="230"/>
      <c r="J99" s="232"/>
      <c r="K99" s="233"/>
      <c r="L99" s="186"/>
      <c r="M99" s="186"/>
      <c r="N99" s="186"/>
      <c r="O99" s="234"/>
      <c r="P99" s="186"/>
      <c r="Q99" s="234"/>
      <c r="R99" s="234"/>
      <c r="S99" s="186"/>
      <c r="T99" s="186"/>
      <c r="U99" s="186"/>
      <c r="V99" s="186"/>
      <c r="W99" s="186"/>
      <c r="X99" s="186"/>
      <c r="Y99" s="186"/>
      <c r="Z99" s="186"/>
    </row>
    <row r="100" spans="1:26" ht="12.75" customHeight="1">
      <c r="A100" s="186"/>
      <c r="B100" s="189"/>
      <c r="C100" s="189"/>
      <c r="D100" s="230"/>
      <c r="E100" s="230"/>
      <c r="F100" s="231"/>
      <c r="G100" s="189"/>
      <c r="H100" s="230"/>
      <c r="I100" s="230"/>
      <c r="J100" s="232"/>
      <c r="K100" s="233"/>
      <c r="L100" s="186"/>
      <c r="M100" s="186"/>
      <c r="N100" s="186"/>
      <c r="O100" s="234"/>
      <c r="P100" s="186"/>
      <c r="Q100" s="234"/>
      <c r="R100" s="234"/>
      <c r="S100" s="186"/>
      <c r="T100" s="186"/>
      <c r="U100" s="186"/>
      <c r="V100" s="186"/>
      <c r="W100" s="186"/>
      <c r="X100" s="186"/>
      <c r="Y100" s="186"/>
      <c r="Z100" s="186"/>
    </row>
    <row r="101" spans="1:26" ht="12.75" customHeight="1">
      <c r="A101" s="186"/>
      <c r="B101" s="189"/>
      <c r="C101" s="189"/>
      <c r="D101" s="230"/>
      <c r="E101" s="230"/>
      <c r="F101" s="231"/>
      <c r="G101" s="189"/>
      <c r="H101" s="230"/>
      <c r="I101" s="230"/>
      <c r="J101" s="232"/>
      <c r="K101" s="233"/>
      <c r="L101" s="186"/>
      <c r="M101" s="186"/>
      <c r="N101" s="186"/>
      <c r="O101" s="234"/>
      <c r="P101" s="186"/>
      <c r="Q101" s="234"/>
      <c r="R101" s="234"/>
      <c r="S101" s="186"/>
      <c r="T101" s="186"/>
      <c r="U101" s="186"/>
      <c r="V101" s="186"/>
      <c r="W101" s="186"/>
      <c r="X101" s="186"/>
      <c r="Y101" s="186"/>
      <c r="Z101" s="186"/>
    </row>
    <row r="102" spans="1:26" ht="12.75" customHeight="1">
      <c r="A102" s="186"/>
      <c r="B102" s="189"/>
      <c r="C102" s="189"/>
      <c r="D102" s="230"/>
      <c r="E102" s="230"/>
      <c r="F102" s="231"/>
      <c r="G102" s="189"/>
      <c r="H102" s="230"/>
      <c r="I102" s="230"/>
      <c r="J102" s="232"/>
      <c r="K102" s="233"/>
      <c r="L102" s="186"/>
      <c r="M102" s="186"/>
      <c r="N102" s="186"/>
      <c r="O102" s="234"/>
      <c r="P102" s="186"/>
      <c r="Q102" s="234"/>
      <c r="R102" s="234"/>
      <c r="S102" s="186"/>
      <c r="T102" s="186"/>
      <c r="U102" s="186"/>
      <c r="V102" s="186"/>
      <c r="W102" s="186"/>
      <c r="X102" s="186"/>
      <c r="Y102" s="186"/>
      <c r="Z102" s="186"/>
    </row>
    <row r="103" spans="1:26" ht="12.75" customHeight="1">
      <c r="A103" s="186"/>
      <c r="B103" s="189"/>
      <c r="C103" s="189"/>
      <c r="D103" s="230"/>
      <c r="E103" s="230"/>
      <c r="F103" s="231"/>
      <c r="G103" s="189"/>
      <c r="H103" s="230"/>
      <c r="I103" s="230"/>
      <c r="J103" s="232"/>
      <c r="K103" s="233"/>
      <c r="L103" s="186"/>
      <c r="M103" s="186"/>
      <c r="N103" s="186"/>
      <c r="O103" s="234"/>
      <c r="P103" s="186"/>
      <c r="Q103" s="234"/>
      <c r="R103" s="234"/>
      <c r="S103" s="186"/>
      <c r="T103" s="186"/>
      <c r="U103" s="186"/>
      <c r="V103" s="186"/>
      <c r="W103" s="186"/>
      <c r="X103" s="186"/>
      <c r="Y103" s="186"/>
      <c r="Z103" s="186"/>
    </row>
    <row r="104" spans="1:26" ht="12.75" customHeight="1">
      <c r="A104" s="186"/>
      <c r="B104" s="189"/>
      <c r="C104" s="189"/>
      <c r="D104" s="230"/>
      <c r="E104" s="230"/>
      <c r="F104" s="231"/>
      <c r="G104" s="189"/>
      <c r="H104" s="230"/>
      <c r="I104" s="230"/>
      <c r="J104" s="232"/>
      <c r="K104" s="233"/>
      <c r="L104" s="186"/>
      <c r="M104" s="186"/>
      <c r="N104" s="186"/>
      <c r="O104" s="234"/>
      <c r="P104" s="186"/>
      <c r="Q104" s="234"/>
      <c r="R104" s="234"/>
      <c r="S104" s="186"/>
      <c r="T104" s="186"/>
      <c r="U104" s="186"/>
      <c r="V104" s="186"/>
      <c r="W104" s="186"/>
      <c r="X104" s="186"/>
      <c r="Y104" s="186"/>
      <c r="Z104" s="186"/>
    </row>
    <row r="105" spans="1:26" ht="12.75" customHeight="1">
      <c r="A105" s="186"/>
      <c r="B105" s="189"/>
      <c r="C105" s="189"/>
      <c r="D105" s="230"/>
      <c r="E105" s="230"/>
      <c r="F105" s="231"/>
      <c r="G105" s="189"/>
      <c r="H105" s="230"/>
      <c r="I105" s="230"/>
      <c r="J105" s="232"/>
      <c r="K105" s="233"/>
      <c r="L105" s="186"/>
      <c r="M105" s="186"/>
      <c r="N105" s="186"/>
      <c r="O105" s="234"/>
      <c r="P105" s="186"/>
      <c r="Q105" s="234"/>
      <c r="R105" s="234"/>
      <c r="S105" s="186"/>
      <c r="T105" s="186"/>
      <c r="U105" s="186"/>
      <c r="V105" s="186"/>
      <c r="W105" s="186"/>
      <c r="X105" s="186"/>
      <c r="Y105" s="186"/>
      <c r="Z105" s="186"/>
    </row>
    <row r="106" spans="1:26" ht="12.75" customHeight="1">
      <c r="A106" s="186"/>
      <c r="B106" s="189"/>
      <c r="C106" s="189"/>
      <c r="D106" s="230"/>
      <c r="E106" s="230"/>
      <c r="F106" s="231"/>
      <c r="G106" s="189"/>
      <c r="H106" s="230"/>
      <c r="I106" s="230"/>
      <c r="J106" s="232"/>
      <c r="K106" s="233"/>
      <c r="L106" s="186"/>
      <c r="M106" s="186"/>
      <c r="N106" s="186"/>
      <c r="O106" s="234"/>
      <c r="P106" s="186"/>
      <c r="Q106" s="234"/>
      <c r="R106" s="234"/>
      <c r="S106" s="186"/>
      <c r="T106" s="186"/>
      <c r="U106" s="186"/>
      <c r="V106" s="186"/>
      <c r="W106" s="186"/>
      <c r="X106" s="186"/>
      <c r="Y106" s="186"/>
      <c r="Z106" s="186"/>
    </row>
    <row r="107" spans="1:26" ht="12.75" customHeight="1">
      <c r="A107" s="186"/>
      <c r="B107" s="189"/>
      <c r="C107" s="189"/>
      <c r="D107" s="230"/>
      <c r="E107" s="230"/>
      <c r="F107" s="231"/>
      <c r="G107" s="189"/>
      <c r="H107" s="230"/>
      <c r="I107" s="230"/>
      <c r="J107" s="232"/>
      <c r="K107" s="233"/>
      <c r="L107" s="186"/>
      <c r="M107" s="186"/>
      <c r="N107" s="186"/>
      <c r="O107" s="234"/>
      <c r="P107" s="186"/>
      <c r="Q107" s="234"/>
      <c r="R107" s="234"/>
      <c r="S107" s="186"/>
      <c r="T107" s="186"/>
      <c r="U107" s="186"/>
      <c r="V107" s="186"/>
      <c r="W107" s="186"/>
      <c r="X107" s="186"/>
      <c r="Y107" s="186"/>
      <c r="Z107" s="186"/>
    </row>
    <row r="108" spans="1:26" ht="12.75" customHeight="1">
      <c r="A108" s="186"/>
      <c r="B108" s="189"/>
      <c r="C108" s="189"/>
      <c r="D108" s="230"/>
      <c r="E108" s="230"/>
      <c r="F108" s="231"/>
      <c r="G108" s="189"/>
      <c r="H108" s="230"/>
      <c r="I108" s="230"/>
      <c r="J108" s="232"/>
      <c r="K108" s="233"/>
      <c r="L108" s="186"/>
      <c r="M108" s="186"/>
      <c r="N108" s="186"/>
      <c r="O108" s="234"/>
      <c r="P108" s="186"/>
      <c r="Q108" s="234"/>
      <c r="R108" s="234"/>
      <c r="S108" s="186"/>
      <c r="T108" s="186"/>
      <c r="U108" s="186"/>
      <c r="V108" s="186"/>
      <c r="W108" s="186"/>
      <c r="X108" s="186"/>
      <c r="Y108" s="186"/>
      <c r="Z108" s="186"/>
    </row>
    <row r="109" spans="1:26" ht="12.75" customHeight="1">
      <c r="A109" s="186"/>
      <c r="B109" s="189"/>
      <c r="C109" s="189"/>
      <c r="D109" s="230"/>
      <c r="E109" s="230"/>
      <c r="F109" s="231"/>
      <c r="G109" s="189"/>
      <c r="H109" s="230"/>
      <c r="I109" s="230"/>
      <c r="J109" s="232"/>
      <c r="K109" s="233"/>
      <c r="L109" s="186"/>
      <c r="M109" s="186"/>
      <c r="N109" s="186"/>
      <c r="O109" s="234"/>
      <c r="P109" s="186"/>
      <c r="Q109" s="234"/>
      <c r="R109" s="234"/>
      <c r="S109" s="186"/>
      <c r="T109" s="186"/>
      <c r="U109" s="186"/>
      <c r="V109" s="186"/>
      <c r="W109" s="186"/>
      <c r="X109" s="186"/>
      <c r="Y109" s="186"/>
      <c r="Z109" s="186"/>
    </row>
    <row r="110" spans="1:26" ht="12.75" customHeight="1">
      <c r="A110" s="186"/>
      <c r="B110" s="189"/>
      <c r="C110" s="189"/>
      <c r="D110" s="230"/>
      <c r="E110" s="230"/>
      <c r="F110" s="231"/>
      <c r="G110" s="189"/>
      <c r="H110" s="230"/>
      <c r="I110" s="230"/>
      <c r="J110" s="232"/>
      <c r="K110" s="233"/>
      <c r="L110" s="186"/>
      <c r="M110" s="186"/>
      <c r="N110" s="186"/>
      <c r="O110" s="234"/>
      <c r="P110" s="186"/>
      <c r="Q110" s="234"/>
      <c r="R110" s="234"/>
      <c r="S110" s="186"/>
      <c r="T110" s="186"/>
      <c r="U110" s="186"/>
      <c r="V110" s="186"/>
      <c r="W110" s="186"/>
      <c r="X110" s="186"/>
      <c r="Y110" s="186"/>
      <c r="Z110" s="186"/>
    </row>
    <row r="111" spans="1:26" ht="12.75" customHeight="1">
      <c r="A111" s="186"/>
      <c r="B111" s="189"/>
      <c r="C111" s="189"/>
      <c r="D111" s="230"/>
      <c r="E111" s="230"/>
      <c r="F111" s="231"/>
      <c r="G111" s="189"/>
      <c r="H111" s="230"/>
      <c r="I111" s="230"/>
      <c r="J111" s="232"/>
      <c r="K111" s="233"/>
      <c r="L111" s="186"/>
      <c r="M111" s="186"/>
      <c r="N111" s="186"/>
      <c r="O111" s="234"/>
      <c r="P111" s="186"/>
      <c r="Q111" s="234"/>
      <c r="R111" s="234"/>
      <c r="S111" s="186"/>
      <c r="T111" s="186"/>
      <c r="U111" s="186"/>
      <c r="V111" s="186"/>
      <c r="W111" s="186"/>
      <c r="X111" s="186"/>
      <c r="Y111" s="186"/>
      <c r="Z111" s="186"/>
    </row>
    <row r="112" spans="1:26" ht="12.75" customHeight="1">
      <c r="A112" s="186"/>
      <c r="B112" s="189"/>
      <c r="C112" s="189"/>
      <c r="D112" s="230"/>
      <c r="E112" s="230"/>
      <c r="F112" s="231"/>
      <c r="G112" s="189"/>
      <c r="H112" s="230"/>
      <c r="I112" s="230"/>
      <c r="J112" s="232"/>
      <c r="K112" s="233"/>
      <c r="L112" s="186"/>
      <c r="M112" s="186"/>
      <c r="N112" s="186"/>
      <c r="O112" s="234"/>
      <c r="P112" s="186"/>
      <c r="Q112" s="234"/>
      <c r="R112" s="234"/>
      <c r="S112" s="186"/>
      <c r="T112" s="186"/>
      <c r="U112" s="186"/>
      <c r="V112" s="186"/>
      <c r="W112" s="186"/>
      <c r="X112" s="186"/>
      <c r="Y112" s="186"/>
      <c r="Z112" s="186"/>
    </row>
    <row r="113" spans="1:26" ht="12.75" customHeight="1">
      <c r="A113" s="186"/>
      <c r="B113" s="189"/>
      <c r="C113" s="189"/>
      <c r="D113" s="230"/>
      <c r="E113" s="230"/>
      <c r="F113" s="231"/>
      <c r="G113" s="189"/>
      <c r="H113" s="230"/>
      <c r="I113" s="230"/>
      <c r="J113" s="232"/>
      <c r="K113" s="233"/>
      <c r="L113" s="186"/>
      <c r="M113" s="186"/>
      <c r="N113" s="186"/>
      <c r="O113" s="234"/>
      <c r="P113" s="186"/>
      <c r="Q113" s="234"/>
      <c r="R113" s="234"/>
      <c r="S113" s="186"/>
      <c r="T113" s="186"/>
      <c r="U113" s="186"/>
      <c r="V113" s="186"/>
      <c r="W113" s="186"/>
      <c r="X113" s="186"/>
      <c r="Y113" s="186"/>
      <c r="Z113" s="186"/>
    </row>
    <row r="114" spans="1:26" ht="12.75" customHeight="1">
      <c r="A114" s="186"/>
      <c r="B114" s="189"/>
      <c r="C114" s="189"/>
      <c r="D114" s="230"/>
      <c r="E114" s="230"/>
      <c r="F114" s="231"/>
      <c r="G114" s="189"/>
      <c r="H114" s="230"/>
      <c r="I114" s="230"/>
      <c r="J114" s="232"/>
      <c r="K114" s="233"/>
      <c r="L114" s="186"/>
      <c r="M114" s="186"/>
      <c r="N114" s="186"/>
      <c r="O114" s="234"/>
      <c r="P114" s="186"/>
      <c r="Q114" s="234"/>
      <c r="R114" s="234"/>
      <c r="S114" s="186"/>
      <c r="T114" s="186"/>
      <c r="U114" s="186"/>
      <c r="V114" s="186"/>
      <c r="W114" s="186"/>
      <c r="X114" s="186"/>
      <c r="Y114" s="186"/>
      <c r="Z114" s="186"/>
    </row>
    <row r="115" spans="1:26" ht="12.75" customHeight="1">
      <c r="A115" s="186"/>
      <c r="B115" s="189"/>
      <c r="C115" s="189"/>
      <c r="D115" s="230"/>
      <c r="E115" s="230"/>
      <c r="F115" s="231"/>
      <c r="G115" s="189"/>
      <c r="H115" s="230"/>
      <c r="I115" s="230"/>
      <c r="J115" s="232"/>
      <c r="K115" s="233"/>
      <c r="L115" s="186"/>
      <c r="M115" s="186"/>
      <c r="N115" s="186"/>
      <c r="O115" s="234"/>
      <c r="P115" s="186"/>
      <c r="Q115" s="234"/>
      <c r="R115" s="234"/>
      <c r="S115" s="186"/>
      <c r="T115" s="186"/>
      <c r="U115" s="186"/>
      <c r="V115" s="186"/>
      <c r="W115" s="186"/>
      <c r="X115" s="186"/>
      <c r="Y115" s="186"/>
      <c r="Z115" s="186"/>
    </row>
    <row r="116" spans="1:26" ht="12.75" customHeight="1">
      <c r="A116" s="186"/>
      <c r="B116" s="189"/>
      <c r="C116" s="189"/>
      <c r="D116" s="230"/>
      <c r="E116" s="230"/>
      <c r="F116" s="231"/>
      <c r="G116" s="189"/>
      <c r="H116" s="230"/>
      <c r="I116" s="230"/>
      <c r="J116" s="232"/>
      <c r="K116" s="233"/>
      <c r="L116" s="186"/>
      <c r="M116" s="186"/>
      <c r="N116" s="186"/>
      <c r="O116" s="234"/>
      <c r="P116" s="186"/>
      <c r="Q116" s="234"/>
      <c r="R116" s="234"/>
      <c r="S116" s="186"/>
      <c r="T116" s="186"/>
      <c r="U116" s="186"/>
      <c r="V116" s="186"/>
      <c r="W116" s="186"/>
      <c r="X116" s="186"/>
      <c r="Y116" s="186"/>
      <c r="Z116" s="186"/>
    </row>
    <row r="117" spans="1:26" ht="12.75" customHeight="1">
      <c r="A117" s="186"/>
      <c r="B117" s="189"/>
      <c r="C117" s="189"/>
      <c r="D117" s="230"/>
      <c r="E117" s="230"/>
      <c r="F117" s="231"/>
      <c r="G117" s="189"/>
      <c r="H117" s="230"/>
      <c r="I117" s="230"/>
      <c r="J117" s="232"/>
      <c r="K117" s="233"/>
      <c r="L117" s="186"/>
      <c r="M117" s="186"/>
      <c r="N117" s="186"/>
      <c r="O117" s="234"/>
      <c r="P117" s="186"/>
      <c r="Q117" s="234"/>
      <c r="R117" s="234"/>
      <c r="S117" s="186"/>
      <c r="T117" s="186"/>
      <c r="U117" s="186"/>
      <c r="V117" s="186"/>
      <c r="W117" s="186"/>
      <c r="X117" s="186"/>
      <c r="Y117" s="186"/>
      <c r="Z117" s="186"/>
    </row>
    <row r="118" spans="1:26" ht="12.75" customHeight="1">
      <c r="A118" s="186"/>
      <c r="B118" s="189"/>
      <c r="C118" s="189"/>
      <c r="D118" s="230"/>
      <c r="E118" s="230"/>
      <c r="F118" s="231"/>
      <c r="G118" s="189"/>
      <c r="H118" s="230"/>
      <c r="I118" s="230"/>
      <c r="J118" s="232"/>
      <c r="K118" s="233"/>
      <c r="L118" s="186"/>
      <c r="M118" s="186"/>
      <c r="N118" s="186"/>
      <c r="O118" s="234"/>
      <c r="P118" s="186"/>
      <c r="Q118" s="234"/>
      <c r="R118" s="234"/>
      <c r="S118" s="186"/>
      <c r="T118" s="186"/>
      <c r="U118" s="186"/>
      <c r="V118" s="186"/>
      <c r="W118" s="186"/>
      <c r="X118" s="186"/>
      <c r="Y118" s="186"/>
      <c r="Z118" s="186"/>
    </row>
    <row r="119" spans="1:26" ht="12.75" customHeight="1">
      <c r="A119" s="186"/>
      <c r="B119" s="189"/>
      <c r="C119" s="189"/>
      <c r="D119" s="230"/>
      <c r="E119" s="230"/>
      <c r="F119" s="231"/>
      <c r="G119" s="189"/>
      <c r="H119" s="230"/>
      <c r="I119" s="230"/>
      <c r="J119" s="232"/>
      <c r="K119" s="233"/>
      <c r="L119" s="186"/>
      <c r="M119" s="186"/>
      <c r="N119" s="186"/>
      <c r="O119" s="234"/>
      <c r="P119" s="186"/>
      <c r="Q119" s="234"/>
      <c r="R119" s="234"/>
      <c r="S119" s="186"/>
      <c r="T119" s="186"/>
      <c r="U119" s="186"/>
      <c r="V119" s="186"/>
      <c r="W119" s="186"/>
      <c r="X119" s="186"/>
      <c r="Y119" s="186"/>
      <c r="Z119" s="186"/>
    </row>
    <row r="120" spans="1:26" ht="12.75" customHeight="1">
      <c r="A120" s="186"/>
      <c r="B120" s="189"/>
      <c r="C120" s="189"/>
      <c r="D120" s="230"/>
      <c r="E120" s="230"/>
      <c r="F120" s="231"/>
      <c r="G120" s="189"/>
      <c r="H120" s="230"/>
      <c r="I120" s="230"/>
      <c r="J120" s="232"/>
      <c r="K120" s="233"/>
      <c r="L120" s="186"/>
      <c r="M120" s="186"/>
      <c r="N120" s="186"/>
      <c r="O120" s="234"/>
      <c r="P120" s="186"/>
      <c r="Q120" s="234"/>
      <c r="R120" s="234"/>
      <c r="S120" s="186"/>
      <c r="T120" s="186"/>
      <c r="U120" s="186"/>
      <c r="V120" s="186"/>
      <c r="W120" s="186"/>
      <c r="X120" s="186"/>
      <c r="Y120" s="186"/>
      <c r="Z120" s="186"/>
    </row>
    <row r="121" spans="1:26" ht="12.75" customHeight="1">
      <c r="A121" s="186"/>
      <c r="B121" s="189"/>
      <c r="C121" s="189"/>
      <c r="D121" s="230"/>
      <c r="E121" s="230"/>
      <c r="F121" s="231"/>
      <c r="G121" s="189"/>
      <c r="H121" s="230"/>
      <c r="I121" s="230"/>
      <c r="J121" s="232"/>
      <c r="K121" s="233"/>
      <c r="L121" s="186"/>
      <c r="M121" s="186"/>
      <c r="N121" s="186"/>
      <c r="O121" s="234"/>
      <c r="P121" s="186"/>
      <c r="Q121" s="234"/>
      <c r="R121" s="234"/>
      <c r="S121" s="186"/>
      <c r="T121" s="186"/>
      <c r="U121" s="186"/>
      <c r="V121" s="186"/>
      <c r="W121" s="186"/>
      <c r="X121" s="186"/>
      <c r="Y121" s="186"/>
      <c r="Z121" s="186"/>
    </row>
    <row r="122" spans="1:26" ht="12.75" customHeight="1">
      <c r="A122" s="186"/>
      <c r="B122" s="189"/>
      <c r="C122" s="189"/>
      <c r="D122" s="230"/>
      <c r="E122" s="230"/>
      <c r="F122" s="231"/>
      <c r="G122" s="189"/>
      <c r="H122" s="230"/>
      <c r="I122" s="230"/>
      <c r="J122" s="232"/>
      <c r="K122" s="233"/>
      <c r="L122" s="186"/>
      <c r="M122" s="186"/>
      <c r="N122" s="186"/>
      <c r="O122" s="234"/>
      <c r="P122" s="186"/>
      <c r="Q122" s="234"/>
      <c r="R122" s="234"/>
      <c r="S122" s="186"/>
      <c r="T122" s="186"/>
      <c r="U122" s="186"/>
      <c r="V122" s="186"/>
      <c r="W122" s="186"/>
      <c r="X122" s="186"/>
      <c r="Y122" s="186"/>
      <c r="Z122" s="186"/>
    </row>
    <row r="123" spans="1:26" ht="12.75" customHeight="1">
      <c r="A123" s="186"/>
      <c r="B123" s="189"/>
      <c r="C123" s="189"/>
      <c r="D123" s="230"/>
      <c r="E123" s="230"/>
      <c r="F123" s="231"/>
      <c r="G123" s="189"/>
      <c r="H123" s="230"/>
      <c r="I123" s="230"/>
      <c r="J123" s="232"/>
      <c r="K123" s="233"/>
      <c r="L123" s="186"/>
      <c r="M123" s="186"/>
      <c r="N123" s="186"/>
      <c r="O123" s="234"/>
      <c r="P123" s="186"/>
      <c r="Q123" s="234"/>
      <c r="R123" s="234"/>
      <c r="S123" s="186"/>
      <c r="T123" s="186"/>
      <c r="U123" s="186"/>
      <c r="V123" s="186"/>
      <c r="W123" s="186"/>
      <c r="X123" s="186"/>
      <c r="Y123" s="186"/>
      <c r="Z123" s="186"/>
    </row>
    <row r="124" spans="1:26" ht="12.75" customHeight="1">
      <c r="A124" s="186"/>
      <c r="B124" s="189"/>
      <c r="C124" s="189"/>
      <c r="D124" s="230"/>
      <c r="E124" s="230"/>
      <c r="F124" s="231"/>
      <c r="G124" s="189"/>
      <c r="H124" s="230"/>
      <c r="I124" s="230"/>
      <c r="J124" s="232"/>
      <c r="K124" s="233"/>
      <c r="L124" s="186"/>
      <c r="M124" s="186"/>
      <c r="N124" s="186"/>
      <c r="O124" s="234"/>
      <c r="P124" s="186"/>
      <c r="Q124" s="234"/>
      <c r="R124" s="234"/>
      <c r="S124" s="186"/>
      <c r="T124" s="186"/>
      <c r="U124" s="186"/>
      <c r="V124" s="186"/>
      <c r="W124" s="186"/>
      <c r="X124" s="186"/>
      <c r="Y124" s="186"/>
      <c r="Z124" s="186"/>
    </row>
    <row r="125" spans="1:26" ht="12.75" customHeight="1">
      <c r="A125" s="186"/>
      <c r="B125" s="189"/>
      <c r="C125" s="189"/>
      <c r="D125" s="230"/>
      <c r="E125" s="230"/>
      <c r="F125" s="231"/>
      <c r="G125" s="189"/>
      <c r="H125" s="230"/>
      <c r="I125" s="230"/>
      <c r="J125" s="232"/>
      <c r="K125" s="233"/>
      <c r="L125" s="186"/>
      <c r="M125" s="186"/>
      <c r="N125" s="186"/>
      <c r="O125" s="234"/>
      <c r="P125" s="186"/>
      <c r="Q125" s="234"/>
      <c r="R125" s="234"/>
      <c r="S125" s="186"/>
      <c r="T125" s="186"/>
      <c r="U125" s="186"/>
      <c r="V125" s="186"/>
      <c r="W125" s="186"/>
      <c r="X125" s="186"/>
      <c r="Y125" s="186"/>
      <c r="Z125" s="186"/>
    </row>
    <row r="126" spans="1:26" ht="12.75" customHeight="1">
      <c r="A126" s="186"/>
      <c r="B126" s="189"/>
      <c r="C126" s="189"/>
      <c r="D126" s="230"/>
      <c r="E126" s="230"/>
      <c r="F126" s="231"/>
      <c r="G126" s="189"/>
      <c r="H126" s="230"/>
      <c r="I126" s="230"/>
      <c r="J126" s="232"/>
      <c r="K126" s="233"/>
      <c r="L126" s="186"/>
      <c r="M126" s="186"/>
      <c r="N126" s="186"/>
      <c r="O126" s="234"/>
      <c r="P126" s="186"/>
      <c r="Q126" s="234"/>
      <c r="R126" s="234"/>
      <c r="S126" s="186"/>
      <c r="T126" s="186"/>
      <c r="U126" s="186"/>
      <c r="V126" s="186"/>
      <c r="W126" s="186"/>
      <c r="X126" s="186"/>
      <c r="Y126" s="186"/>
      <c r="Z126" s="186"/>
    </row>
    <row r="127" spans="1:26" ht="12.75" customHeight="1">
      <c r="A127" s="186"/>
      <c r="B127" s="189"/>
      <c r="C127" s="189"/>
      <c r="D127" s="230"/>
      <c r="E127" s="230"/>
      <c r="F127" s="231"/>
      <c r="G127" s="189"/>
      <c r="H127" s="230"/>
      <c r="I127" s="230"/>
      <c r="J127" s="232"/>
      <c r="K127" s="233"/>
      <c r="L127" s="186"/>
      <c r="M127" s="186"/>
      <c r="N127" s="186"/>
      <c r="O127" s="234"/>
      <c r="P127" s="186"/>
      <c r="Q127" s="234"/>
      <c r="R127" s="234"/>
      <c r="S127" s="186"/>
      <c r="T127" s="186"/>
      <c r="U127" s="186"/>
      <c r="V127" s="186"/>
      <c r="W127" s="186"/>
      <c r="X127" s="186"/>
      <c r="Y127" s="186"/>
      <c r="Z127" s="186"/>
    </row>
    <row r="128" spans="1:26" ht="12.75" customHeight="1">
      <c r="A128" s="186"/>
      <c r="B128" s="189"/>
      <c r="C128" s="189"/>
      <c r="D128" s="230"/>
      <c r="E128" s="230"/>
      <c r="F128" s="231"/>
      <c r="G128" s="189"/>
      <c r="H128" s="230"/>
      <c r="I128" s="230"/>
      <c r="J128" s="232"/>
      <c r="K128" s="233"/>
      <c r="L128" s="186"/>
      <c r="M128" s="186"/>
      <c r="N128" s="186"/>
      <c r="O128" s="234"/>
      <c r="P128" s="186"/>
      <c r="Q128" s="234"/>
      <c r="R128" s="234"/>
      <c r="S128" s="186"/>
      <c r="T128" s="186"/>
      <c r="U128" s="186"/>
      <c r="V128" s="186"/>
      <c r="W128" s="186"/>
      <c r="X128" s="186"/>
      <c r="Y128" s="186"/>
      <c r="Z128" s="186"/>
    </row>
    <row r="129" spans="1:26" ht="12.75" customHeight="1">
      <c r="A129" s="186"/>
      <c r="B129" s="189"/>
      <c r="C129" s="189"/>
      <c r="D129" s="230"/>
      <c r="E129" s="230"/>
      <c r="F129" s="231"/>
      <c r="G129" s="189"/>
      <c r="H129" s="230"/>
      <c r="I129" s="230"/>
      <c r="J129" s="232"/>
      <c r="K129" s="233"/>
      <c r="L129" s="186"/>
      <c r="M129" s="186"/>
      <c r="N129" s="186"/>
      <c r="O129" s="234"/>
      <c r="P129" s="186"/>
      <c r="Q129" s="234"/>
      <c r="R129" s="234"/>
      <c r="S129" s="186"/>
      <c r="T129" s="186"/>
      <c r="U129" s="186"/>
      <c r="V129" s="186"/>
      <c r="W129" s="186"/>
      <c r="X129" s="186"/>
      <c r="Y129" s="186"/>
      <c r="Z129" s="186"/>
    </row>
    <row r="130" spans="1:26" ht="12.75" customHeight="1">
      <c r="A130" s="186"/>
      <c r="B130" s="189"/>
      <c r="C130" s="189"/>
      <c r="D130" s="230"/>
      <c r="E130" s="230"/>
      <c r="F130" s="231"/>
      <c r="G130" s="189"/>
      <c r="H130" s="230"/>
      <c r="I130" s="230"/>
      <c r="J130" s="232"/>
      <c r="K130" s="233"/>
      <c r="L130" s="186"/>
      <c r="M130" s="186"/>
      <c r="N130" s="186"/>
      <c r="O130" s="234"/>
      <c r="P130" s="186"/>
      <c r="Q130" s="234"/>
      <c r="R130" s="234"/>
      <c r="S130" s="186"/>
      <c r="T130" s="186"/>
      <c r="U130" s="186"/>
      <c r="V130" s="186"/>
      <c r="W130" s="186"/>
      <c r="X130" s="186"/>
      <c r="Y130" s="186"/>
      <c r="Z130" s="186"/>
    </row>
    <row r="131" spans="1:26" ht="12.75" customHeight="1">
      <c r="A131" s="186"/>
      <c r="B131" s="189"/>
      <c r="C131" s="189"/>
      <c r="D131" s="230"/>
      <c r="E131" s="230"/>
      <c r="F131" s="231"/>
      <c r="G131" s="189"/>
      <c r="H131" s="230"/>
      <c r="I131" s="230"/>
      <c r="J131" s="232"/>
      <c r="K131" s="233"/>
      <c r="L131" s="186"/>
      <c r="M131" s="186"/>
      <c r="N131" s="186"/>
      <c r="O131" s="234"/>
      <c r="P131" s="186"/>
      <c r="Q131" s="234"/>
      <c r="R131" s="234"/>
      <c r="S131" s="186"/>
      <c r="T131" s="186"/>
      <c r="U131" s="186"/>
      <c r="V131" s="186"/>
      <c r="W131" s="186"/>
      <c r="X131" s="186"/>
      <c r="Y131" s="186"/>
      <c r="Z131" s="186"/>
    </row>
    <row r="132" spans="1:26" ht="12.75" customHeight="1">
      <c r="A132" s="186"/>
      <c r="B132" s="189"/>
      <c r="C132" s="189"/>
      <c r="D132" s="230"/>
      <c r="E132" s="230"/>
      <c r="F132" s="231"/>
      <c r="G132" s="189"/>
      <c r="H132" s="230"/>
      <c r="I132" s="230"/>
      <c r="J132" s="232"/>
      <c r="K132" s="233"/>
      <c r="L132" s="186"/>
      <c r="M132" s="186"/>
      <c r="N132" s="186"/>
      <c r="O132" s="234"/>
      <c r="P132" s="186"/>
      <c r="Q132" s="234"/>
      <c r="R132" s="234"/>
      <c r="S132" s="186"/>
      <c r="T132" s="186"/>
      <c r="U132" s="186"/>
      <c r="V132" s="186"/>
      <c r="W132" s="186"/>
      <c r="X132" s="186"/>
      <c r="Y132" s="186"/>
      <c r="Z132" s="186"/>
    </row>
    <row r="133" spans="1:26" ht="12.75" customHeight="1">
      <c r="A133" s="186"/>
      <c r="B133" s="189"/>
      <c r="C133" s="189"/>
      <c r="D133" s="230"/>
      <c r="E133" s="230"/>
      <c r="F133" s="231"/>
      <c r="G133" s="189"/>
      <c r="H133" s="230"/>
      <c r="I133" s="230"/>
      <c r="J133" s="232"/>
      <c r="K133" s="233"/>
      <c r="L133" s="186"/>
      <c r="M133" s="186"/>
      <c r="N133" s="186"/>
      <c r="O133" s="234"/>
      <c r="P133" s="186"/>
      <c r="Q133" s="234"/>
      <c r="R133" s="234"/>
      <c r="S133" s="186"/>
      <c r="T133" s="186"/>
      <c r="U133" s="186"/>
      <c r="V133" s="186"/>
      <c r="W133" s="186"/>
      <c r="X133" s="186"/>
      <c r="Y133" s="186"/>
      <c r="Z133" s="186"/>
    </row>
    <row r="134" spans="1:26" ht="12.75" customHeight="1">
      <c r="A134" s="186"/>
      <c r="B134" s="189"/>
      <c r="C134" s="189"/>
      <c r="D134" s="230"/>
      <c r="E134" s="230"/>
      <c r="F134" s="231"/>
      <c r="G134" s="189"/>
      <c r="H134" s="230"/>
      <c r="I134" s="230"/>
      <c r="J134" s="232"/>
      <c r="K134" s="233"/>
      <c r="L134" s="186"/>
      <c r="M134" s="186"/>
      <c r="N134" s="186"/>
      <c r="O134" s="234"/>
      <c r="P134" s="186"/>
      <c r="Q134" s="234"/>
      <c r="R134" s="234"/>
      <c r="S134" s="186"/>
      <c r="T134" s="186"/>
      <c r="U134" s="186"/>
      <c r="V134" s="186"/>
      <c r="W134" s="186"/>
      <c r="X134" s="186"/>
      <c r="Y134" s="186"/>
      <c r="Z134" s="186"/>
    </row>
    <row r="135" spans="1:26" ht="12.75" customHeight="1">
      <c r="A135" s="186"/>
      <c r="B135" s="189"/>
      <c r="C135" s="189"/>
      <c r="D135" s="230"/>
      <c r="E135" s="230"/>
      <c r="F135" s="231"/>
      <c r="G135" s="189"/>
      <c r="H135" s="230"/>
      <c r="I135" s="230"/>
      <c r="J135" s="232"/>
      <c r="K135" s="233"/>
      <c r="L135" s="186"/>
      <c r="M135" s="186"/>
      <c r="N135" s="186"/>
      <c r="O135" s="234"/>
      <c r="P135" s="186"/>
      <c r="Q135" s="234"/>
      <c r="R135" s="234"/>
      <c r="S135" s="186"/>
      <c r="T135" s="186"/>
      <c r="U135" s="186"/>
      <c r="V135" s="186"/>
      <c r="W135" s="186"/>
      <c r="X135" s="186"/>
      <c r="Y135" s="186"/>
      <c r="Z135" s="186"/>
    </row>
    <row r="136" spans="1:26" ht="12.75" customHeight="1">
      <c r="A136" s="186"/>
      <c r="B136" s="189"/>
      <c r="C136" s="189"/>
      <c r="D136" s="230"/>
      <c r="E136" s="230"/>
      <c r="F136" s="231"/>
      <c r="G136" s="189"/>
      <c r="H136" s="230"/>
      <c r="I136" s="230"/>
      <c r="J136" s="232"/>
      <c r="K136" s="233"/>
      <c r="L136" s="186"/>
      <c r="M136" s="186"/>
      <c r="N136" s="186"/>
      <c r="O136" s="234"/>
      <c r="P136" s="186"/>
      <c r="Q136" s="234"/>
      <c r="R136" s="234"/>
      <c r="S136" s="186"/>
      <c r="T136" s="186"/>
      <c r="U136" s="186"/>
      <c r="V136" s="186"/>
      <c r="W136" s="186"/>
      <c r="X136" s="186"/>
      <c r="Y136" s="186"/>
      <c r="Z136" s="186"/>
    </row>
    <row r="137" spans="1:26" ht="12.75" customHeight="1">
      <c r="A137" s="186"/>
      <c r="B137" s="189"/>
      <c r="C137" s="189"/>
      <c r="D137" s="230"/>
      <c r="E137" s="230"/>
      <c r="F137" s="231"/>
      <c r="G137" s="189"/>
      <c r="H137" s="230"/>
      <c r="I137" s="230"/>
      <c r="J137" s="232"/>
      <c r="K137" s="233"/>
      <c r="L137" s="186"/>
      <c r="M137" s="186"/>
      <c r="N137" s="186"/>
      <c r="O137" s="234"/>
      <c r="P137" s="186"/>
      <c r="Q137" s="234"/>
      <c r="R137" s="234"/>
      <c r="S137" s="186"/>
      <c r="T137" s="186"/>
      <c r="U137" s="186"/>
      <c r="V137" s="186"/>
      <c r="W137" s="186"/>
      <c r="X137" s="186"/>
      <c r="Y137" s="186"/>
      <c r="Z137" s="186"/>
    </row>
    <row r="138" spans="1:26" ht="12.75" customHeight="1">
      <c r="A138" s="186"/>
      <c r="B138" s="189"/>
      <c r="C138" s="189"/>
      <c r="D138" s="230"/>
      <c r="E138" s="230"/>
      <c r="F138" s="231"/>
      <c r="G138" s="189"/>
      <c r="H138" s="230"/>
      <c r="I138" s="230"/>
      <c r="J138" s="232"/>
      <c r="K138" s="233"/>
      <c r="L138" s="186"/>
      <c r="M138" s="186"/>
      <c r="N138" s="186"/>
      <c r="O138" s="234"/>
      <c r="P138" s="186"/>
      <c r="Q138" s="234"/>
      <c r="R138" s="234"/>
      <c r="S138" s="186"/>
      <c r="T138" s="186"/>
      <c r="U138" s="186"/>
      <c r="V138" s="186"/>
      <c r="W138" s="186"/>
      <c r="X138" s="186"/>
      <c r="Y138" s="186"/>
      <c r="Z138" s="186"/>
    </row>
    <row r="139" spans="1:26" ht="12.75" customHeight="1">
      <c r="A139" s="186"/>
      <c r="B139" s="189"/>
      <c r="C139" s="189"/>
      <c r="D139" s="230"/>
      <c r="E139" s="230"/>
      <c r="F139" s="231"/>
      <c r="G139" s="189"/>
      <c r="H139" s="230"/>
      <c r="I139" s="230"/>
      <c r="J139" s="232"/>
      <c r="K139" s="233"/>
      <c r="L139" s="186"/>
      <c r="M139" s="186"/>
      <c r="N139" s="186"/>
      <c r="O139" s="234"/>
      <c r="P139" s="186"/>
      <c r="Q139" s="234"/>
      <c r="R139" s="234"/>
      <c r="S139" s="186"/>
      <c r="T139" s="186"/>
      <c r="U139" s="186"/>
      <c r="V139" s="186"/>
      <c r="W139" s="186"/>
      <c r="X139" s="186"/>
      <c r="Y139" s="186"/>
      <c r="Z139" s="186"/>
    </row>
    <row r="140" spans="1:26" ht="12.75" customHeight="1">
      <c r="A140" s="186"/>
      <c r="B140" s="189"/>
      <c r="C140" s="189"/>
      <c r="D140" s="230"/>
      <c r="E140" s="230"/>
      <c r="F140" s="231"/>
      <c r="G140" s="189"/>
      <c r="H140" s="230"/>
      <c r="I140" s="230"/>
      <c r="J140" s="232"/>
      <c r="K140" s="233"/>
      <c r="L140" s="186"/>
      <c r="M140" s="186"/>
      <c r="N140" s="186"/>
      <c r="O140" s="234"/>
      <c r="P140" s="186"/>
      <c r="Q140" s="234"/>
      <c r="R140" s="234"/>
      <c r="S140" s="186"/>
      <c r="T140" s="186"/>
      <c r="U140" s="186"/>
      <c r="V140" s="186"/>
      <c r="W140" s="186"/>
      <c r="X140" s="186"/>
      <c r="Y140" s="186"/>
      <c r="Z140" s="186"/>
    </row>
    <row r="141" spans="1:26" ht="12.75" customHeight="1">
      <c r="A141" s="186"/>
      <c r="B141" s="189"/>
      <c r="C141" s="189"/>
      <c r="D141" s="230"/>
      <c r="E141" s="230"/>
      <c r="F141" s="231"/>
      <c r="G141" s="189"/>
      <c r="H141" s="230"/>
      <c r="I141" s="230"/>
      <c r="J141" s="232"/>
      <c r="K141" s="233"/>
      <c r="L141" s="186"/>
      <c r="M141" s="186"/>
      <c r="N141" s="186"/>
      <c r="O141" s="234"/>
      <c r="P141" s="186"/>
      <c r="Q141" s="234"/>
      <c r="R141" s="234"/>
      <c r="S141" s="186"/>
      <c r="T141" s="186"/>
      <c r="U141" s="186"/>
      <c r="V141" s="186"/>
      <c r="W141" s="186"/>
      <c r="X141" s="186"/>
      <c r="Y141" s="186"/>
      <c r="Z141" s="186"/>
    </row>
    <row r="142" spans="1:26" ht="12.75" customHeight="1">
      <c r="A142" s="186"/>
      <c r="B142" s="189"/>
      <c r="C142" s="189"/>
      <c r="D142" s="230"/>
      <c r="E142" s="230"/>
      <c r="F142" s="231"/>
      <c r="G142" s="189"/>
      <c r="H142" s="230"/>
      <c r="I142" s="230"/>
      <c r="J142" s="232"/>
      <c r="K142" s="233"/>
      <c r="L142" s="186"/>
      <c r="M142" s="186"/>
      <c r="N142" s="186"/>
      <c r="O142" s="234"/>
      <c r="P142" s="186"/>
      <c r="Q142" s="234"/>
      <c r="R142" s="234"/>
      <c r="S142" s="186"/>
      <c r="T142" s="186"/>
      <c r="U142" s="186"/>
      <c r="V142" s="186"/>
      <c r="W142" s="186"/>
      <c r="X142" s="186"/>
      <c r="Y142" s="186"/>
      <c r="Z142" s="186"/>
    </row>
    <row r="143" spans="1:26" ht="12.75" customHeight="1">
      <c r="A143" s="186"/>
      <c r="B143" s="189"/>
      <c r="C143" s="189"/>
      <c r="D143" s="230"/>
      <c r="E143" s="230"/>
      <c r="F143" s="231"/>
      <c r="G143" s="189"/>
      <c r="H143" s="230"/>
      <c r="I143" s="230"/>
      <c r="J143" s="232"/>
      <c r="K143" s="233"/>
      <c r="L143" s="186"/>
      <c r="M143" s="186"/>
      <c r="N143" s="186"/>
      <c r="O143" s="234"/>
      <c r="P143" s="186"/>
      <c r="Q143" s="234"/>
      <c r="R143" s="234"/>
      <c r="S143" s="186"/>
      <c r="T143" s="186"/>
      <c r="U143" s="186"/>
      <c r="V143" s="186"/>
      <c r="W143" s="186"/>
      <c r="X143" s="186"/>
      <c r="Y143" s="186"/>
      <c r="Z143" s="186"/>
    </row>
    <row r="144" spans="1:26" ht="12.75" customHeight="1">
      <c r="A144" s="186"/>
      <c r="B144" s="189"/>
      <c r="C144" s="189"/>
      <c r="D144" s="230"/>
      <c r="E144" s="230"/>
      <c r="F144" s="231"/>
      <c r="G144" s="189"/>
      <c r="H144" s="230"/>
      <c r="I144" s="230"/>
      <c r="J144" s="232"/>
      <c r="K144" s="233"/>
      <c r="L144" s="186"/>
      <c r="M144" s="186"/>
      <c r="N144" s="186"/>
      <c r="O144" s="234"/>
      <c r="P144" s="186"/>
      <c r="Q144" s="234"/>
      <c r="R144" s="234"/>
      <c r="S144" s="186"/>
      <c r="T144" s="186"/>
      <c r="U144" s="186"/>
      <c r="V144" s="186"/>
      <c r="W144" s="186"/>
      <c r="X144" s="186"/>
      <c r="Y144" s="186"/>
      <c r="Z144" s="186"/>
    </row>
    <row r="145" spans="1:26" ht="12.75" customHeight="1">
      <c r="A145" s="186"/>
      <c r="B145" s="189"/>
      <c r="C145" s="189"/>
      <c r="D145" s="230"/>
      <c r="E145" s="230"/>
      <c r="F145" s="231"/>
      <c r="G145" s="189"/>
      <c r="H145" s="230"/>
      <c r="I145" s="230"/>
      <c r="J145" s="232"/>
      <c r="K145" s="233"/>
      <c r="L145" s="186"/>
      <c r="M145" s="186"/>
      <c r="N145" s="186"/>
      <c r="O145" s="234"/>
      <c r="P145" s="186"/>
      <c r="Q145" s="234"/>
      <c r="R145" s="234"/>
      <c r="S145" s="186"/>
      <c r="T145" s="186"/>
      <c r="U145" s="186"/>
      <c r="V145" s="186"/>
      <c r="W145" s="186"/>
      <c r="X145" s="186"/>
      <c r="Y145" s="186"/>
      <c r="Z145" s="186"/>
    </row>
    <row r="146" spans="1:26" ht="12.75" customHeight="1">
      <c r="A146" s="186"/>
      <c r="B146" s="189"/>
      <c r="C146" s="189"/>
      <c r="D146" s="230"/>
      <c r="E146" s="230"/>
      <c r="F146" s="231"/>
      <c r="G146" s="189"/>
      <c r="H146" s="230"/>
      <c r="I146" s="230"/>
      <c r="J146" s="232"/>
      <c r="K146" s="233"/>
      <c r="L146" s="186"/>
      <c r="M146" s="186"/>
      <c r="N146" s="186"/>
      <c r="O146" s="234"/>
      <c r="P146" s="186"/>
      <c r="Q146" s="234"/>
      <c r="R146" s="234"/>
      <c r="S146" s="186"/>
      <c r="T146" s="186"/>
      <c r="U146" s="186"/>
      <c r="V146" s="186"/>
      <c r="W146" s="186"/>
      <c r="X146" s="186"/>
      <c r="Y146" s="186"/>
      <c r="Z146" s="186"/>
    </row>
    <row r="147" spans="1:26" ht="12.75" customHeight="1">
      <c r="A147" s="186"/>
      <c r="B147" s="189"/>
      <c r="C147" s="189"/>
      <c r="D147" s="230"/>
      <c r="E147" s="230"/>
      <c r="F147" s="231"/>
      <c r="G147" s="189"/>
      <c r="H147" s="230"/>
      <c r="I147" s="230"/>
      <c r="J147" s="232"/>
      <c r="K147" s="233"/>
      <c r="L147" s="186"/>
      <c r="M147" s="186"/>
      <c r="N147" s="186"/>
      <c r="O147" s="234"/>
      <c r="P147" s="186"/>
      <c r="Q147" s="234"/>
      <c r="R147" s="234"/>
      <c r="S147" s="186"/>
      <c r="T147" s="186"/>
      <c r="U147" s="186"/>
      <c r="V147" s="186"/>
      <c r="W147" s="186"/>
      <c r="X147" s="186"/>
      <c r="Y147" s="186"/>
      <c r="Z147" s="186"/>
    </row>
    <row r="148" spans="1:26" ht="12.75" customHeight="1">
      <c r="A148" s="186"/>
      <c r="B148" s="189"/>
      <c r="C148" s="189"/>
      <c r="D148" s="230"/>
      <c r="E148" s="230"/>
      <c r="F148" s="231"/>
      <c r="G148" s="189"/>
      <c r="H148" s="230"/>
      <c r="I148" s="230"/>
      <c r="J148" s="232"/>
      <c r="K148" s="233"/>
      <c r="L148" s="186"/>
      <c r="M148" s="186"/>
      <c r="N148" s="186"/>
      <c r="O148" s="234"/>
      <c r="P148" s="186"/>
      <c r="Q148" s="234"/>
      <c r="R148" s="234"/>
      <c r="S148" s="186"/>
      <c r="T148" s="186"/>
      <c r="U148" s="186"/>
      <c r="V148" s="186"/>
      <c r="W148" s="186"/>
      <c r="X148" s="186"/>
      <c r="Y148" s="186"/>
      <c r="Z148" s="186"/>
    </row>
    <row r="149" spans="1:26" ht="12.75" customHeight="1">
      <c r="A149" s="186"/>
      <c r="B149" s="189"/>
      <c r="C149" s="189"/>
      <c r="D149" s="230"/>
      <c r="E149" s="230"/>
      <c r="F149" s="231"/>
      <c r="G149" s="189"/>
      <c r="H149" s="230"/>
      <c r="I149" s="230"/>
      <c r="J149" s="232"/>
      <c r="K149" s="233"/>
      <c r="L149" s="186"/>
      <c r="M149" s="186"/>
      <c r="N149" s="186"/>
      <c r="O149" s="234"/>
      <c r="P149" s="186"/>
      <c r="Q149" s="234"/>
      <c r="R149" s="234"/>
      <c r="S149" s="186"/>
      <c r="T149" s="186"/>
      <c r="U149" s="186"/>
      <c r="V149" s="186"/>
      <c r="W149" s="186"/>
      <c r="X149" s="186"/>
      <c r="Y149" s="186"/>
      <c r="Z149" s="186"/>
    </row>
    <row r="150" spans="1:26" ht="12.75" customHeight="1">
      <c r="A150" s="186"/>
      <c r="B150" s="189"/>
      <c r="C150" s="189"/>
      <c r="D150" s="230"/>
      <c r="E150" s="230"/>
      <c r="F150" s="231"/>
      <c r="G150" s="189"/>
      <c r="H150" s="230"/>
      <c r="I150" s="230"/>
      <c r="J150" s="232"/>
      <c r="K150" s="233"/>
      <c r="L150" s="186"/>
      <c r="M150" s="186"/>
      <c r="N150" s="186"/>
      <c r="O150" s="234"/>
      <c r="P150" s="186"/>
      <c r="Q150" s="234"/>
      <c r="R150" s="234"/>
      <c r="S150" s="186"/>
      <c r="T150" s="186"/>
      <c r="U150" s="186"/>
      <c r="V150" s="186"/>
      <c r="W150" s="186"/>
      <c r="X150" s="186"/>
      <c r="Y150" s="186"/>
      <c r="Z150" s="186"/>
    </row>
    <row r="151" spans="1:26" ht="12.75" customHeight="1">
      <c r="A151" s="186"/>
      <c r="B151" s="189"/>
      <c r="C151" s="189"/>
      <c r="D151" s="230"/>
      <c r="E151" s="230"/>
      <c r="F151" s="231"/>
      <c r="G151" s="189"/>
      <c r="H151" s="230"/>
      <c r="I151" s="230"/>
      <c r="J151" s="232"/>
      <c r="K151" s="233"/>
      <c r="L151" s="186"/>
      <c r="M151" s="186"/>
      <c r="N151" s="186"/>
      <c r="O151" s="234"/>
      <c r="P151" s="186"/>
      <c r="Q151" s="234"/>
      <c r="R151" s="234"/>
      <c r="S151" s="186"/>
      <c r="T151" s="186"/>
      <c r="U151" s="186"/>
      <c r="V151" s="186"/>
      <c r="W151" s="186"/>
      <c r="X151" s="186"/>
      <c r="Y151" s="186"/>
      <c r="Z151" s="186"/>
    </row>
    <row r="152" spans="1:26" ht="12.75" customHeight="1">
      <c r="A152" s="186"/>
      <c r="B152" s="189"/>
      <c r="C152" s="189"/>
      <c r="D152" s="230"/>
      <c r="E152" s="230"/>
      <c r="F152" s="231"/>
      <c r="G152" s="189"/>
      <c r="H152" s="230"/>
      <c r="I152" s="230"/>
      <c r="J152" s="232"/>
      <c r="K152" s="233"/>
      <c r="L152" s="186"/>
      <c r="M152" s="186"/>
      <c r="N152" s="186"/>
      <c r="O152" s="234"/>
      <c r="P152" s="186"/>
      <c r="Q152" s="234"/>
      <c r="R152" s="234"/>
      <c r="S152" s="186"/>
      <c r="T152" s="186"/>
      <c r="U152" s="186"/>
      <c r="V152" s="186"/>
      <c r="W152" s="186"/>
      <c r="X152" s="186"/>
      <c r="Y152" s="186"/>
      <c r="Z152" s="186"/>
    </row>
    <row r="153" spans="1:26" ht="12.75" customHeight="1">
      <c r="A153" s="186"/>
      <c r="B153" s="189"/>
      <c r="C153" s="189"/>
      <c r="D153" s="230"/>
      <c r="E153" s="230"/>
      <c r="F153" s="231"/>
      <c r="G153" s="189"/>
      <c r="H153" s="230"/>
      <c r="I153" s="230"/>
      <c r="J153" s="232"/>
      <c r="K153" s="233"/>
      <c r="L153" s="186"/>
      <c r="M153" s="186"/>
      <c r="N153" s="186"/>
      <c r="O153" s="234"/>
      <c r="P153" s="186"/>
      <c r="Q153" s="234"/>
      <c r="R153" s="234"/>
      <c r="S153" s="186"/>
      <c r="T153" s="186"/>
      <c r="U153" s="186"/>
      <c r="V153" s="186"/>
      <c r="W153" s="186"/>
      <c r="X153" s="186"/>
      <c r="Y153" s="186"/>
      <c r="Z153" s="186"/>
    </row>
    <row r="154" spans="1:26" ht="12.75" customHeight="1">
      <c r="A154" s="186"/>
      <c r="B154" s="189"/>
      <c r="C154" s="189"/>
      <c r="D154" s="230"/>
      <c r="E154" s="230"/>
      <c r="F154" s="231"/>
      <c r="G154" s="189"/>
      <c r="H154" s="230"/>
      <c r="I154" s="230"/>
      <c r="J154" s="232"/>
      <c r="K154" s="233"/>
      <c r="L154" s="186"/>
      <c r="M154" s="186"/>
      <c r="N154" s="186"/>
      <c r="O154" s="234"/>
      <c r="P154" s="186"/>
      <c r="Q154" s="234"/>
      <c r="R154" s="234"/>
      <c r="S154" s="186"/>
      <c r="T154" s="186"/>
      <c r="U154" s="186"/>
      <c r="V154" s="186"/>
      <c r="W154" s="186"/>
      <c r="X154" s="186"/>
      <c r="Y154" s="186"/>
      <c r="Z154" s="186"/>
    </row>
    <row r="155" spans="1:26" ht="12.75" customHeight="1">
      <c r="A155" s="186"/>
      <c r="B155" s="189"/>
      <c r="C155" s="189"/>
      <c r="D155" s="230"/>
      <c r="E155" s="230"/>
      <c r="F155" s="231"/>
      <c r="G155" s="189"/>
      <c r="H155" s="230"/>
      <c r="I155" s="230"/>
      <c r="J155" s="232"/>
      <c r="K155" s="233"/>
      <c r="L155" s="186"/>
      <c r="M155" s="186"/>
      <c r="N155" s="186"/>
      <c r="O155" s="234"/>
      <c r="P155" s="186"/>
      <c r="Q155" s="234"/>
      <c r="R155" s="234"/>
      <c r="S155" s="186"/>
      <c r="T155" s="186"/>
      <c r="U155" s="186"/>
      <c r="V155" s="186"/>
      <c r="W155" s="186"/>
      <c r="X155" s="186"/>
      <c r="Y155" s="186"/>
      <c r="Z155" s="186"/>
    </row>
    <row r="156" spans="1:26" ht="12.75" customHeight="1">
      <c r="A156" s="186"/>
      <c r="B156" s="189"/>
      <c r="C156" s="189"/>
      <c r="D156" s="230"/>
      <c r="E156" s="230"/>
      <c r="F156" s="231"/>
      <c r="G156" s="189"/>
      <c r="H156" s="230"/>
      <c r="I156" s="230"/>
      <c r="J156" s="232"/>
      <c r="K156" s="233"/>
      <c r="L156" s="186"/>
      <c r="M156" s="186"/>
      <c r="N156" s="186"/>
      <c r="O156" s="234"/>
      <c r="P156" s="186"/>
      <c r="Q156" s="234"/>
      <c r="R156" s="234"/>
      <c r="S156" s="186"/>
      <c r="T156" s="186"/>
      <c r="U156" s="186"/>
      <c r="V156" s="186"/>
      <c r="W156" s="186"/>
      <c r="X156" s="186"/>
      <c r="Y156" s="186"/>
      <c r="Z156" s="186"/>
    </row>
    <row r="157" spans="1:26" ht="12.75" customHeight="1">
      <c r="A157" s="186"/>
      <c r="B157" s="189"/>
      <c r="C157" s="189"/>
      <c r="D157" s="230"/>
      <c r="E157" s="230"/>
      <c r="F157" s="231"/>
      <c r="G157" s="189"/>
      <c r="H157" s="230"/>
      <c r="I157" s="230"/>
      <c r="J157" s="232"/>
      <c r="K157" s="233"/>
      <c r="L157" s="186"/>
      <c r="M157" s="186"/>
      <c r="N157" s="186"/>
      <c r="O157" s="234"/>
      <c r="P157" s="186"/>
      <c r="Q157" s="234"/>
      <c r="R157" s="234"/>
      <c r="S157" s="186"/>
      <c r="T157" s="186"/>
      <c r="U157" s="186"/>
      <c r="V157" s="186"/>
      <c r="W157" s="186"/>
      <c r="X157" s="186"/>
      <c r="Y157" s="186"/>
      <c r="Z157" s="186"/>
    </row>
    <row r="158" spans="1:26" ht="12.75" customHeight="1">
      <c r="A158" s="186"/>
      <c r="B158" s="189"/>
      <c r="C158" s="189"/>
      <c r="D158" s="230"/>
      <c r="E158" s="230"/>
      <c r="F158" s="231"/>
      <c r="G158" s="189"/>
      <c r="H158" s="230"/>
      <c r="I158" s="230"/>
      <c r="J158" s="232"/>
      <c r="K158" s="233"/>
      <c r="L158" s="186"/>
      <c r="M158" s="186"/>
      <c r="N158" s="186"/>
      <c r="O158" s="234"/>
      <c r="P158" s="186"/>
      <c r="Q158" s="234"/>
      <c r="R158" s="234"/>
      <c r="S158" s="186"/>
      <c r="T158" s="186"/>
      <c r="U158" s="186"/>
      <c r="V158" s="186"/>
      <c r="W158" s="186"/>
      <c r="X158" s="186"/>
      <c r="Y158" s="186"/>
      <c r="Z158" s="186"/>
    </row>
    <row r="159" spans="1:26" ht="12.75" customHeight="1">
      <c r="A159" s="186"/>
      <c r="B159" s="189"/>
      <c r="C159" s="189"/>
      <c r="D159" s="230"/>
      <c r="E159" s="230"/>
      <c r="F159" s="231"/>
      <c r="G159" s="189"/>
      <c r="H159" s="230"/>
      <c r="I159" s="230"/>
      <c r="J159" s="232"/>
      <c r="K159" s="233"/>
      <c r="L159" s="186"/>
      <c r="M159" s="186"/>
      <c r="N159" s="186"/>
      <c r="O159" s="234"/>
      <c r="P159" s="186"/>
      <c r="Q159" s="234"/>
      <c r="R159" s="234"/>
      <c r="S159" s="186"/>
      <c r="T159" s="186"/>
      <c r="U159" s="186"/>
      <c r="V159" s="186"/>
      <c r="W159" s="186"/>
      <c r="X159" s="186"/>
      <c r="Y159" s="186"/>
      <c r="Z159" s="186"/>
    </row>
    <row r="160" spans="1:26" ht="12.75" customHeight="1">
      <c r="A160" s="186"/>
      <c r="B160" s="189"/>
      <c r="C160" s="189"/>
      <c r="D160" s="230"/>
      <c r="E160" s="230"/>
      <c r="F160" s="231"/>
      <c r="G160" s="189"/>
      <c r="H160" s="230"/>
      <c r="I160" s="230"/>
      <c r="J160" s="232"/>
      <c r="K160" s="233"/>
      <c r="L160" s="186"/>
      <c r="M160" s="186"/>
      <c r="N160" s="186"/>
      <c r="O160" s="234"/>
      <c r="P160" s="186"/>
      <c r="Q160" s="234"/>
      <c r="R160" s="234"/>
      <c r="S160" s="186"/>
      <c r="T160" s="186"/>
      <c r="U160" s="186"/>
      <c r="V160" s="186"/>
      <c r="W160" s="186"/>
      <c r="X160" s="186"/>
      <c r="Y160" s="186"/>
      <c r="Z160" s="186"/>
    </row>
    <row r="161" spans="1:26" ht="12.75" customHeight="1">
      <c r="A161" s="186"/>
      <c r="B161" s="189"/>
      <c r="C161" s="189"/>
      <c r="D161" s="230"/>
      <c r="E161" s="230"/>
      <c r="F161" s="231"/>
      <c r="G161" s="189"/>
      <c r="H161" s="230"/>
      <c r="I161" s="230"/>
      <c r="J161" s="232"/>
      <c r="K161" s="233"/>
      <c r="L161" s="186"/>
      <c r="M161" s="186"/>
      <c r="N161" s="186"/>
      <c r="O161" s="234"/>
      <c r="P161" s="186"/>
      <c r="Q161" s="234"/>
      <c r="R161" s="234"/>
      <c r="S161" s="186"/>
      <c r="T161" s="186"/>
      <c r="U161" s="186"/>
      <c r="V161" s="186"/>
      <c r="W161" s="186"/>
      <c r="X161" s="186"/>
      <c r="Y161" s="186"/>
      <c r="Z161" s="186"/>
    </row>
    <row r="162" spans="1:26" ht="12.75" customHeight="1">
      <c r="A162" s="186"/>
      <c r="B162" s="189"/>
      <c r="C162" s="189"/>
      <c r="D162" s="230"/>
      <c r="E162" s="230"/>
      <c r="F162" s="231"/>
      <c r="G162" s="189"/>
      <c r="H162" s="230"/>
      <c r="I162" s="230"/>
      <c r="J162" s="232"/>
      <c r="K162" s="233"/>
      <c r="L162" s="186"/>
      <c r="M162" s="186"/>
      <c r="N162" s="186"/>
      <c r="O162" s="234"/>
      <c r="P162" s="186"/>
      <c r="Q162" s="234"/>
      <c r="R162" s="234"/>
      <c r="S162" s="186"/>
      <c r="T162" s="186"/>
      <c r="U162" s="186"/>
      <c r="V162" s="186"/>
      <c r="W162" s="186"/>
      <c r="X162" s="186"/>
      <c r="Y162" s="186"/>
      <c r="Z162" s="186"/>
    </row>
    <row r="163" spans="1:26" ht="12.75" customHeight="1">
      <c r="A163" s="186"/>
      <c r="B163" s="189"/>
      <c r="C163" s="189"/>
      <c r="D163" s="230"/>
      <c r="E163" s="230"/>
      <c r="F163" s="231"/>
      <c r="G163" s="189"/>
      <c r="H163" s="230"/>
      <c r="I163" s="230"/>
      <c r="J163" s="232"/>
      <c r="K163" s="233"/>
      <c r="L163" s="186"/>
      <c r="M163" s="186"/>
      <c r="N163" s="186"/>
      <c r="O163" s="234"/>
      <c r="P163" s="186"/>
      <c r="Q163" s="234"/>
      <c r="R163" s="234"/>
      <c r="S163" s="186"/>
      <c r="T163" s="186"/>
      <c r="U163" s="186"/>
      <c r="V163" s="186"/>
      <c r="W163" s="186"/>
      <c r="X163" s="186"/>
      <c r="Y163" s="186"/>
      <c r="Z163" s="186"/>
    </row>
    <row r="164" spans="1:26" ht="12.75" customHeight="1">
      <c r="A164" s="186"/>
      <c r="B164" s="189"/>
      <c r="C164" s="189"/>
      <c r="D164" s="230"/>
      <c r="E164" s="230"/>
      <c r="F164" s="231"/>
      <c r="G164" s="189"/>
      <c r="H164" s="230"/>
      <c r="I164" s="230"/>
      <c r="J164" s="232"/>
      <c r="K164" s="233"/>
      <c r="L164" s="186"/>
      <c r="M164" s="186"/>
      <c r="N164" s="186"/>
      <c r="O164" s="234"/>
      <c r="P164" s="186"/>
      <c r="Q164" s="234"/>
      <c r="R164" s="234"/>
      <c r="S164" s="186"/>
      <c r="T164" s="186"/>
      <c r="U164" s="186"/>
      <c r="V164" s="186"/>
      <c r="W164" s="186"/>
      <c r="X164" s="186"/>
      <c r="Y164" s="186"/>
      <c r="Z164" s="186"/>
    </row>
    <row r="165" spans="1:26" ht="12.75" customHeight="1">
      <c r="A165" s="186"/>
      <c r="B165" s="189"/>
      <c r="C165" s="189"/>
      <c r="D165" s="230"/>
      <c r="E165" s="230"/>
      <c r="F165" s="231"/>
      <c r="G165" s="189"/>
      <c r="H165" s="230"/>
      <c r="I165" s="230"/>
      <c r="J165" s="232"/>
      <c r="K165" s="233"/>
      <c r="L165" s="186"/>
      <c r="M165" s="186"/>
      <c r="N165" s="186"/>
      <c r="O165" s="234"/>
      <c r="P165" s="186"/>
      <c r="Q165" s="234"/>
      <c r="R165" s="234"/>
      <c r="S165" s="186"/>
      <c r="T165" s="186"/>
      <c r="U165" s="186"/>
      <c r="V165" s="186"/>
      <c r="W165" s="186"/>
      <c r="X165" s="186"/>
      <c r="Y165" s="186"/>
      <c r="Z165" s="186"/>
    </row>
    <row r="166" spans="1:26" ht="12.75" customHeight="1">
      <c r="A166" s="186"/>
      <c r="B166" s="189"/>
      <c r="C166" s="189"/>
      <c r="D166" s="230"/>
      <c r="E166" s="230"/>
      <c r="F166" s="231"/>
      <c r="G166" s="189"/>
      <c r="H166" s="230"/>
      <c r="I166" s="230"/>
      <c r="J166" s="232"/>
      <c r="K166" s="233"/>
      <c r="L166" s="186"/>
      <c r="M166" s="186"/>
      <c r="N166" s="186"/>
      <c r="O166" s="234"/>
      <c r="P166" s="186"/>
      <c r="Q166" s="234"/>
      <c r="R166" s="234"/>
      <c r="S166" s="186"/>
      <c r="T166" s="186"/>
      <c r="U166" s="186"/>
      <c r="V166" s="186"/>
      <c r="W166" s="186"/>
      <c r="X166" s="186"/>
      <c r="Y166" s="186"/>
      <c r="Z166" s="186"/>
    </row>
    <row r="167" spans="1:26" ht="12.75" customHeight="1">
      <c r="A167" s="186"/>
      <c r="B167" s="189"/>
      <c r="C167" s="189"/>
      <c r="D167" s="230"/>
      <c r="E167" s="230"/>
      <c r="F167" s="231"/>
      <c r="G167" s="189"/>
      <c r="H167" s="230"/>
      <c r="I167" s="230"/>
      <c r="J167" s="232"/>
      <c r="K167" s="233"/>
      <c r="L167" s="186"/>
      <c r="M167" s="186"/>
      <c r="N167" s="186"/>
      <c r="O167" s="234"/>
      <c r="P167" s="186"/>
      <c r="Q167" s="234"/>
      <c r="R167" s="234"/>
      <c r="S167" s="186"/>
      <c r="T167" s="186"/>
      <c r="U167" s="186"/>
      <c r="V167" s="186"/>
      <c r="W167" s="186"/>
      <c r="X167" s="186"/>
      <c r="Y167" s="186"/>
      <c r="Z167" s="186"/>
    </row>
    <row r="168" spans="1:26" ht="12.75" customHeight="1">
      <c r="A168" s="186"/>
      <c r="B168" s="189"/>
      <c r="C168" s="189"/>
      <c r="D168" s="230"/>
      <c r="E168" s="230"/>
      <c r="F168" s="231"/>
      <c r="G168" s="189"/>
      <c r="H168" s="230"/>
      <c r="I168" s="230"/>
      <c r="J168" s="232"/>
      <c r="K168" s="233"/>
      <c r="L168" s="186"/>
      <c r="M168" s="186"/>
      <c r="N168" s="186"/>
      <c r="O168" s="234"/>
      <c r="P168" s="186"/>
      <c r="Q168" s="234"/>
      <c r="R168" s="234"/>
      <c r="S168" s="186"/>
      <c r="T168" s="186"/>
      <c r="U168" s="186"/>
      <c r="V168" s="186"/>
      <c r="W168" s="186"/>
      <c r="X168" s="186"/>
      <c r="Y168" s="186"/>
      <c r="Z168" s="186"/>
    </row>
    <row r="169" spans="1:26" ht="12.75" customHeight="1">
      <c r="A169" s="186"/>
      <c r="B169" s="189"/>
      <c r="C169" s="189"/>
      <c r="D169" s="230"/>
      <c r="E169" s="230"/>
      <c r="F169" s="231"/>
      <c r="G169" s="189"/>
      <c r="H169" s="230"/>
      <c r="I169" s="230"/>
      <c r="J169" s="232"/>
      <c r="K169" s="233"/>
      <c r="L169" s="186"/>
      <c r="M169" s="186"/>
      <c r="N169" s="186"/>
      <c r="O169" s="234"/>
      <c r="P169" s="186"/>
      <c r="Q169" s="234"/>
      <c r="R169" s="234"/>
      <c r="S169" s="186"/>
      <c r="T169" s="186"/>
      <c r="U169" s="186"/>
      <c r="V169" s="186"/>
      <c r="W169" s="186"/>
      <c r="X169" s="186"/>
      <c r="Y169" s="186"/>
      <c r="Z169" s="186"/>
    </row>
    <row r="170" spans="1:26" ht="12.75" customHeight="1">
      <c r="A170" s="186"/>
      <c r="B170" s="189"/>
      <c r="C170" s="189"/>
      <c r="D170" s="230"/>
      <c r="E170" s="230"/>
      <c r="F170" s="231"/>
      <c r="G170" s="189"/>
      <c r="H170" s="230"/>
      <c r="I170" s="230"/>
      <c r="J170" s="232"/>
      <c r="K170" s="233"/>
      <c r="L170" s="186"/>
      <c r="M170" s="186"/>
      <c r="N170" s="186"/>
      <c r="O170" s="234"/>
      <c r="P170" s="186"/>
      <c r="Q170" s="234"/>
      <c r="R170" s="234"/>
      <c r="S170" s="186"/>
      <c r="T170" s="186"/>
      <c r="U170" s="186"/>
      <c r="V170" s="186"/>
      <c r="W170" s="186"/>
      <c r="X170" s="186"/>
      <c r="Y170" s="186"/>
      <c r="Z170" s="186"/>
    </row>
    <row r="171" spans="1:26" ht="12.75" customHeight="1">
      <c r="A171" s="186"/>
      <c r="B171" s="189"/>
      <c r="C171" s="189"/>
      <c r="D171" s="230"/>
      <c r="E171" s="230"/>
      <c r="F171" s="231"/>
      <c r="G171" s="189"/>
      <c r="H171" s="230"/>
      <c r="I171" s="230"/>
      <c r="J171" s="232"/>
      <c r="K171" s="233"/>
      <c r="L171" s="186"/>
      <c r="M171" s="186"/>
      <c r="N171" s="186"/>
      <c r="O171" s="234"/>
      <c r="P171" s="186"/>
      <c r="Q171" s="234"/>
      <c r="R171" s="234"/>
      <c r="S171" s="186"/>
      <c r="T171" s="186"/>
      <c r="U171" s="186"/>
      <c r="V171" s="186"/>
      <c r="W171" s="186"/>
      <c r="X171" s="186"/>
      <c r="Y171" s="186"/>
      <c r="Z171" s="186"/>
    </row>
    <row r="172" spans="1:26" ht="12.75" customHeight="1">
      <c r="A172" s="186"/>
      <c r="B172" s="189"/>
      <c r="C172" s="189"/>
      <c r="D172" s="230"/>
      <c r="E172" s="230"/>
      <c r="F172" s="231"/>
      <c r="G172" s="189"/>
      <c r="H172" s="230"/>
      <c r="I172" s="230"/>
      <c r="J172" s="232"/>
      <c r="K172" s="233"/>
      <c r="L172" s="186"/>
      <c r="M172" s="186"/>
      <c r="N172" s="186"/>
      <c r="O172" s="234"/>
      <c r="P172" s="186"/>
      <c r="Q172" s="234"/>
      <c r="R172" s="234"/>
      <c r="S172" s="186"/>
      <c r="T172" s="186"/>
      <c r="U172" s="186"/>
      <c r="V172" s="186"/>
      <c r="W172" s="186"/>
      <c r="X172" s="186"/>
      <c r="Y172" s="186"/>
      <c r="Z172" s="186"/>
    </row>
    <row r="173" spans="1:26" ht="12.75" customHeight="1">
      <c r="A173" s="186"/>
      <c r="B173" s="189"/>
      <c r="C173" s="189"/>
      <c r="D173" s="230"/>
      <c r="E173" s="230"/>
      <c r="F173" s="231"/>
      <c r="G173" s="189"/>
      <c r="H173" s="230"/>
      <c r="I173" s="230"/>
      <c r="J173" s="232"/>
      <c r="K173" s="233"/>
      <c r="L173" s="186"/>
      <c r="M173" s="186"/>
      <c r="N173" s="186"/>
      <c r="O173" s="234"/>
      <c r="P173" s="186"/>
      <c r="Q173" s="234"/>
      <c r="R173" s="234"/>
      <c r="S173" s="186"/>
      <c r="T173" s="186"/>
      <c r="U173" s="186"/>
      <c r="V173" s="186"/>
      <c r="W173" s="186"/>
      <c r="X173" s="186"/>
      <c r="Y173" s="186"/>
      <c r="Z173" s="186"/>
    </row>
    <row r="174" spans="1:26" ht="12.75" customHeight="1">
      <c r="A174" s="186"/>
      <c r="B174" s="189"/>
      <c r="C174" s="189"/>
      <c r="D174" s="230"/>
      <c r="E174" s="230"/>
      <c r="F174" s="231"/>
      <c r="G174" s="189"/>
      <c r="H174" s="230"/>
      <c r="I174" s="230"/>
      <c r="J174" s="232"/>
      <c r="K174" s="233"/>
      <c r="L174" s="186"/>
      <c r="M174" s="186"/>
      <c r="N174" s="186"/>
      <c r="O174" s="234"/>
      <c r="P174" s="186"/>
      <c r="Q174" s="234"/>
      <c r="R174" s="234"/>
      <c r="S174" s="186"/>
      <c r="T174" s="186"/>
      <c r="U174" s="186"/>
      <c r="V174" s="186"/>
      <c r="W174" s="186"/>
      <c r="X174" s="186"/>
      <c r="Y174" s="186"/>
      <c r="Z174" s="186"/>
    </row>
    <row r="175" spans="1:26" ht="12.75" customHeight="1">
      <c r="A175" s="186"/>
      <c r="B175" s="189"/>
      <c r="C175" s="189"/>
      <c r="D175" s="230"/>
      <c r="E175" s="230"/>
      <c r="F175" s="231"/>
      <c r="G175" s="189"/>
      <c r="H175" s="230"/>
      <c r="I175" s="230"/>
      <c r="J175" s="232"/>
      <c r="K175" s="233"/>
      <c r="L175" s="186"/>
      <c r="M175" s="186"/>
      <c r="N175" s="186"/>
      <c r="O175" s="234"/>
      <c r="P175" s="186"/>
      <c r="Q175" s="234"/>
      <c r="R175" s="234"/>
      <c r="S175" s="186"/>
      <c r="T175" s="186"/>
      <c r="U175" s="186"/>
      <c r="V175" s="186"/>
      <c r="W175" s="186"/>
      <c r="X175" s="186"/>
      <c r="Y175" s="186"/>
      <c r="Z175" s="186"/>
    </row>
    <row r="176" spans="1:26" ht="12.75" customHeight="1">
      <c r="A176" s="186"/>
      <c r="B176" s="189"/>
      <c r="C176" s="189"/>
      <c r="D176" s="230"/>
      <c r="E176" s="230"/>
      <c r="F176" s="231"/>
      <c r="G176" s="189"/>
      <c r="H176" s="230"/>
      <c r="I176" s="230"/>
      <c r="J176" s="232"/>
      <c r="K176" s="233"/>
      <c r="L176" s="186"/>
      <c r="M176" s="186"/>
      <c r="N176" s="186"/>
      <c r="O176" s="234"/>
      <c r="P176" s="186"/>
      <c r="Q176" s="234"/>
      <c r="R176" s="234"/>
      <c r="S176" s="186"/>
      <c r="T176" s="186"/>
      <c r="U176" s="186"/>
      <c r="V176" s="186"/>
      <c r="W176" s="186"/>
      <c r="X176" s="186"/>
      <c r="Y176" s="186"/>
      <c r="Z176" s="186"/>
    </row>
    <row r="177" spans="1:26" ht="12.75" customHeight="1">
      <c r="A177" s="186"/>
      <c r="B177" s="189"/>
      <c r="C177" s="189"/>
      <c r="D177" s="230"/>
      <c r="E177" s="230"/>
      <c r="F177" s="231"/>
      <c r="G177" s="189"/>
      <c r="H177" s="230"/>
      <c r="I177" s="230"/>
      <c r="J177" s="232"/>
      <c r="K177" s="233"/>
      <c r="L177" s="186"/>
      <c r="M177" s="186"/>
      <c r="N177" s="186"/>
      <c r="O177" s="234"/>
      <c r="P177" s="186"/>
      <c r="Q177" s="234"/>
      <c r="R177" s="234"/>
      <c r="S177" s="186"/>
      <c r="T177" s="186"/>
      <c r="U177" s="186"/>
      <c r="V177" s="186"/>
      <c r="W177" s="186"/>
      <c r="X177" s="186"/>
      <c r="Y177" s="186"/>
      <c r="Z177" s="186"/>
    </row>
    <row r="178" spans="1:26" ht="12.75" customHeight="1">
      <c r="A178" s="186"/>
      <c r="B178" s="189"/>
      <c r="C178" s="189"/>
      <c r="D178" s="230"/>
      <c r="E178" s="230"/>
      <c r="F178" s="231"/>
      <c r="G178" s="189"/>
      <c r="H178" s="230"/>
      <c r="I178" s="230"/>
      <c r="J178" s="232"/>
      <c r="K178" s="233"/>
      <c r="L178" s="186"/>
      <c r="M178" s="186"/>
      <c r="N178" s="186"/>
      <c r="O178" s="234"/>
      <c r="P178" s="186"/>
      <c r="Q178" s="234"/>
      <c r="R178" s="234"/>
      <c r="S178" s="186"/>
      <c r="T178" s="186"/>
      <c r="U178" s="186"/>
      <c r="V178" s="186"/>
      <c r="W178" s="186"/>
      <c r="X178" s="186"/>
      <c r="Y178" s="186"/>
      <c r="Z178" s="186"/>
    </row>
    <row r="179" spans="1:26" ht="12.75" customHeight="1">
      <c r="A179" s="186"/>
      <c r="B179" s="189"/>
      <c r="C179" s="189"/>
      <c r="D179" s="230"/>
      <c r="E179" s="230"/>
      <c r="F179" s="231"/>
      <c r="G179" s="189"/>
      <c r="H179" s="230"/>
      <c r="I179" s="230"/>
      <c r="J179" s="232"/>
      <c r="K179" s="233"/>
      <c r="L179" s="186"/>
      <c r="M179" s="186"/>
      <c r="N179" s="186"/>
      <c r="O179" s="234"/>
      <c r="P179" s="186"/>
      <c r="Q179" s="234"/>
      <c r="R179" s="234"/>
      <c r="S179" s="186"/>
      <c r="T179" s="186"/>
      <c r="U179" s="186"/>
      <c r="V179" s="186"/>
      <c r="W179" s="186"/>
      <c r="X179" s="186"/>
      <c r="Y179" s="186"/>
      <c r="Z179" s="186"/>
    </row>
    <row r="180" spans="1:26" ht="12.75" customHeight="1">
      <c r="A180" s="186"/>
      <c r="B180" s="189"/>
      <c r="C180" s="189"/>
      <c r="D180" s="230"/>
      <c r="E180" s="230"/>
      <c r="F180" s="231"/>
      <c r="G180" s="189"/>
      <c r="H180" s="230"/>
      <c r="I180" s="230"/>
      <c r="J180" s="232"/>
      <c r="K180" s="233"/>
      <c r="L180" s="186"/>
      <c r="M180" s="186"/>
      <c r="N180" s="186"/>
      <c r="O180" s="234"/>
      <c r="P180" s="186"/>
      <c r="Q180" s="234"/>
      <c r="R180" s="234"/>
      <c r="S180" s="186"/>
      <c r="T180" s="186"/>
      <c r="U180" s="186"/>
      <c r="V180" s="186"/>
      <c r="W180" s="186"/>
      <c r="X180" s="186"/>
      <c r="Y180" s="186"/>
      <c r="Z180" s="186"/>
    </row>
    <row r="181" spans="1:26" ht="12.75" customHeight="1">
      <c r="A181" s="186"/>
      <c r="B181" s="189"/>
      <c r="C181" s="189"/>
      <c r="D181" s="230"/>
      <c r="E181" s="230"/>
      <c r="F181" s="231"/>
      <c r="G181" s="189"/>
      <c r="H181" s="230"/>
      <c r="I181" s="230"/>
      <c r="J181" s="232"/>
      <c r="K181" s="233"/>
      <c r="L181" s="186"/>
      <c r="M181" s="186"/>
      <c r="N181" s="186"/>
      <c r="O181" s="234"/>
      <c r="P181" s="186"/>
      <c r="Q181" s="234"/>
      <c r="R181" s="234"/>
      <c r="S181" s="186"/>
      <c r="T181" s="186"/>
      <c r="U181" s="186"/>
      <c r="V181" s="186"/>
      <c r="W181" s="186"/>
      <c r="X181" s="186"/>
      <c r="Y181" s="186"/>
      <c r="Z181" s="186"/>
    </row>
    <row r="182" spans="1:26" ht="12.75" customHeight="1">
      <c r="A182" s="186"/>
      <c r="B182" s="189"/>
      <c r="C182" s="189"/>
      <c r="D182" s="230"/>
      <c r="E182" s="230"/>
      <c r="F182" s="231"/>
      <c r="G182" s="189"/>
      <c r="H182" s="230"/>
      <c r="I182" s="230"/>
      <c r="J182" s="232"/>
      <c r="K182" s="233"/>
      <c r="L182" s="186"/>
      <c r="M182" s="186"/>
      <c r="N182" s="186"/>
      <c r="O182" s="234"/>
      <c r="P182" s="186"/>
      <c r="Q182" s="234"/>
      <c r="R182" s="234"/>
      <c r="S182" s="186"/>
      <c r="T182" s="186"/>
      <c r="U182" s="186"/>
      <c r="V182" s="186"/>
      <c r="W182" s="186"/>
      <c r="X182" s="186"/>
      <c r="Y182" s="186"/>
      <c r="Z182" s="186"/>
    </row>
    <row r="183" spans="1:26" ht="12.75" customHeight="1">
      <c r="A183" s="186"/>
      <c r="B183" s="189"/>
      <c r="C183" s="189"/>
      <c r="D183" s="230"/>
      <c r="E183" s="230"/>
      <c r="F183" s="231"/>
      <c r="G183" s="189"/>
      <c r="H183" s="230"/>
      <c r="I183" s="230"/>
      <c r="J183" s="232"/>
      <c r="K183" s="233"/>
      <c r="L183" s="186"/>
      <c r="M183" s="186"/>
      <c r="N183" s="186"/>
      <c r="O183" s="234"/>
      <c r="P183" s="186"/>
      <c r="Q183" s="234"/>
      <c r="R183" s="234"/>
      <c r="S183" s="186"/>
      <c r="T183" s="186"/>
      <c r="U183" s="186"/>
      <c r="V183" s="186"/>
      <c r="W183" s="186"/>
      <c r="X183" s="186"/>
      <c r="Y183" s="186"/>
      <c r="Z183" s="186"/>
    </row>
    <row r="184" spans="1:26" ht="12.75" customHeight="1">
      <c r="A184" s="186"/>
      <c r="B184" s="189"/>
      <c r="C184" s="189"/>
      <c r="D184" s="230"/>
      <c r="E184" s="230"/>
      <c r="F184" s="231"/>
      <c r="G184" s="189"/>
      <c r="H184" s="230"/>
      <c r="I184" s="230"/>
      <c r="J184" s="232"/>
      <c r="K184" s="233"/>
      <c r="L184" s="186"/>
      <c r="M184" s="186"/>
      <c r="N184" s="186"/>
      <c r="O184" s="234"/>
      <c r="P184" s="186"/>
      <c r="Q184" s="234"/>
      <c r="R184" s="234"/>
      <c r="S184" s="186"/>
      <c r="T184" s="186"/>
      <c r="U184" s="186"/>
      <c r="V184" s="186"/>
      <c r="W184" s="186"/>
      <c r="X184" s="186"/>
      <c r="Y184" s="186"/>
      <c r="Z184" s="186"/>
    </row>
    <row r="185" spans="1:26" ht="12.75" customHeight="1">
      <c r="A185" s="186"/>
      <c r="B185" s="189"/>
      <c r="C185" s="189"/>
      <c r="D185" s="230"/>
      <c r="E185" s="230"/>
      <c r="F185" s="231"/>
      <c r="G185" s="189"/>
      <c r="H185" s="230"/>
      <c r="I185" s="230"/>
      <c r="J185" s="232"/>
      <c r="K185" s="233"/>
      <c r="L185" s="186"/>
      <c r="M185" s="186"/>
      <c r="N185" s="186"/>
      <c r="O185" s="234"/>
      <c r="P185" s="186"/>
      <c r="Q185" s="234"/>
      <c r="R185" s="234"/>
      <c r="S185" s="186"/>
      <c r="T185" s="186"/>
      <c r="U185" s="186"/>
      <c r="V185" s="186"/>
      <c r="W185" s="186"/>
      <c r="X185" s="186"/>
      <c r="Y185" s="186"/>
      <c r="Z185" s="186"/>
    </row>
    <row r="186" spans="1:26" ht="12.75" customHeight="1">
      <c r="A186" s="186"/>
      <c r="B186" s="189"/>
      <c r="C186" s="189"/>
      <c r="D186" s="230"/>
      <c r="E186" s="230"/>
      <c r="F186" s="231"/>
      <c r="G186" s="189"/>
      <c r="H186" s="230"/>
      <c r="I186" s="230"/>
      <c r="J186" s="232"/>
      <c r="K186" s="233"/>
      <c r="L186" s="186"/>
      <c r="M186" s="186"/>
      <c r="N186" s="186"/>
      <c r="O186" s="234"/>
      <c r="P186" s="186"/>
      <c r="Q186" s="234"/>
      <c r="R186" s="234"/>
      <c r="S186" s="186"/>
      <c r="T186" s="186"/>
      <c r="U186" s="186"/>
      <c r="V186" s="186"/>
      <c r="W186" s="186"/>
      <c r="X186" s="186"/>
      <c r="Y186" s="186"/>
      <c r="Z186" s="186"/>
    </row>
    <row r="187" spans="1:26" ht="12.75" customHeight="1">
      <c r="A187" s="186"/>
      <c r="B187" s="189"/>
      <c r="C187" s="189"/>
      <c r="D187" s="230"/>
      <c r="E187" s="230"/>
      <c r="F187" s="231"/>
      <c r="G187" s="189"/>
      <c r="H187" s="230"/>
      <c r="I187" s="230"/>
      <c r="J187" s="232"/>
      <c r="K187" s="233"/>
      <c r="L187" s="186"/>
      <c r="M187" s="186"/>
      <c r="N187" s="186"/>
      <c r="O187" s="234"/>
      <c r="P187" s="186"/>
      <c r="Q187" s="234"/>
      <c r="R187" s="234"/>
      <c r="S187" s="186"/>
      <c r="T187" s="186"/>
      <c r="U187" s="186"/>
      <c r="V187" s="186"/>
      <c r="W187" s="186"/>
      <c r="X187" s="186"/>
      <c r="Y187" s="186"/>
      <c r="Z187" s="186"/>
    </row>
    <row r="188" spans="1:26" ht="12.75" customHeight="1">
      <c r="A188" s="186"/>
      <c r="B188" s="189"/>
      <c r="C188" s="189"/>
      <c r="D188" s="230"/>
      <c r="E188" s="230"/>
      <c r="F188" s="231"/>
      <c r="G188" s="189"/>
      <c r="H188" s="230"/>
      <c r="I188" s="230"/>
      <c r="J188" s="232"/>
      <c r="K188" s="233"/>
      <c r="L188" s="186"/>
      <c r="M188" s="186"/>
      <c r="N188" s="186"/>
      <c r="O188" s="234"/>
      <c r="P188" s="186"/>
      <c r="Q188" s="234"/>
      <c r="R188" s="234"/>
      <c r="S188" s="186"/>
      <c r="T188" s="186"/>
      <c r="U188" s="186"/>
      <c r="V188" s="186"/>
      <c r="W188" s="186"/>
      <c r="X188" s="186"/>
      <c r="Y188" s="186"/>
      <c r="Z188" s="186"/>
    </row>
    <row r="189" spans="1:26" ht="12.75" customHeight="1">
      <c r="A189" s="186"/>
      <c r="B189" s="189"/>
      <c r="C189" s="189"/>
      <c r="D189" s="230"/>
      <c r="E189" s="230"/>
      <c r="F189" s="231"/>
      <c r="G189" s="189"/>
      <c r="H189" s="230"/>
      <c r="I189" s="230"/>
      <c r="J189" s="232"/>
      <c r="K189" s="233"/>
      <c r="L189" s="186"/>
      <c r="M189" s="186"/>
      <c r="N189" s="186"/>
      <c r="O189" s="234"/>
      <c r="P189" s="186"/>
      <c r="Q189" s="234"/>
      <c r="R189" s="234"/>
      <c r="S189" s="186"/>
      <c r="T189" s="186"/>
      <c r="U189" s="186"/>
      <c r="V189" s="186"/>
      <c r="W189" s="186"/>
      <c r="X189" s="186"/>
      <c r="Y189" s="186"/>
      <c r="Z189" s="186"/>
    </row>
    <row r="190" spans="1:26" ht="12.75" customHeight="1">
      <c r="A190" s="186"/>
      <c r="B190" s="189"/>
      <c r="C190" s="189"/>
      <c r="D190" s="230"/>
      <c r="E190" s="230"/>
      <c r="F190" s="231"/>
      <c r="G190" s="189"/>
      <c r="H190" s="230"/>
      <c r="I190" s="230"/>
      <c r="J190" s="232"/>
      <c r="K190" s="233"/>
      <c r="L190" s="186"/>
      <c r="M190" s="186"/>
      <c r="N190" s="186"/>
      <c r="O190" s="234"/>
      <c r="P190" s="186"/>
      <c r="Q190" s="234"/>
      <c r="R190" s="234"/>
      <c r="S190" s="186"/>
      <c r="T190" s="186"/>
      <c r="U190" s="186"/>
      <c r="V190" s="186"/>
      <c r="W190" s="186"/>
      <c r="X190" s="186"/>
      <c r="Y190" s="186"/>
      <c r="Z190" s="186"/>
    </row>
    <row r="191" spans="1:26" ht="12.75" customHeight="1">
      <c r="A191" s="186"/>
      <c r="B191" s="189"/>
      <c r="C191" s="189"/>
      <c r="D191" s="230"/>
      <c r="E191" s="230"/>
      <c r="F191" s="231"/>
      <c r="G191" s="189"/>
      <c r="H191" s="230"/>
      <c r="I191" s="230"/>
      <c r="J191" s="232"/>
      <c r="K191" s="233"/>
      <c r="L191" s="186"/>
      <c r="M191" s="186"/>
      <c r="N191" s="186"/>
      <c r="O191" s="234"/>
      <c r="P191" s="186"/>
      <c r="Q191" s="234"/>
      <c r="R191" s="234"/>
      <c r="S191" s="186"/>
      <c r="T191" s="186"/>
      <c r="U191" s="186"/>
      <c r="V191" s="186"/>
      <c r="W191" s="186"/>
      <c r="X191" s="186"/>
      <c r="Y191" s="186"/>
      <c r="Z191" s="186"/>
    </row>
    <row r="192" spans="1:26" ht="12.75" customHeight="1">
      <c r="A192" s="186"/>
      <c r="B192" s="189"/>
      <c r="C192" s="189"/>
      <c r="D192" s="230"/>
      <c r="E192" s="230"/>
      <c r="F192" s="231"/>
      <c r="G192" s="189"/>
      <c r="H192" s="230"/>
      <c r="I192" s="230"/>
      <c r="J192" s="232"/>
      <c r="K192" s="233"/>
      <c r="L192" s="186"/>
      <c r="M192" s="186"/>
      <c r="N192" s="186"/>
      <c r="O192" s="234"/>
      <c r="P192" s="186"/>
      <c r="Q192" s="234"/>
      <c r="R192" s="234"/>
      <c r="S192" s="186"/>
      <c r="T192" s="186"/>
      <c r="U192" s="186"/>
      <c r="V192" s="186"/>
      <c r="W192" s="186"/>
      <c r="X192" s="186"/>
      <c r="Y192" s="186"/>
      <c r="Z192" s="186"/>
    </row>
    <row r="193" spans="1:26" ht="12.75" customHeight="1">
      <c r="A193" s="186"/>
      <c r="B193" s="189"/>
      <c r="C193" s="189"/>
      <c r="D193" s="230"/>
      <c r="E193" s="230"/>
      <c r="F193" s="231"/>
      <c r="G193" s="189"/>
      <c r="H193" s="230"/>
      <c r="I193" s="230"/>
      <c r="J193" s="232"/>
      <c r="K193" s="233"/>
      <c r="L193" s="186"/>
      <c r="M193" s="186"/>
      <c r="N193" s="186"/>
      <c r="O193" s="234"/>
      <c r="P193" s="186"/>
      <c r="Q193" s="234"/>
      <c r="R193" s="234"/>
      <c r="S193" s="186"/>
      <c r="T193" s="186"/>
      <c r="U193" s="186"/>
      <c r="V193" s="186"/>
      <c r="W193" s="186"/>
      <c r="X193" s="186"/>
      <c r="Y193" s="186"/>
      <c r="Z193" s="186"/>
    </row>
    <row r="194" spans="1:26" ht="12.75" customHeight="1">
      <c r="A194" s="186"/>
      <c r="B194" s="189"/>
      <c r="C194" s="189"/>
      <c r="D194" s="230"/>
      <c r="E194" s="230"/>
      <c r="F194" s="231"/>
      <c r="G194" s="189"/>
      <c r="H194" s="230"/>
      <c r="I194" s="230"/>
      <c r="J194" s="232"/>
      <c r="K194" s="233"/>
      <c r="L194" s="186"/>
      <c r="M194" s="186"/>
      <c r="N194" s="186"/>
      <c r="O194" s="234"/>
      <c r="P194" s="186"/>
      <c r="Q194" s="234"/>
      <c r="R194" s="234"/>
      <c r="S194" s="186"/>
      <c r="T194" s="186"/>
      <c r="U194" s="186"/>
      <c r="V194" s="186"/>
      <c r="W194" s="186"/>
      <c r="X194" s="186"/>
      <c r="Y194" s="186"/>
      <c r="Z194" s="186"/>
    </row>
    <row r="195" spans="1:26" ht="12.75" customHeight="1">
      <c r="A195" s="186"/>
      <c r="B195" s="189"/>
      <c r="C195" s="189"/>
      <c r="D195" s="230"/>
      <c r="E195" s="230"/>
      <c r="F195" s="231"/>
      <c r="G195" s="189"/>
      <c r="H195" s="230"/>
      <c r="I195" s="230"/>
      <c r="J195" s="232"/>
      <c r="K195" s="233"/>
      <c r="L195" s="186"/>
      <c r="M195" s="186"/>
      <c r="N195" s="186"/>
      <c r="O195" s="234"/>
      <c r="P195" s="186"/>
      <c r="Q195" s="234"/>
      <c r="R195" s="234"/>
      <c r="S195" s="186"/>
      <c r="T195" s="186"/>
      <c r="U195" s="186"/>
      <c r="V195" s="186"/>
      <c r="W195" s="186"/>
      <c r="X195" s="186"/>
      <c r="Y195" s="186"/>
      <c r="Z195" s="186"/>
    </row>
    <row r="196" spans="1:26" ht="12.75" customHeight="1">
      <c r="A196" s="186"/>
      <c r="B196" s="189"/>
      <c r="C196" s="189"/>
      <c r="D196" s="230"/>
      <c r="E196" s="230"/>
      <c r="F196" s="231"/>
      <c r="G196" s="189"/>
      <c r="H196" s="230"/>
      <c r="I196" s="230"/>
      <c r="J196" s="232"/>
      <c r="K196" s="233"/>
      <c r="L196" s="186"/>
      <c r="M196" s="186"/>
      <c r="N196" s="186"/>
      <c r="O196" s="234"/>
      <c r="P196" s="186"/>
      <c r="Q196" s="234"/>
      <c r="R196" s="234"/>
      <c r="S196" s="186"/>
      <c r="T196" s="186"/>
      <c r="U196" s="186"/>
      <c r="V196" s="186"/>
      <c r="W196" s="186"/>
      <c r="X196" s="186"/>
      <c r="Y196" s="186"/>
      <c r="Z196" s="186"/>
    </row>
    <row r="197" spans="1:26" ht="12.75" customHeight="1">
      <c r="A197" s="186"/>
      <c r="B197" s="189"/>
      <c r="C197" s="189"/>
      <c r="D197" s="230"/>
      <c r="E197" s="230"/>
      <c r="F197" s="231"/>
      <c r="G197" s="189"/>
      <c r="H197" s="230"/>
      <c r="I197" s="230"/>
      <c r="J197" s="232"/>
      <c r="K197" s="233"/>
      <c r="L197" s="186"/>
      <c r="M197" s="186"/>
      <c r="N197" s="186"/>
      <c r="O197" s="234"/>
      <c r="P197" s="186"/>
      <c r="Q197" s="234"/>
      <c r="R197" s="234"/>
      <c r="S197" s="186"/>
      <c r="T197" s="186"/>
      <c r="U197" s="186"/>
      <c r="V197" s="186"/>
      <c r="W197" s="186"/>
      <c r="X197" s="186"/>
      <c r="Y197" s="186"/>
      <c r="Z197" s="186"/>
    </row>
    <row r="198" spans="1:26" ht="12.75" customHeight="1">
      <c r="A198" s="186"/>
      <c r="B198" s="189"/>
      <c r="C198" s="189"/>
      <c r="D198" s="230"/>
      <c r="E198" s="230"/>
      <c r="F198" s="231"/>
      <c r="G198" s="189"/>
      <c r="H198" s="230"/>
      <c r="I198" s="230"/>
      <c r="J198" s="232"/>
      <c r="K198" s="233"/>
      <c r="L198" s="186"/>
      <c r="M198" s="186"/>
      <c r="N198" s="186"/>
      <c r="O198" s="234"/>
      <c r="P198" s="186"/>
      <c r="Q198" s="234"/>
      <c r="R198" s="234"/>
      <c r="S198" s="186"/>
      <c r="T198" s="186"/>
      <c r="U198" s="186"/>
      <c r="V198" s="186"/>
      <c r="W198" s="186"/>
      <c r="X198" s="186"/>
      <c r="Y198" s="186"/>
      <c r="Z198" s="186"/>
    </row>
    <row r="199" spans="1:26" ht="12.75" customHeight="1">
      <c r="A199" s="186"/>
      <c r="B199" s="189"/>
      <c r="C199" s="189"/>
      <c r="D199" s="230"/>
      <c r="E199" s="230"/>
      <c r="F199" s="231"/>
      <c r="G199" s="189"/>
      <c r="H199" s="230"/>
      <c r="I199" s="230"/>
      <c r="J199" s="232"/>
      <c r="K199" s="233"/>
      <c r="L199" s="186"/>
      <c r="M199" s="186"/>
      <c r="N199" s="186"/>
      <c r="O199" s="234"/>
      <c r="P199" s="186"/>
      <c r="Q199" s="234"/>
      <c r="R199" s="234"/>
      <c r="S199" s="186"/>
      <c r="T199" s="186"/>
      <c r="U199" s="186"/>
      <c r="V199" s="186"/>
      <c r="W199" s="186"/>
      <c r="X199" s="186"/>
      <c r="Y199" s="186"/>
      <c r="Z199" s="186"/>
    </row>
    <row r="200" spans="1:26" ht="12.75" customHeight="1">
      <c r="A200" s="186"/>
      <c r="B200" s="189"/>
      <c r="C200" s="189"/>
      <c r="D200" s="230"/>
      <c r="E200" s="230"/>
      <c r="F200" s="231"/>
      <c r="G200" s="189"/>
      <c r="H200" s="230"/>
      <c r="I200" s="230"/>
      <c r="J200" s="232"/>
      <c r="K200" s="233"/>
      <c r="L200" s="186"/>
      <c r="M200" s="186"/>
      <c r="N200" s="186"/>
      <c r="O200" s="234"/>
      <c r="P200" s="186"/>
      <c r="Q200" s="234"/>
      <c r="R200" s="234"/>
      <c r="S200" s="186"/>
      <c r="T200" s="186"/>
      <c r="U200" s="186"/>
      <c r="V200" s="186"/>
      <c r="W200" s="186"/>
      <c r="X200" s="186"/>
      <c r="Y200" s="186"/>
      <c r="Z200" s="186"/>
    </row>
    <row r="201" spans="1:26" ht="12.75" customHeight="1">
      <c r="A201" s="186"/>
      <c r="B201" s="189"/>
      <c r="C201" s="189"/>
      <c r="D201" s="230"/>
      <c r="E201" s="230"/>
      <c r="F201" s="231"/>
      <c r="G201" s="189"/>
      <c r="H201" s="230"/>
      <c r="I201" s="230"/>
      <c r="J201" s="232"/>
      <c r="K201" s="233"/>
      <c r="L201" s="186"/>
      <c r="M201" s="186"/>
      <c r="N201" s="186"/>
      <c r="O201" s="234"/>
      <c r="P201" s="186"/>
      <c r="Q201" s="234"/>
      <c r="R201" s="234"/>
      <c r="S201" s="186"/>
      <c r="T201" s="186"/>
      <c r="U201" s="186"/>
      <c r="V201" s="186"/>
      <c r="W201" s="186"/>
      <c r="X201" s="186"/>
      <c r="Y201" s="186"/>
      <c r="Z201" s="186"/>
    </row>
    <row r="202" spans="1:26" ht="12.75" customHeight="1">
      <c r="A202" s="186"/>
      <c r="B202" s="189"/>
      <c r="C202" s="189"/>
      <c r="D202" s="230"/>
      <c r="E202" s="230"/>
      <c r="F202" s="231"/>
      <c r="G202" s="189"/>
      <c r="H202" s="230"/>
      <c r="I202" s="230"/>
      <c r="J202" s="232"/>
      <c r="K202" s="233"/>
      <c r="L202" s="186"/>
      <c r="M202" s="186"/>
      <c r="N202" s="186"/>
      <c r="O202" s="234"/>
      <c r="P202" s="186"/>
      <c r="Q202" s="234"/>
      <c r="R202" s="234"/>
      <c r="S202" s="186"/>
      <c r="T202" s="186"/>
      <c r="U202" s="186"/>
      <c r="V202" s="186"/>
      <c r="W202" s="186"/>
      <c r="X202" s="186"/>
      <c r="Y202" s="186"/>
      <c r="Z202" s="186"/>
    </row>
    <row r="203" spans="1:26" ht="12.75" customHeight="1">
      <c r="A203" s="186"/>
      <c r="B203" s="189"/>
      <c r="C203" s="189"/>
      <c r="D203" s="230"/>
      <c r="E203" s="230"/>
      <c r="F203" s="231"/>
      <c r="G203" s="189"/>
      <c r="H203" s="230"/>
      <c r="I203" s="230"/>
      <c r="J203" s="232"/>
      <c r="K203" s="233"/>
      <c r="L203" s="186"/>
      <c r="M203" s="186"/>
      <c r="N203" s="186"/>
      <c r="O203" s="234"/>
      <c r="P203" s="186"/>
      <c r="Q203" s="234"/>
      <c r="R203" s="234"/>
      <c r="S203" s="186"/>
      <c r="T203" s="186"/>
      <c r="U203" s="186"/>
      <c r="V203" s="186"/>
      <c r="W203" s="186"/>
      <c r="X203" s="186"/>
      <c r="Y203" s="186"/>
      <c r="Z203" s="186"/>
    </row>
    <row r="204" spans="1:26" ht="12.75" customHeight="1">
      <c r="A204" s="186"/>
      <c r="B204" s="189"/>
      <c r="C204" s="189"/>
      <c r="D204" s="230"/>
      <c r="E204" s="230"/>
      <c r="F204" s="231"/>
      <c r="G204" s="189"/>
      <c r="H204" s="230"/>
      <c r="I204" s="230"/>
      <c r="J204" s="232"/>
      <c r="K204" s="233"/>
      <c r="L204" s="186"/>
      <c r="M204" s="186"/>
      <c r="N204" s="186"/>
      <c r="O204" s="234"/>
      <c r="P204" s="186"/>
      <c r="Q204" s="234"/>
      <c r="R204" s="234"/>
      <c r="S204" s="186"/>
      <c r="T204" s="186"/>
      <c r="U204" s="186"/>
      <c r="V204" s="186"/>
      <c r="W204" s="186"/>
      <c r="X204" s="186"/>
      <c r="Y204" s="186"/>
      <c r="Z204" s="186"/>
    </row>
    <row r="205" spans="1:26" ht="12.75" customHeight="1">
      <c r="A205" s="186"/>
      <c r="B205" s="189"/>
      <c r="C205" s="189"/>
      <c r="D205" s="230"/>
      <c r="E205" s="230"/>
      <c r="F205" s="231"/>
      <c r="G205" s="189"/>
      <c r="H205" s="230"/>
      <c r="I205" s="230"/>
      <c r="J205" s="232"/>
      <c r="K205" s="233"/>
      <c r="L205" s="186"/>
      <c r="M205" s="186"/>
      <c r="N205" s="186"/>
      <c r="O205" s="234"/>
      <c r="P205" s="186"/>
      <c r="Q205" s="234"/>
      <c r="R205" s="234"/>
      <c r="S205" s="186"/>
      <c r="T205" s="186"/>
      <c r="U205" s="186"/>
      <c r="V205" s="186"/>
      <c r="W205" s="186"/>
      <c r="X205" s="186"/>
      <c r="Y205" s="186"/>
      <c r="Z205" s="186"/>
    </row>
    <row r="206" spans="1:26" ht="12.75" customHeight="1">
      <c r="A206" s="186"/>
      <c r="B206" s="189"/>
      <c r="C206" s="189"/>
      <c r="D206" s="230"/>
      <c r="E206" s="230"/>
      <c r="F206" s="231"/>
      <c r="G206" s="189"/>
      <c r="H206" s="230"/>
      <c r="I206" s="230"/>
      <c r="J206" s="232"/>
      <c r="K206" s="233"/>
      <c r="L206" s="186"/>
      <c r="M206" s="186"/>
      <c r="N206" s="186"/>
      <c r="O206" s="234"/>
      <c r="P206" s="186"/>
      <c r="Q206" s="234"/>
      <c r="R206" s="234"/>
      <c r="S206" s="186"/>
      <c r="T206" s="186"/>
      <c r="U206" s="186"/>
      <c r="V206" s="186"/>
      <c r="W206" s="186"/>
      <c r="X206" s="186"/>
      <c r="Y206" s="186"/>
      <c r="Z206" s="186"/>
    </row>
    <row r="207" spans="1:26" ht="12.75" customHeight="1">
      <c r="A207" s="186"/>
      <c r="B207" s="189"/>
      <c r="C207" s="189"/>
      <c r="D207" s="230"/>
      <c r="E207" s="230"/>
      <c r="F207" s="231"/>
      <c r="G207" s="189"/>
      <c r="H207" s="230"/>
      <c r="I207" s="230"/>
      <c r="J207" s="232"/>
      <c r="K207" s="233"/>
      <c r="L207" s="186"/>
      <c r="M207" s="186"/>
      <c r="N207" s="186"/>
      <c r="O207" s="234"/>
      <c r="P207" s="186"/>
      <c r="Q207" s="234"/>
      <c r="R207" s="234"/>
      <c r="S207" s="186"/>
      <c r="T207" s="186"/>
      <c r="U207" s="186"/>
      <c r="V207" s="186"/>
      <c r="W207" s="186"/>
      <c r="X207" s="186"/>
      <c r="Y207" s="186"/>
      <c r="Z207" s="186"/>
    </row>
    <row r="208" spans="1:26" ht="12.75" customHeight="1">
      <c r="A208" s="186"/>
      <c r="B208" s="189"/>
      <c r="C208" s="189"/>
      <c r="D208" s="230"/>
      <c r="E208" s="230"/>
      <c r="F208" s="231"/>
      <c r="G208" s="189"/>
      <c r="H208" s="230"/>
      <c r="I208" s="230"/>
      <c r="J208" s="232"/>
      <c r="K208" s="233"/>
      <c r="L208" s="186"/>
      <c r="M208" s="186"/>
      <c r="N208" s="186"/>
      <c r="O208" s="234"/>
      <c r="P208" s="186"/>
      <c r="Q208" s="234"/>
      <c r="R208" s="234"/>
      <c r="S208" s="186"/>
      <c r="T208" s="186"/>
      <c r="U208" s="186"/>
      <c r="V208" s="186"/>
      <c r="W208" s="186"/>
      <c r="X208" s="186"/>
      <c r="Y208" s="186"/>
      <c r="Z208" s="186"/>
    </row>
    <row r="209" spans="1:26" ht="12.75" customHeight="1">
      <c r="A209" s="186"/>
      <c r="B209" s="189"/>
      <c r="C209" s="189"/>
      <c r="D209" s="230"/>
      <c r="E209" s="230"/>
      <c r="F209" s="231"/>
      <c r="G209" s="189"/>
      <c r="H209" s="230"/>
      <c r="I209" s="230"/>
      <c r="J209" s="232"/>
      <c r="K209" s="233"/>
      <c r="L209" s="186"/>
      <c r="M209" s="186"/>
      <c r="N209" s="186"/>
      <c r="O209" s="234"/>
      <c r="P209" s="186"/>
      <c r="Q209" s="234"/>
      <c r="R209" s="234"/>
      <c r="S209" s="186"/>
      <c r="T209" s="186"/>
      <c r="U209" s="186"/>
      <c r="V209" s="186"/>
      <c r="W209" s="186"/>
      <c r="X209" s="186"/>
      <c r="Y209" s="186"/>
      <c r="Z209" s="186"/>
    </row>
    <row r="210" spans="1:26" ht="12.75" customHeight="1">
      <c r="A210" s="186"/>
      <c r="B210" s="189"/>
      <c r="C210" s="189"/>
      <c r="D210" s="230"/>
      <c r="E210" s="230"/>
      <c r="F210" s="231"/>
      <c r="G210" s="189"/>
      <c r="H210" s="230"/>
      <c r="I210" s="230"/>
      <c r="J210" s="232"/>
      <c r="K210" s="233"/>
      <c r="L210" s="186"/>
      <c r="M210" s="186"/>
      <c r="N210" s="186"/>
      <c r="O210" s="234"/>
      <c r="P210" s="186"/>
      <c r="Q210" s="234"/>
      <c r="R210" s="234"/>
      <c r="S210" s="186"/>
      <c r="T210" s="186"/>
      <c r="U210" s="186"/>
      <c r="V210" s="186"/>
      <c r="W210" s="186"/>
      <c r="X210" s="186"/>
      <c r="Y210" s="186"/>
      <c r="Z210" s="186"/>
    </row>
    <row r="211" spans="1:26" ht="12.75" customHeight="1">
      <c r="A211" s="186"/>
      <c r="B211" s="189"/>
      <c r="C211" s="189"/>
      <c r="D211" s="230"/>
      <c r="E211" s="230"/>
      <c r="F211" s="231"/>
      <c r="G211" s="189"/>
      <c r="H211" s="230"/>
      <c r="I211" s="230"/>
      <c r="J211" s="232"/>
      <c r="K211" s="233"/>
      <c r="L211" s="186"/>
      <c r="M211" s="186"/>
      <c r="N211" s="186"/>
      <c r="O211" s="234"/>
      <c r="P211" s="186"/>
      <c r="Q211" s="234"/>
      <c r="R211" s="234"/>
      <c r="S211" s="186"/>
      <c r="T211" s="186"/>
      <c r="U211" s="186"/>
      <c r="V211" s="186"/>
      <c r="W211" s="186"/>
      <c r="X211" s="186"/>
      <c r="Y211" s="186"/>
      <c r="Z211" s="186"/>
    </row>
    <row r="212" spans="1:26" ht="12.75" customHeight="1">
      <c r="A212" s="186"/>
      <c r="B212" s="189"/>
      <c r="C212" s="189"/>
      <c r="D212" s="230"/>
      <c r="E212" s="230"/>
      <c r="F212" s="231"/>
      <c r="G212" s="189"/>
      <c r="H212" s="230"/>
      <c r="I212" s="230"/>
      <c r="J212" s="232"/>
      <c r="K212" s="233"/>
      <c r="L212" s="186"/>
      <c r="M212" s="186"/>
      <c r="N212" s="186"/>
      <c r="O212" s="234"/>
      <c r="P212" s="186"/>
      <c r="Q212" s="234"/>
      <c r="R212" s="234"/>
      <c r="S212" s="186"/>
      <c r="T212" s="186"/>
      <c r="U212" s="186"/>
      <c r="V212" s="186"/>
      <c r="W212" s="186"/>
      <c r="X212" s="186"/>
      <c r="Y212" s="186"/>
      <c r="Z212" s="186"/>
    </row>
    <row r="213" spans="1:26" ht="12.75" customHeight="1">
      <c r="A213" s="186"/>
      <c r="B213" s="189"/>
      <c r="C213" s="189"/>
      <c r="D213" s="230"/>
      <c r="E213" s="230"/>
      <c r="F213" s="231"/>
      <c r="G213" s="189"/>
      <c r="H213" s="230"/>
      <c r="I213" s="230"/>
      <c r="J213" s="232"/>
      <c r="K213" s="233"/>
      <c r="L213" s="186"/>
      <c r="M213" s="186"/>
      <c r="N213" s="186"/>
      <c r="O213" s="234"/>
      <c r="P213" s="186"/>
      <c r="Q213" s="234"/>
      <c r="R213" s="234"/>
      <c r="S213" s="186"/>
      <c r="T213" s="186"/>
      <c r="U213" s="186"/>
      <c r="V213" s="186"/>
      <c r="W213" s="186"/>
      <c r="X213" s="186"/>
      <c r="Y213" s="186"/>
      <c r="Z213" s="186"/>
    </row>
    <row r="214" spans="1:26" ht="12.75" customHeight="1">
      <c r="A214" s="186"/>
      <c r="B214" s="189"/>
      <c r="C214" s="189"/>
      <c r="D214" s="230"/>
      <c r="E214" s="230"/>
      <c r="F214" s="231"/>
      <c r="G214" s="189"/>
      <c r="H214" s="230"/>
      <c r="I214" s="230"/>
      <c r="J214" s="232"/>
      <c r="K214" s="233"/>
      <c r="L214" s="186"/>
      <c r="M214" s="186"/>
      <c r="N214" s="186"/>
      <c r="O214" s="234"/>
      <c r="P214" s="186"/>
      <c r="Q214" s="234"/>
      <c r="R214" s="234"/>
      <c r="S214" s="186"/>
      <c r="T214" s="186"/>
      <c r="U214" s="186"/>
      <c r="V214" s="186"/>
      <c r="W214" s="186"/>
      <c r="X214" s="186"/>
      <c r="Y214" s="186"/>
      <c r="Z214" s="186"/>
    </row>
    <row r="215" spans="1:26" ht="12.75" customHeight="1">
      <c r="A215" s="186"/>
      <c r="B215" s="189"/>
      <c r="C215" s="189"/>
      <c r="D215" s="230"/>
      <c r="E215" s="230"/>
      <c r="F215" s="231"/>
      <c r="G215" s="189"/>
      <c r="H215" s="230"/>
      <c r="I215" s="230"/>
      <c r="J215" s="232"/>
      <c r="K215" s="233"/>
      <c r="L215" s="186"/>
      <c r="M215" s="186"/>
      <c r="N215" s="186"/>
      <c r="O215" s="234"/>
      <c r="P215" s="186"/>
      <c r="Q215" s="234"/>
      <c r="R215" s="234"/>
      <c r="S215" s="186"/>
      <c r="T215" s="186"/>
      <c r="U215" s="186"/>
      <c r="V215" s="186"/>
      <c r="W215" s="186"/>
      <c r="X215" s="186"/>
      <c r="Y215" s="186"/>
      <c r="Z215" s="186"/>
    </row>
    <row r="216" spans="1:26" ht="12.75" customHeight="1">
      <c r="A216" s="186"/>
      <c r="B216" s="189"/>
      <c r="C216" s="189"/>
      <c r="D216" s="230"/>
      <c r="E216" s="230"/>
      <c r="F216" s="231"/>
      <c r="G216" s="189"/>
      <c r="H216" s="230"/>
      <c r="I216" s="230"/>
      <c r="J216" s="232"/>
      <c r="K216" s="233"/>
      <c r="L216" s="186"/>
      <c r="M216" s="186"/>
      <c r="N216" s="186"/>
      <c r="O216" s="234"/>
      <c r="P216" s="186"/>
      <c r="Q216" s="234"/>
      <c r="R216" s="234"/>
      <c r="S216" s="186"/>
      <c r="T216" s="186"/>
      <c r="U216" s="186"/>
      <c r="V216" s="186"/>
      <c r="W216" s="186"/>
      <c r="X216" s="186"/>
      <c r="Y216" s="186"/>
      <c r="Z216" s="186"/>
    </row>
    <row r="217" spans="1:26" ht="12.75" customHeight="1">
      <c r="A217" s="186"/>
      <c r="B217" s="189"/>
      <c r="C217" s="189"/>
      <c r="D217" s="230"/>
      <c r="E217" s="230"/>
      <c r="F217" s="231"/>
      <c r="G217" s="189"/>
      <c r="H217" s="230"/>
      <c r="I217" s="230"/>
      <c r="J217" s="232"/>
      <c r="K217" s="233"/>
      <c r="L217" s="186"/>
      <c r="M217" s="186"/>
      <c r="N217" s="186"/>
      <c r="O217" s="234"/>
      <c r="P217" s="186"/>
      <c r="Q217" s="234"/>
      <c r="R217" s="234"/>
      <c r="S217" s="186"/>
      <c r="T217" s="186"/>
      <c r="U217" s="186"/>
      <c r="V217" s="186"/>
      <c r="W217" s="186"/>
      <c r="X217" s="186"/>
      <c r="Y217" s="186"/>
      <c r="Z217" s="186"/>
    </row>
    <row r="218" spans="1:26" ht="12.75" customHeight="1">
      <c r="A218" s="186"/>
      <c r="B218" s="189"/>
      <c r="C218" s="189"/>
      <c r="D218" s="230"/>
      <c r="E218" s="230"/>
      <c r="F218" s="231"/>
      <c r="G218" s="189"/>
      <c r="H218" s="230"/>
      <c r="I218" s="230"/>
      <c r="J218" s="232"/>
      <c r="K218" s="233"/>
      <c r="L218" s="186"/>
      <c r="M218" s="186"/>
      <c r="N218" s="186"/>
      <c r="O218" s="234"/>
      <c r="P218" s="186"/>
      <c r="Q218" s="234"/>
      <c r="R218" s="234"/>
      <c r="S218" s="186"/>
      <c r="T218" s="186"/>
      <c r="U218" s="186"/>
      <c r="V218" s="186"/>
      <c r="W218" s="186"/>
      <c r="X218" s="186"/>
      <c r="Y218" s="186"/>
      <c r="Z218" s="186"/>
    </row>
    <row r="219" spans="1:26" ht="12.75" customHeight="1">
      <c r="A219" s="186"/>
      <c r="B219" s="189"/>
      <c r="C219" s="189"/>
      <c r="D219" s="230"/>
      <c r="E219" s="230"/>
      <c r="F219" s="231"/>
      <c r="G219" s="189"/>
      <c r="H219" s="230"/>
      <c r="I219" s="230"/>
      <c r="J219" s="232"/>
      <c r="K219" s="233"/>
      <c r="L219" s="186"/>
      <c r="M219" s="186"/>
      <c r="N219" s="186"/>
      <c r="O219" s="234"/>
      <c r="P219" s="186"/>
      <c r="Q219" s="234"/>
      <c r="R219" s="234"/>
      <c r="S219" s="186"/>
      <c r="T219" s="186"/>
      <c r="U219" s="186"/>
      <c r="V219" s="186"/>
      <c r="W219" s="186"/>
      <c r="X219" s="186"/>
      <c r="Y219" s="186"/>
      <c r="Z219" s="186"/>
    </row>
    <row r="220" spans="1:26" ht="12.75" customHeight="1">
      <c r="A220" s="186"/>
      <c r="B220" s="189"/>
      <c r="C220" s="189"/>
      <c r="D220" s="230"/>
      <c r="E220" s="230"/>
      <c r="F220" s="231"/>
      <c r="G220" s="189"/>
      <c r="H220" s="230"/>
      <c r="I220" s="230"/>
      <c r="J220" s="232"/>
      <c r="K220" s="233"/>
      <c r="L220" s="186"/>
      <c r="M220" s="186"/>
      <c r="N220" s="186"/>
      <c r="O220" s="234"/>
      <c r="P220" s="186"/>
      <c r="Q220" s="234"/>
      <c r="R220" s="234"/>
      <c r="S220" s="186"/>
      <c r="T220" s="186"/>
      <c r="U220" s="186"/>
      <c r="V220" s="186"/>
      <c r="W220" s="186"/>
      <c r="X220" s="186"/>
      <c r="Y220" s="186"/>
      <c r="Z220" s="186"/>
    </row>
    <row r="221" spans="1:26" ht="12.75" customHeight="1">
      <c r="A221" s="186"/>
      <c r="B221" s="189"/>
      <c r="C221" s="189"/>
      <c r="D221" s="230"/>
      <c r="E221" s="230"/>
      <c r="F221" s="231"/>
      <c r="G221" s="189"/>
      <c r="H221" s="230"/>
      <c r="I221" s="230"/>
      <c r="J221" s="232"/>
      <c r="K221" s="233"/>
      <c r="L221" s="186"/>
      <c r="M221" s="186"/>
      <c r="N221" s="186"/>
      <c r="O221" s="234"/>
      <c r="P221" s="186"/>
      <c r="Q221" s="234"/>
      <c r="R221" s="234"/>
      <c r="S221" s="186"/>
      <c r="T221" s="186"/>
      <c r="U221" s="186"/>
      <c r="V221" s="186"/>
      <c r="W221" s="186"/>
      <c r="X221" s="186"/>
      <c r="Y221" s="186"/>
      <c r="Z221" s="186"/>
    </row>
    <row r="222" spans="1:26" ht="12.75" customHeight="1">
      <c r="A222" s="186"/>
      <c r="B222" s="189"/>
      <c r="C222" s="189"/>
      <c r="D222" s="230"/>
      <c r="E222" s="230"/>
      <c r="F222" s="231"/>
      <c r="G222" s="189"/>
      <c r="H222" s="230"/>
      <c r="I222" s="230"/>
      <c r="J222" s="232"/>
      <c r="K222" s="233"/>
      <c r="L222" s="186"/>
      <c r="M222" s="186"/>
      <c r="N222" s="186"/>
      <c r="O222" s="234"/>
      <c r="P222" s="186"/>
      <c r="Q222" s="234"/>
      <c r="R222" s="234"/>
      <c r="S222" s="186"/>
      <c r="T222" s="186"/>
      <c r="U222" s="186"/>
      <c r="V222" s="186"/>
      <c r="W222" s="186"/>
      <c r="X222" s="186"/>
      <c r="Y222" s="186"/>
      <c r="Z222" s="186"/>
    </row>
    <row r="223" spans="1:26" ht="12.75" customHeight="1">
      <c r="A223" s="186"/>
      <c r="B223" s="189"/>
      <c r="C223" s="189"/>
      <c r="D223" s="230"/>
      <c r="E223" s="230"/>
      <c r="F223" s="231"/>
      <c r="G223" s="189"/>
      <c r="H223" s="230"/>
      <c r="I223" s="230"/>
      <c r="J223" s="232"/>
      <c r="K223" s="233"/>
      <c r="L223" s="186"/>
      <c r="M223" s="186"/>
      <c r="N223" s="186"/>
      <c r="O223" s="234"/>
      <c r="P223" s="186"/>
      <c r="Q223" s="234"/>
      <c r="R223" s="234"/>
      <c r="S223" s="186"/>
      <c r="T223" s="186"/>
      <c r="U223" s="186"/>
      <c r="V223" s="186"/>
      <c r="W223" s="186"/>
      <c r="X223" s="186"/>
      <c r="Y223" s="186"/>
      <c r="Z223" s="186"/>
    </row>
    <row r="224" spans="1:26" ht="12.75" customHeight="1">
      <c r="A224" s="186"/>
      <c r="B224" s="189"/>
      <c r="C224" s="189"/>
      <c r="D224" s="230"/>
      <c r="E224" s="230"/>
      <c r="F224" s="231"/>
      <c r="G224" s="189"/>
      <c r="H224" s="230"/>
      <c r="I224" s="230"/>
      <c r="J224" s="232"/>
      <c r="K224" s="233"/>
      <c r="L224" s="186"/>
      <c r="M224" s="186"/>
      <c r="N224" s="186"/>
      <c r="O224" s="234"/>
      <c r="P224" s="186"/>
      <c r="Q224" s="234"/>
      <c r="R224" s="234"/>
      <c r="S224" s="186"/>
      <c r="T224" s="186"/>
      <c r="U224" s="186"/>
      <c r="V224" s="186"/>
      <c r="W224" s="186"/>
      <c r="X224" s="186"/>
      <c r="Y224" s="186"/>
      <c r="Z224" s="186"/>
    </row>
    <row r="225" spans="1:26" ht="12.75" customHeight="1">
      <c r="A225" s="186"/>
      <c r="B225" s="189"/>
      <c r="C225" s="189"/>
      <c r="D225" s="230"/>
      <c r="E225" s="230"/>
      <c r="F225" s="231"/>
      <c r="G225" s="189"/>
      <c r="H225" s="230"/>
      <c r="I225" s="230"/>
      <c r="J225" s="232"/>
      <c r="K225" s="233"/>
      <c r="L225" s="186"/>
      <c r="M225" s="186"/>
      <c r="N225" s="186"/>
      <c r="O225" s="234"/>
      <c r="P225" s="186"/>
      <c r="Q225" s="234"/>
      <c r="R225" s="234"/>
      <c r="S225" s="186"/>
      <c r="T225" s="186"/>
      <c r="U225" s="186"/>
      <c r="V225" s="186"/>
      <c r="W225" s="186"/>
      <c r="X225" s="186"/>
      <c r="Y225" s="186"/>
      <c r="Z225" s="186"/>
    </row>
    <row r="226" spans="1:26" ht="12.75" customHeight="1">
      <c r="A226" s="186"/>
      <c r="B226" s="189"/>
      <c r="C226" s="189"/>
      <c r="D226" s="230"/>
      <c r="E226" s="230"/>
      <c r="F226" s="231"/>
      <c r="G226" s="189"/>
      <c r="H226" s="230"/>
      <c r="I226" s="230"/>
      <c r="J226" s="232"/>
      <c r="K226" s="233"/>
      <c r="L226" s="186"/>
      <c r="M226" s="186"/>
      <c r="N226" s="186"/>
      <c r="O226" s="234"/>
      <c r="P226" s="186"/>
      <c r="Q226" s="234"/>
      <c r="R226" s="234"/>
      <c r="S226" s="186"/>
      <c r="T226" s="186"/>
      <c r="U226" s="186"/>
      <c r="V226" s="186"/>
      <c r="W226" s="186"/>
      <c r="X226" s="186"/>
      <c r="Y226" s="186"/>
      <c r="Z226" s="186"/>
    </row>
    <row r="227" spans="1:26" ht="12.75" customHeight="1">
      <c r="A227" s="186"/>
      <c r="B227" s="189"/>
      <c r="C227" s="189"/>
      <c r="D227" s="230"/>
      <c r="E227" s="230"/>
      <c r="F227" s="231"/>
      <c r="G227" s="189"/>
      <c r="H227" s="230"/>
      <c r="I227" s="230"/>
      <c r="J227" s="232"/>
      <c r="K227" s="233"/>
      <c r="L227" s="186"/>
      <c r="M227" s="186"/>
      <c r="N227" s="186"/>
      <c r="O227" s="234"/>
      <c r="P227" s="186"/>
      <c r="Q227" s="234"/>
      <c r="R227" s="234"/>
      <c r="S227" s="186"/>
      <c r="T227" s="186"/>
      <c r="U227" s="186"/>
      <c r="V227" s="186"/>
      <c r="W227" s="186"/>
      <c r="X227" s="186"/>
      <c r="Y227" s="186"/>
      <c r="Z227" s="186"/>
    </row>
    <row r="228" spans="1:26" ht="12.75" customHeight="1">
      <c r="A228" s="186"/>
      <c r="B228" s="189"/>
      <c r="C228" s="189"/>
      <c r="D228" s="230"/>
      <c r="E228" s="230"/>
      <c r="F228" s="231"/>
      <c r="G228" s="189"/>
      <c r="H228" s="230"/>
      <c r="I228" s="230"/>
      <c r="J228" s="232"/>
      <c r="K228" s="233"/>
      <c r="L228" s="186"/>
      <c r="M228" s="186"/>
      <c r="N228" s="186"/>
      <c r="O228" s="234"/>
      <c r="P228" s="186"/>
      <c r="Q228" s="234"/>
      <c r="R228" s="234"/>
      <c r="S228" s="186"/>
      <c r="T228" s="186"/>
      <c r="U228" s="186"/>
      <c r="V228" s="186"/>
      <c r="W228" s="186"/>
      <c r="X228" s="186"/>
      <c r="Y228" s="186"/>
      <c r="Z228" s="186"/>
    </row>
    <row r="229" spans="1:26" ht="12.75" customHeight="1">
      <c r="A229" s="186"/>
      <c r="B229" s="189"/>
      <c r="C229" s="189"/>
      <c r="D229" s="230"/>
      <c r="E229" s="230"/>
      <c r="F229" s="231"/>
      <c r="G229" s="189"/>
      <c r="H229" s="230"/>
      <c r="I229" s="230"/>
      <c r="J229" s="232"/>
      <c r="K229" s="233"/>
      <c r="L229" s="186"/>
      <c r="M229" s="186"/>
      <c r="N229" s="186"/>
      <c r="O229" s="234"/>
      <c r="P229" s="186"/>
      <c r="Q229" s="234"/>
      <c r="R229" s="234"/>
      <c r="S229" s="186"/>
      <c r="T229" s="186"/>
      <c r="U229" s="186"/>
      <c r="V229" s="186"/>
      <c r="W229" s="186"/>
      <c r="X229" s="186"/>
      <c r="Y229" s="186"/>
      <c r="Z229" s="186"/>
    </row>
    <row r="230" spans="1:26" ht="12.75" customHeight="1">
      <c r="A230" s="186"/>
      <c r="B230" s="189"/>
      <c r="C230" s="189"/>
      <c r="D230" s="230"/>
      <c r="E230" s="230"/>
      <c r="F230" s="231"/>
      <c r="G230" s="189"/>
      <c r="H230" s="230"/>
      <c r="I230" s="230"/>
      <c r="J230" s="232"/>
      <c r="K230" s="233"/>
      <c r="L230" s="186"/>
      <c r="M230" s="186"/>
      <c r="N230" s="186"/>
      <c r="O230" s="234"/>
      <c r="P230" s="186"/>
      <c r="Q230" s="234"/>
      <c r="R230" s="234"/>
      <c r="S230" s="186"/>
      <c r="T230" s="186"/>
      <c r="U230" s="186"/>
      <c r="V230" s="186"/>
      <c r="W230" s="186"/>
      <c r="X230" s="186"/>
      <c r="Y230" s="186"/>
      <c r="Z230" s="186"/>
    </row>
    <row r="231" spans="1:26" ht="12.75" customHeight="1">
      <c r="A231" s="186"/>
      <c r="B231" s="189"/>
      <c r="C231" s="189"/>
      <c r="D231" s="230"/>
      <c r="E231" s="230"/>
      <c r="F231" s="231"/>
      <c r="G231" s="189"/>
      <c r="H231" s="230"/>
      <c r="I231" s="230"/>
      <c r="J231" s="232"/>
      <c r="K231" s="233"/>
      <c r="L231" s="186"/>
      <c r="M231" s="186"/>
      <c r="N231" s="186"/>
      <c r="O231" s="234"/>
      <c r="P231" s="186"/>
      <c r="Q231" s="234"/>
      <c r="R231" s="234"/>
      <c r="S231" s="186"/>
      <c r="T231" s="186"/>
      <c r="U231" s="186"/>
      <c r="V231" s="186"/>
      <c r="W231" s="186"/>
      <c r="X231" s="186"/>
      <c r="Y231" s="186"/>
      <c r="Z231" s="186"/>
    </row>
    <row r="232" spans="1:26" ht="12.75" customHeight="1">
      <c r="A232" s="186"/>
      <c r="B232" s="189"/>
      <c r="C232" s="189"/>
      <c r="D232" s="230"/>
      <c r="E232" s="230"/>
      <c r="F232" s="231"/>
      <c r="G232" s="189"/>
      <c r="H232" s="230"/>
      <c r="I232" s="230"/>
      <c r="J232" s="232"/>
      <c r="K232" s="233"/>
      <c r="L232" s="186"/>
      <c r="M232" s="186"/>
      <c r="N232" s="186"/>
      <c r="O232" s="234"/>
      <c r="P232" s="186"/>
      <c r="Q232" s="234"/>
      <c r="R232" s="234"/>
      <c r="S232" s="186"/>
      <c r="T232" s="186"/>
      <c r="U232" s="186"/>
      <c r="V232" s="186"/>
      <c r="W232" s="186"/>
      <c r="X232" s="186"/>
      <c r="Y232" s="186"/>
      <c r="Z232" s="186"/>
    </row>
    <row r="233" spans="1:26" ht="12.75" customHeight="1">
      <c r="A233" s="186"/>
      <c r="B233" s="189"/>
      <c r="C233" s="189"/>
      <c r="D233" s="230"/>
      <c r="E233" s="230"/>
      <c r="F233" s="231"/>
      <c r="G233" s="189"/>
      <c r="H233" s="230"/>
      <c r="I233" s="230"/>
      <c r="J233" s="232"/>
      <c r="K233" s="233"/>
      <c r="L233" s="186"/>
      <c r="M233" s="186"/>
      <c r="N233" s="186"/>
      <c r="O233" s="234"/>
      <c r="P233" s="186"/>
      <c r="Q233" s="234"/>
      <c r="R233" s="234"/>
      <c r="S233" s="186"/>
      <c r="T233" s="186"/>
      <c r="U233" s="186"/>
      <c r="V233" s="186"/>
      <c r="W233" s="186"/>
      <c r="X233" s="186"/>
      <c r="Y233" s="186"/>
      <c r="Z233" s="186"/>
    </row>
    <row r="234" spans="1:26" ht="12.75" customHeight="1">
      <c r="A234" s="186"/>
      <c r="B234" s="189"/>
      <c r="C234" s="189"/>
      <c r="D234" s="230"/>
      <c r="E234" s="230"/>
      <c r="F234" s="231"/>
      <c r="G234" s="189"/>
      <c r="H234" s="230"/>
      <c r="I234" s="230"/>
      <c r="J234" s="232"/>
      <c r="K234" s="233"/>
      <c r="L234" s="186"/>
      <c r="M234" s="186"/>
      <c r="N234" s="186"/>
      <c r="O234" s="234"/>
      <c r="P234" s="186"/>
      <c r="Q234" s="234"/>
      <c r="R234" s="234"/>
      <c r="S234" s="186"/>
      <c r="T234" s="186"/>
      <c r="U234" s="186"/>
      <c r="V234" s="186"/>
      <c r="W234" s="186"/>
      <c r="X234" s="186"/>
      <c r="Y234" s="186"/>
      <c r="Z234" s="186"/>
    </row>
    <row r="235" spans="1:26" ht="12.75" customHeight="1">
      <c r="A235" s="186"/>
      <c r="B235" s="189"/>
      <c r="C235" s="189"/>
      <c r="D235" s="230"/>
      <c r="E235" s="230"/>
      <c r="F235" s="231"/>
      <c r="G235" s="189"/>
      <c r="H235" s="230"/>
      <c r="I235" s="230"/>
      <c r="J235" s="232"/>
      <c r="K235" s="233"/>
      <c r="L235" s="186"/>
      <c r="M235" s="186"/>
      <c r="N235" s="186"/>
      <c r="O235" s="234"/>
      <c r="P235" s="186"/>
      <c r="Q235" s="234"/>
      <c r="R235" s="234"/>
      <c r="S235" s="186"/>
      <c r="T235" s="186"/>
      <c r="U235" s="186"/>
      <c r="V235" s="186"/>
      <c r="W235" s="186"/>
      <c r="X235" s="186"/>
      <c r="Y235" s="186"/>
      <c r="Z235" s="186"/>
    </row>
    <row r="236" spans="1:26" ht="12.75" customHeight="1">
      <c r="A236" s="186"/>
      <c r="B236" s="189"/>
      <c r="C236" s="189"/>
      <c r="D236" s="230"/>
      <c r="E236" s="230"/>
      <c r="F236" s="231"/>
      <c r="G236" s="189"/>
      <c r="H236" s="230"/>
      <c r="I236" s="230"/>
      <c r="J236" s="232"/>
      <c r="K236" s="233"/>
      <c r="L236" s="186"/>
      <c r="M236" s="186"/>
      <c r="N236" s="186"/>
      <c r="O236" s="234"/>
      <c r="P236" s="186"/>
      <c r="Q236" s="234"/>
      <c r="R236" s="234"/>
      <c r="S236" s="186"/>
      <c r="T236" s="186"/>
      <c r="U236" s="186"/>
      <c r="V236" s="186"/>
      <c r="W236" s="186"/>
      <c r="X236" s="186"/>
      <c r="Y236" s="186"/>
      <c r="Z236" s="186"/>
    </row>
    <row r="237" spans="1:26" ht="12.75" customHeight="1">
      <c r="A237" s="186"/>
      <c r="B237" s="189"/>
      <c r="C237" s="189"/>
      <c r="D237" s="230"/>
      <c r="E237" s="230"/>
      <c r="F237" s="231"/>
      <c r="G237" s="189"/>
      <c r="H237" s="230"/>
      <c r="I237" s="230"/>
      <c r="J237" s="232"/>
      <c r="K237" s="233"/>
      <c r="L237" s="186"/>
      <c r="M237" s="186"/>
      <c r="N237" s="186"/>
      <c r="O237" s="234"/>
      <c r="P237" s="186"/>
      <c r="Q237" s="234"/>
      <c r="R237" s="234"/>
      <c r="S237" s="186"/>
      <c r="T237" s="186"/>
      <c r="U237" s="186"/>
      <c r="V237" s="186"/>
      <c r="W237" s="186"/>
      <c r="X237" s="186"/>
      <c r="Y237" s="186"/>
      <c r="Z237" s="186"/>
    </row>
    <row r="238" spans="1:26" ht="12.75" customHeight="1">
      <c r="A238" s="186"/>
      <c r="B238" s="189"/>
      <c r="C238" s="189"/>
      <c r="D238" s="230"/>
      <c r="E238" s="230"/>
      <c r="F238" s="231"/>
      <c r="G238" s="189"/>
      <c r="H238" s="230"/>
      <c r="I238" s="230"/>
      <c r="J238" s="232"/>
      <c r="K238" s="233"/>
      <c r="L238" s="186"/>
      <c r="M238" s="186"/>
      <c r="N238" s="186"/>
      <c r="O238" s="234"/>
      <c r="P238" s="186"/>
      <c r="Q238" s="234"/>
      <c r="R238" s="234"/>
      <c r="S238" s="186"/>
      <c r="T238" s="186"/>
      <c r="U238" s="186"/>
      <c r="V238" s="186"/>
      <c r="W238" s="186"/>
      <c r="X238" s="186"/>
      <c r="Y238" s="186"/>
      <c r="Z238" s="186"/>
    </row>
    <row r="239" spans="1:26" ht="12.75" customHeight="1">
      <c r="A239" s="186"/>
      <c r="B239" s="189"/>
      <c r="C239" s="189"/>
      <c r="D239" s="230"/>
      <c r="E239" s="230"/>
      <c r="F239" s="231"/>
      <c r="G239" s="189"/>
      <c r="H239" s="230"/>
      <c r="I239" s="230"/>
      <c r="J239" s="232"/>
      <c r="K239" s="233"/>
      <c r="L239" s="186"/>
      <c r="M239" s="186"/>
      <c r="N239" s="186"/>
      <c r="O239" s="234"/>
      <c r="P239" s="186"/>
      <c r="Q239" s="234"/>
      <c r="R239" s="234"/>
      <c r="S239" s="186"/>
      <c r="T239" s="186"/>
      <c r="U239" s="186"/>
      <c r="V239" s="186"/>
      <c r="W239" s="186"/>
      <c r="X239" s="186"/>
      <c r="Y239" s="186"/>
      <c r="Z239" s="186"/>
    </row>
    <row r="240" spans="1:26" ht="12.75" customHeight="1">
      <c r="A240" s="186"/>
      <c r="B240" s="189"/>
      <c r="C240" s="189"/>
      <c r="D240" s="230"/>
      <c r="E240" s="230"/>
      <c r="F240" s="231"/>
      <c r="G240" s="189"/>
      <c r="H240" s="230"/>
      <c r="I240" s="230"/>
      <c r="J240" s="232"/>
      <c r="K240" s="233"/>
      <c r="L240" s="186"/>
      <c r="M240" s="186"/>
      <c r="N240" s="186"/>
      <c r="O240" s="234"/>
      <c r="P240" s="186"/>
      <c r="Q240" s="234"/>
      <c r="R240" s="234"/>
      <c r="S240" s="186"/>
      <c r="T240" s="186"/>
      <c r="U240" s="186"/>
      <c r="V240" s="186"/>
      <c r="W240" s="186"/>
      <c r="X240" s="186"/>
      <c r="Y240" s="186"/>
      <c r="Z240" s="186"/>
    </row>
    <row r="241" spans="1:26" ht="12.75" customHeight="1">
      <c r="A241" s="186"/>
      <c r="B241" s="189"/>
      <c r="C241" s="189"/>
      <c r="D241" s="230"/>
      <c r="E241" s="230"/>
      <c r="F241" s="231"/>
      <c r="G241" s="189"/>
      <c r="H241" s="230"/>
      <c r="I241" s="230"/>
      <c r="J241" s="232"/>
      <c r="K241" s="233"/>
      <c r="L241" s="186"/>
      <c r="M241" s="186"/>
      <c r="N241" s="186"/>
      <c r="O241" s="234"/>
      <c r="P241" s="186"/>
      <c r="Q241" s="234"/>
      <c r="R241" s="234"/>
      <c r="S241" s="186"/>
      <c r="T241" s="186"/>
      <c r="U241" s="186"/>
      <c r="V241" s="186"/>
      <c r="W241" s="186"/>
      <c r="X241" s="186"/>
      <c r="Y241" s="186"/>
      <c r="Z241" s="186"/>
    </row>
    <row r="242" spans="1:26" ht="12.75" customHeight="1">
      <c r="A242" s="186"/>
      <c r="B242" s="189"/>
      <c r="C242" s="189"/>
      <c r="D242" s="230"/>
      <c r="E242" s="230"/>
      <c r="F242" s="231"/>
      <c r="G242" s="189"/>
      <c r="H242" s="230"/>
      <c r="I242" s="230"/>
      <c r="J242" s="232"/>
      <c r="K242" s="233"/>
      <c r="L242" s="186"/>
      <c r="M242" s="186"/>
      <c r="N242" s="186"/>
      <c r="O242" s="234"/>
      <c r="P242" s="186"/>
      <c r="Q242" s="234"/>
      <c r="R242" s="234"/>
      <c r="S242" s="186"/>
      <c r="T242" s="186"/>
      <c r="U242" s="186"/>
      <c r="V242" s="186"/>
      <c r="W242" s="186"/>
      <c r="X242" s="186"/>
      <c r="Y242" s="186"/>
      <c r="Z242" s="186"/>
    </row>
    <row r="243" spans="1:26" ht="12.75" customHeight="1">
      <c r="A243" s="186"/>
      <c r="B243" s="189"/>
      <c r="C243" s="189"/>
      <c r="D243" s="230"/>
      <c r="E243" s="230"/>
      <c r="F243" s="231"/>
      <c r="G243" s="189"/>
      <c r="H243" s="230"/>
      <c r="I243" s="230"/>
      <c r="J243" s="232"/>
      <c r="K243" s="233"/>
      <c r="L243" s="186"/>
      <c r="M243" s="186"/>
      <c r="N243" s="186"/>
      <c r="O243" s="234"/>
      <c r="P243" s="186"/>
      <c r="Q243" s="234"/>
      <c r="R243" s="234"/>
      <c r="S243" s="186"/>
      <c r="T243" s="186"/>
      <c r="U243" s="186"/>
      <c r="V243" s="186"/>
      <c r="W243" s="186"/>
      <c r="X243" s="186"/>
      <c r="Y243" s="186"/>
      <c r="Z243" s="186"/>
    </row>
    <row r="244" spans="1:26" ht="12.75" customHeight="1">
      <c r="A244" s="186"/>
      <c r="B244" s="189"/>
      <c r="C244" s="189"/>
      <c r="D244" s="230"/>
      <c r="E244" s="230"/>
      <c r="F244" s="231"/>
      <c r="G244" s="189"/>
      <c r="H244" s="230"/>
      <c r="I244" s="230"/>
      <c r="J244" s="232"/>
      <c r="K244" s="233"/>
      <c r="L244" s="186"/>
      <c r="M244" s="186"/>
      <c r="N244" s="186"/>
      <c r="O244" s="234"/>
      <c r="P244" s="186"/>
      <c r="Q244" s="234"/>
      <c r="R244" s="234"/>
      <c r="S244" s="186"/>
      <c r="T244" s="186"/>
      <c r="U244" s="186"/>
      <c r="V244" s="186"/>
      <c r="W244" s="186"/>
      <c r="X244" s="186"/>
      <c r="Y244" s="186"/>
      <c r="Z244" s="186"/>
    </row>
    <row r="245" spans="1:26" ht="12.75" customHeight="1">
      <c r="A245" s="186"/>
      <c r="B245" s="189"/>
      <c r="C245" s="189"/>
      <c r="D245" s="230"/>
      <c r="E245" s="230"/>
      <c r="F245" s="231"/>
      <c r="G245" s="189"/>
      <c r="H245" s="230"/>
      <c r="I245" s="230"/>
      <c r="J245" s="232"/>
      <c r="K245" s="233"/>
      <c r="L245" s="186"/>
      <c r="M245" s="186"/>
      <c r="N245" s="186"/>
      <c r="O245" s="234"/>
      <c r="P245" s="186"/>
      <c r="Q245" s="234"/>
      <c r="R245" s="234"/>
      <c r="S245" s="186"/>
      <c r="T245" s="186"/>
      <c r="U245" s="186"/>
      <c r="V245" s="186"/>
      <c r="W245" s="186"/>
      <c r="X245" s="186"/>
      <c r="Y245" s="186"/>
      <c r="Z245" s="186"/>
    </row>
    <row r="246" spans="1:26" ht="12.75" customHeight="1">
      <c r="A246" s="186"/>
      <c r="B246" s="189"/>
      <c r="C246" s="189"/>
      <c r="D246" s="230"/>
      <c r="E246" s="230"/>
      <c r="F246" s="231"/>
      <c r="G246" s="189"/>
      <c r="H246" s="230"/>
      <c r="I246" s="230"/>
      <c r="J246" s="232"/>
      <c r="K246" s="233"/>
      <c r="L246" s="186"/>
      <c r="M246" s="186"/>
      <c r="N246" s="186"/>
      <c r="O246" s="234"/>
      <c r="P246" s="186"/>
      <c r="Q246" s="234"/>
      <c r="R246" s="234"/>
      <c r="S246" s="186"/>
      <c r="T246" s="186"/>
      <c r="U246" s="186"/>
      <c r="V246" s="186"/>
      <c r="W246" s="186"/>
      <c r="X246" s="186"/>
      <c r="Y246" s="186"/>
      <c r="Z246" s="186"/>
    </row>
    <row r="247" spans="1:26" ht="12.75" customHeight="1">
      <c r="A247" s="186"/>
      <c r="B247" s="189"/>
      <c r="C247" s="189"/>
      <c r="D247" s="230"/>
      <c r="E247" s="230"/>
      <c r="F247" s="231"/>
      <c r="G247" s="189"/>
      <c r="H247" s="230"/>
      <c r="I247" s="230"/>
      <c r="J247" s="232"/>
      <c r="K247" s="233"/>
      <c r="L247" s="186"/>
      <c r="M247" s="186"/>
      <c r="N247" s="186"/>
      <c r="O247" s="234"/>
      <c r="P247" s="186"/>
      <c r="Q247" s="234"/>
      <c r="R247" s="234"/>
      <c r="S247" s="186"/>
      <c r="T247" s="186"/>
      <c r="U247" s="186"/>
      <c r="V247" s="186"/>
      <c r="W247" s="186"/>
      <c r="X247" s="186"/>
      <c r="Y247" s="186"/>
      <c r="Z247" s="186"/>
    </row>
    <row r="248" spans="1:26" ht="12.75" customHeight="1">
      <c r="A248" s="186"/>
      <c r="B248" s="189"/>
      <c r="C248" s="189"/>
      <c r="D248" s="230"/>
      <c r="E248" s="230"/>
      <c r="F248" s="231"/>
      <c r="G248" s="189"/>
      <c r="H248" s="230"/>
      <c r="I248" s="230"/>
      <c r="J248" s="232"/>
      <c r="K248" s="233"/>
      <c r="L248" s="186"/>
      <c r="M248" s="186"/>
      <c r="N248" s="186"/>
      <c r="O248" s="234"/>
      <c r="P248" s="186"/>
      <c r="Q248" s="234"/>
      <c r="R248" s="234"/>
      <c r="S248" s="186"/>
      <c r="T248" s="186"/>
      <c r="U248" s="186"/>
      <c r="V248" s="186"/>
      <c r="W248" s="186"/>
      <c r="X248" s="186"/>
      <c r="Y248" s="186"/>
      <c r="Z248" s="186"/>
    </row>
    <row r="249" spans="1:26" ht="12.75" customHeight="1">
      <c r="A249" s="186"/>
      <c r="B249" s="189"/>
      <c r="C249" s="189"/>
      <c r="D249" s="230"/>
      <c r="E249" s="230"/>
      <c r="F249" s="231"/>
      <c r="G249" s="189"/>
      <c r="H249" s="230"/>
      <c r="I249" s="230"/>
      <c r="J249" s="232"/>
      <c r="K249" s="233"/>
      <c r="L249" s="186"/>
      <c r="M249" s="186"/>
      <c r="N249" s="186"/>
      <c r="O249" s="234"/>
      <c r="P249" s="186"/>
      <c r="Q249" s="234"/>
      <c r="R249" s="234"/>
      <c r="S249" s="186"/>
      <c r="T249" s="186"/>
      <c r="U249" s="186"/>
      <c r="V249" s="186"/>
      <c r="W249" s="186"/>
      <c r="X249" s="186"/>
      <c r="Y249" s="186"/>
      <c r="Z249" s="186"/>
    </row>
    <row r="250" spans="1:26" ht="12.75" customHeight="1">
      <c r="A250" s="186"/>
      <c r="B250" s="189"/>
      <c r="C250" s="189"/>
      <c r="D250" s="230"/>
      <c r="E250" s="230"/>
      <c r="F250" s="231"/>
      <c r="G250" s="189"/>
      <c r="H250" s="230"/>
      <c r="I250" s="230"/>
      <c r="J250" s="232"/>
      <c r="K250" s="233"/>
      <c r="L250" s="186"/>
      <c r="M250" s="186"/>
      <c r="N250" s="186"/>
      <c r="O250" s="234"/>
      <c r="P250" s="186"/>
      <c r="Q250" s="234"/>
      <c r="R250" s="234"/>
      <c r="S250" s="186"/>
      <c r="T250" s="186"/>
      <c r="U250" s="186"/>
      <c r="V250" s="186"/>
      <c r="W250" s="186"/>
      <c r="X250" s="186"/>
      <c r="Y250" s="186"/>
      <c r="Z250" s="186"/>
    </row>
    <row r="251" spans="1:26" ht="12.75" customHeight="1">
      <c r="A251" s="186"/>
      <c r="B251" s="189"/>
      <c r="C251" s="189"/>
      <c r="D251" s="230"/>
      <c r="E251" s="230"/>
      <c r="F251" s="231"/>
      <c r="G251" s="189"/>
      <c r="H251" s="230"/>
      <c r="I251" s="230"/>
      <c r="J251" s="232"/>
      <c r="K251" s="233"/>
      <c r="L251" s="186"/>
      <c r="M251" s="186"/>
      <c r="N251" s="186"/>
      <c r="O251" s="234"/>
      <c r="P251" s="186"/>
      <c r="Q251" s="234"/>
      <c r="R251" s="234"/>
      <c r="S251" s="186"/>
      <c r="T251" s="186"/>
      <c r="U251" s="186"/>
      <c r="V251" s="186"/>
      <c r="W251" s="186"/>
      <c r="X251" s="186"/>
      <c r="Y251" s="186"/>
      <c r="Z251" s="186"/>
    </row>
    <row r="252" spans="1:26" ht="12.75" customHeight="1">
      <c r="A252" s="186"/>
      <c r="B252" s="189"/>
      <c r="C252" s="189"/>
      <c r="D252" s="230"/>
      <c r="E252" s="230"/>
      <c r="F252" s="231"/>
      <c r="G252" s="189"/>
      <c r="H252" s="230"/>
      <c r="I252" s="230"/>
      <c r="J252" s="232"/>
      <c r="K252" s="233"/>
      <c r="L252" s="186"/>
      <c r="M252" s="186"/>
      <c r="N252" s="186"/>
      <c r="O252" s="234"/>
      <c r="P252" s="186"/>
      <c r="Q252" s="234"/>
      <c r="R252" s="234"/>
      <c r="S252" s="186"/>
      <c r="T252" s="186"/>
      <c r="U252" s="186"/>
      <c r="V252" s="186"/>
      <c r="W252" s="186"/>
      <c r="X252" s="186"/>
      <c r="Y252" s="186"/>
      <c r="Z252" s="186"/>
    </row>
    <row r="253" spans="1:26" ht="12.75" customHeight="1">
      <c r="A253" s="186"/>
      <c r="B253" s="189"/>
      <c r="C253" s="189"/>
      <c r="D253" s="230"/>
      <c r="E253" s="230"/>
      <c r="F253" s="231"/>
      <c r="G253" s="189"/>
      <c r="H253" s="230"/>
      <c r="I253" s="230"/>
      <c r="J253" s="232"/>
      <c r="K253" s="233"/>
      <c r="L253" s="186"/>
      <c r="M253" s="186"/>
      <c r="N253" s="186"/>
      <c r="O253" s="234"/>
      <c r="P253" s="186"/>
      <c r="Q253" s="234"/>
      <c r="R253" s="234"/>
      <c r="S253" s="186"/>
      <c r="T253" s="186"/>
      <c r="U253" s="186"/>
      <c r="V253" s="186"/>
      <c r="W253" s="186"/>
      <c r="X253" s="186"/>
      <c r="Y253" s="186"/>
      <c r="Z253" s="186"/>
    </row>
    <row r="254" spans="1:26" ht="12.75" customHeight="1">
      <c r="A254" s="186"/>
      <c r="B254" s="189"/>
      <c r="C254" s="189"/>
      <c r="D254" s="230"/>
      <c r="E254" s="230"/>
      <c r="F254" s="231"/>
      <c r="G254" s="189"/>
      <c r="H254" s="230"/>
      <c r="I254" s="230"/>
      <c r="J254" s="232"/>
      <c r="K254" s="233"/>
      <c r="L254" s="186"/>
      <c r="M254" s="186"/>
      <c r="N254" s="186"/>
      <c r="O254" s="234"/>
      <c r="P254" s="186"/>
      <c r="Q254" s="234"/>
      <c r="R254" s="234"/>
      <c r="S254" s="186"/>
      <c r="T254" s="186"/>
      <c r="U254" s="186"/>
      <c r="V254" s="186"/>
      <c r="W254" s="186"/>
      <c r="X254" s="186"/>
      <c r="Y254" s="186"/>
      <c r="Z254" s="186"/>
    </row>
    <row r="255" spans="1:26" ht="12.75" customHeight="1">
      <c r="A255" s="186"/>
      <c r="B255" s="189"/>
      <c r="C255" s="189"/>
      <c r="D255" s="230"/>
      <c r="E255" s="230"/>
      <c r="F255" s="231"/>
      <c r="G255" s="189"/>
      <c r="H255" s="230"/>
      <c r="I255" s="230"/>
      <c r="J255" s="232"/>
      <c r="K255" s="233"/>
      <c r="L255" s="186"/>
      <c r="M255" s="186"/>
      <c r="N255" s="186"/>
      <c r="O255" s="234"/>
      <c r="P255" s="186"/>
      <c r="Q255" s="234"/>
      <c r="R255" s="234"/>
      <c r="S255" s="186"/>
      <c r="T255" s="186"/>
      <c r="U255" s="186"/>
      <c r="V255" s="186"/>
      <c r="W255" s="186"/>
      <c r="X255" s="186"/>
      <c r="Y255" s="186"/>
      <c r="Z255" s="186"/>
    </row>
    <row r="256" spans="1:26" ht="12.75" customHeight="1">
      <c r="A256" s="186"/>
      <c r="B256" s="189"/>
      <c r="C256" s="189"/>
      <c r="D256" s="230"/>
      <c r="E256" s="230"/>
      <c r="F256" s="231"/>
      <c r="G256" s="189"/>
      <c r="H256" s="230"/>
      <c r="I256" s="230"/>
      <c r="J256" s="232"/>
      <c r="K256" s="233"/>
      <c r="L256" s="186"/>
      <c r="M256" s="186"/>
      <c r="N256" s="186"/>
      <c r="O256" s="234"/>
      <c r="P256" s="186"/>
      <c r="Q256" s="234"/>
      <c r="R256" s="234"/>
      <c r="S256" s="186"/>
      <c r="T256" s="186"/>
      <c r="U256" s="186"/>
      <c r="V256" s="186"/>
      <c r="W256" s="186"/>
      <c r="X256" s="186"/>
      <c r="Y256" s="186"/>
      <c r="Z256" s="186"/>
    </row>
    <row r="257" spans="1:26" ht="12.75" customHeight="1">
      <c r="A257" s="186"/>
      <c r="B257" s="189"/>
      <c r="C257" s="189"/>
      <c r="D257" s="230"/>
      <c r="E257" s="230"/>
      <c r="F257" s="231"/>
      <c r="G257" s="189"/>
      <c r="H257" s="230"/>
      <c r="I257" s="230"/>
      <c r="J257" s="232"/>
      <c r="K257" s="233"/>
      <c r="L257" s="186"/>
      <c r="M257" s="186"/>
      <c r="N257" s="186"/>
      <c r="O257" s="234"/>
      <c r="P257" s="186"/>
      <c r="Q257" s="234"/>
      <c r="R257" s="234"/>
      <c r="S257" s="186"/>
      <c r="T257" s="186"/>
      <c r="U257" s="186"/>
      <c r="V257" s="186"/>
      <c r="W257" s="186"/>
      <c r="X257" s="186"/>
      <c r="Y257" s="186"/>
      <c r="Z257" s="186"/>
    </row>
    <row r="258" spans="1:26" ht="12.75" customHeight="1">
      <c r="A258" s="186"/>
      <c r="B258" s="189"/>
      <c r="C258" s="189"/>
      <c r="D258" s="230"/>
      <c r="E258" s="230"/>
      <c r="F258" s="231"/>
      <c r="G258" s="189"/>
      <c r="H258" s="230"/>
      <c r="I258" s="230"/>
      <c r="J258" s="232"/>
      <c r="K258" s="233"/>
      <c r="L258" s="186"/>
      <c r="M258" s="186"/>
      <c r="N258" s="186"/>
      <c r="O258" s="234"/>
      <c r="P258" s="186"/>
      <c r="Q258" s="234"/>
      <c r="R258" s="234"/>
      <c r="S258" s="186"/>
      <c r="T258" s="186"/>
      <c r="U258" s="186"/>
      <c r="V258" s="186"/>
      <c r="W258" s="186"/>
      <c r="X258" s="186"/>
      <c r="Y258" s="186"/>
      <c r="Z258" s="186"/>
    </row>
    <row r="259" spans="1:26" ht="12.75" customHeight="1">
      <c r="A259" s="186"/>
      <c r="B259" s="189"/>
      <c r="C259" s="189"/>
      <c r="D259" s="230"/>
      <c r="E259" s="230"/>
      <c r="F259" s="231"/>
      <c r="G259" s="189"/>
      <c r="H259" s="230"/>
      <c r="I259" s="230"/>
      <c r="J259" s="232"/>
      <c r="K259" s="233"/>
      <c r="L259" s="186"/>
      <c r="M259" s="186"/>
      <c r="N259" s="186"/>
      <c r="O259" s="234"/>
      <c r="P259" s="186"/>
      <c r="Q259" s="234"/>
      <c r="R259" s="234"/>
      <c r="S259" s="186"/>
      <c r="T259" s="186"/>
      <c r="U259" s="186"/>
      <c r="V259" s="186"/>
      <c r="W259" s="186"/>
      <c r="X259" s="186"/>
      <c r="Y259" s="186"/>
      <c r="Z259" s="186"/>
    </row>
    <row r="260" spans="1:26" ht="12.75" customHeight="1">
      <c r="A260" s="186"/>
      <c r="B260" s="189"/>
      <c r="C260" s="189"/>
      <c r="D260" s="230"/>
      <c r="E260" s="230"/>
      <c r="F260" s="231"/>
      <c r="G260" s="189"/>
      <c r="H260" s="230"/>
      <c r="I260" s="230"/>
      <c r="J260" s="232"/>
      <c r="K260" s="233"/>
      <c r="L260" s="186"/>
      <c r="M260" s="186"/>
      <c r="N260" s="186"/>
      <c r="O260" s="234"/>
      <c r="P260" s="186"/>
      <c r="Q260" s="234"/>
      <c r="R260" s="234"/>
      <c r="S260" s="186"/>
      <c r="T260" s="186"/>
      <c r="U260" s="186"/>
      <c r="V260" s="186"/>
      <c r="W260" s="186"/>
      <c r="X260" s="186"/>
      <c r="Y260" s="186"/>
      <c r="Z260" s="186"/>
    </row>
    <row r="261" spans="1:26" ht="12.75" customHeight="1">
      <c r="A261" s="186"/>
      <c r="B261" s="189"/>
      <c r="C261" s="189"/>
      <c r="D261" s="230"/>
      <c r="E261" s="230"/>
      <c r="F261" s="231"/>
      <c r="G261" s="189"/>
      <c r="H261" s="230"/>
      <c r="I261" s="230"/>
      <c r="J261" s="232"/>
      <c r="K261" s="233"/>
      <c r="L261" s="186"/>
      <c r="M261" s="186"/>
      <c r="N261" s="186"/>
      <c r="O261" s="234"/>
      <c r="P261" s="186"/>
      <c r="Q261" s="234"/>
      <c r="R261" s="234"/>
      <c r="S261" s="186"/>
      <c r="T261" s="186"/>
      <c r="U261" s="186"/>
      <c r="V261" s="186"/>
      <c r="W261" s="186"/>
      <c r="X261" s="186"/>
      <c r="Y261" s="186"/>
      <c r="Z261" s="186"/>
    </row>
    <row r="262" spans="1:26" ht="12.75" customHeight="1">
      <c r="A262" s="186"/>
      <c r="B262" s="189"/>
      <c r="C262" s="189"/>
      <c r="D262" s="230"/>
      <c r="E262" s="230"/>
      <c r="F262" s="231"/>
      <c r="G262" s="189"/>
      <c r="H262" s="230"/>
      <c r="I262" s="230"/>
      <c r="J262" s="232"/>
      <c r="K262" s="233"/>
      <c r="L262" s="186"/>
      <c r="M262" s="186"/>
      <c r="N262" s="186"/>
      <c r="O262" s="234"/>
      <c r="P262" s="186"/>
      <c r="Q262" s="234"/>
      <c r="R262" s="234"/>
      <c r="S262" s="186"/>
      <c r="T262" s="186"/>
      <c r="U262" s="186"/>
      <c r="V262" s="186"/>
      <c r="W262" s="186"/>
      <c r="X262" s="186"/>
      <c r="Y262" s="186"/>
      <c r="Z262" s="186"/>
    </row>
    <row r="263" spans="1:26" ht="12.75" customHeight="1">
      <c r="A263" s="186"/>
      <c r="B263" s="189"/>
      <c r="C263" s="189"/>
      <c r="D263" s="230"/>
      <c r="E263" s="230"/>
      <c r="F263" s="231"/>
      <c r="G263" s="189"/>
      <c r="H263" s="230"/>
      <c r="I263" s="230"/>
      <c r="J263" s="232"/>
      <c r="K263" s="233"/>
      <c r="L263" s="186"/>
      <c r="M263" s="186"/>
      <c r="N263" s="186"/>
      <c r="O263" s="234"/>
      <c r="P263" s="186"/>
      <c r="Q263" s="234"/>
      <c r="R263" s="234"/>
      <c r="S263" s="186"/>
      <c r="T263" s="186"/>
      <c r="U263" s="186"/>
      <c r="V263" s="186"/>
      <c r="W263" s="186"/>
      <c r="X263" s="186"/>
      <c r="Y263" s="186"/>
      <c r="Z263" s="186"/>
    </row>
    <row r="264" spans="1:26" ht="12.75" customHeight="1">
      <c r="A264" s="186"/>
      <c r="B264" s="189"/>
      <c r="C264" s="189"/>
      <c r="D264" s="230"/>
      <c r="E264" s="230"/>
      <c r="F264" s="231"/>
      <c r="G264" s="189"/>
      <c r="H264" s="230"/>
      <c r="I264" s="230"/>
      <c r="J264" s="232"/>
      <c r="K264" s="233"/>
      <c r="L264" s="186"/>
      <c r="M264" s="186"/>
      <c r="N264" s="186"/>
      <c r="O264" s="234"/>
      <c r="P264" s="186"/>
      <c r="Q264" s="234"/>
      <c r="R264" s="234"/>
      <c r="S264" s="186"/>
      <c r="T264" s="186"/>
      <c r="U264" s="186"/>
      <c r="V264" s="186"/>
      <c r="W264" s="186"/>
      <c r="X264" s="186"/>
      <c r="Y264" s="186"/>
      <c r="Z264" s="186"/>
    </row>
    <row r="265" spans="1:26" ht="12.75" customHeight="1">
      <c r="A265" s="186"/>
      <c r="B265" s="189"/>
      <c r="C265" s="189"/>
      <c r="D265" s="230"/>
      <c r="E265" s="230"/>
      <c r="F265" s="231"/>
      <c r="G265" s="189"/>
      <c r="H265" s="230"/>
      <c r="I265" s="230"/>
      <c r="J265" s="232"/>
      <c r="K265" s="233"/>
      <c r="L265" s="186"/>
      <c r="M265" s="186"/>
      <c r="N265" s="186"/>
      <c r="O265" s="234"/>
      <c r="P265" s="186"/>
      <c r="Q265" s="234"/>
      <c r="R265" s="234"/>
      <c r="S265" s="186"/>
      <c r="T265" s="186"/>
      <c r="U265" s="186"/>
      <c r="V265" s="186"/>
      <c r="W265" s="186"/>
      <c r="X265" s="186"/>
      <c r="Y265" s="186"/>
      <c r="Z265" s="186"/>
    </row>
    <row r="266" spans="1:26" ht="12.75" customHeight="1">
      <c r="A266" s="186"/>
      <c r="B266" s="189"/>
      <c r="C266" s="189"/>
      <c r="D266" s="230"/>
      <c r="E266" s="230"/>
      <c r="F266" s="231"/>
      <c r="G266" s="189"/>
      <c r="H266" s="230"/>
      <c r="I266" s="230"/>
      <c r="J266" s="232"/>
      <c r="K266" s="233"/>
      <c r="L266" s="186"/>
      <c r="M266" s="186"/>
      <c r="N266" s="186"/>
      <c r="O266" s="234"/>
      <c r="P266" s="186"/>
      <c r="Q266" s="234"/>
      <c r="R266" s="234"/>
      <c r="S266" s="186"/>
      <c r="T266" s="186"/>
      <c r="U266" s="186"/>
      <c r="V266" s="186"/>
      <c r="W266" s="186"/>
      <c r="X266" s="186"/>
      <c r="Y266" s="186"/>
      <c r="Z266" s="186"/>
    </row>
    <row r="267" spans="1:26" ht="12.75" customHeight="1">
      <c r="A267" s="186"/>
      <c r="B267" s="189"/>
      <c r="C267" s="189"/>
      <c r="D267" s="230"/>
      <c r="E267" s="230"/>
      <c r="F267" s="231"/>
      <c r="G267" s="189"/>
      <c r="H267" s="230"/>
      <c r="I267" s="230"/>
      <c r="J267" s="232"/>
      <c r="K267" s="233"/>
      <c r="L267" s="186"/>
      <c r="M267" s="186"/>
      <c r="N267" s="186"/>
      <c r="O267" s="234"/>
      <c r="P267" s="186"/>
      <c r="Q267" s="234"/>
      <c r="R267" s="234"/>
      <c r="S267" s="186"/>
      <c r="T267" s="186"/>
      <c r="U267" s="186"/>
      <c r="V267" s="186"/>
      <c r="W267" s="186"/>
      <c r="X267" s="186"/>
      <c r="Y267" s="186"/>
      <c r="Z267" s="186"/>
    </row>
    <row r="268" spans="1:26" ht="12.75" customHeight="1">
      <c r="A268" s="186"/>
      <c r="B268" s="189"/>
      <c r="C268" s="189"/>
      <c r="D268" s="230"/>
      <c r="E268" s="230"/>
      <c r="F268" s="231"/>
      <c r="G268" s="189"/>
      <c r="H268" s="230"/>
      <c r="I268" s="230"/>
      <c r="J268" s="232"/>
      <c r="K268" s="233"/>
      <c r="L268" s="186"/>
      <c r="M268" s="186"/>
      <c r="N268" s="186"/>
      <c r="O268" s="234"/>
      <c r="P268" s="186"/>
      <c r="Q268" s="234"/>
      <c r="R268" s="234"/>
      <c r="S268" s="186"/>
      <c r="T268" s="186"/>
      <c r="U268" s="186"/>
      <c r="V268" s="186"/>
      <c r="W268" s="186"/>
      <c r="X268" s="186"/>
      <c r="Y268" s="186"/>
      <c r="Z268" s="186"/>
    </row>
    <row r="269" spans="1:26" ht="12.75" customHeight="1">
      <c r="A269" s="186"/>
      <c r="B269" s="189"/>
      <c r="C269" s="189"/>
      <c r="D269" s="230"/>
      <c r="E269" s="230"/>
      <c r="F269" s="231"/>
      <c r="G269" s="189"/>
      <c r="H269" s="230"/>
      <c r="I269" s="230"/>
      <c r="J269" s="232"/>
      <c r="K269" s="233"/>
      <c r="L269" s="186"/>
      <c r="M269" s="186"/>
      <c r="N269" s="186"/>
      <c r="O269" s="234"/>
      <c r="P269" s="186"/>
      <c r="Q269" s="234"/>
      <c r="R269" s="234"/>
      <c r="S269" s="186"/>
      <c r="T269" s="186"/>
      <c r="U269" s="186"/>
      <c r="V269" s="186"/>
      <c r="W269" s="186"/>
      <c r="X269" s="186"/>
      <c r="Y269" s="186"/>
      <c r="Z269" s="186"/>
    </row>
    <row r="270" spans="1:26" ht="12.75" customHeight="1">
      <c r="A270" s="186"/>
      <c r="B270" s="189"/>
      <c r="C270" s="189"/>
      <c r="D270" s="230"/>
      <c r="E270" s="230"/>
      <c r="F270" s="231"/>
      <c r="G270" s="189"/>
      <c r="H270" s="230"/>
      <c r="I270" s="230"/>
      <c r="J270" s="232"/>
      <c r="K270" s="233"/>
      <c r="L270" s="186"/>
      <c r="M270" s="186"/>
      <c r="N270" s="186"/>
      <c r="O270" s="234"/>
      <c r="P270" s="186"/>
      <c r="Q270" s="234"/>
      <c r="R270" s="234"/>
      <c r="S270" s="186"/>
      <c r="T270" s="186"/>
      <c r="U270" s="186"/>
      <c r="V270" s="186"/>
      <c r="W270" s="186"/>
      <c r="X270" s="186"/>
      <c r="Y270" s="186"/>
      <c r="Z270" s="186"/>
    </row>
    <row r="271" spans="1:26" ht="12.75" customHeight="1">
      <c r="A271" s="186"/>
      <c r="B271" s="189"/>
      <c r="C271" s="189"/>
      <c r="D271" s="230"/>
      <c r="E271" s="230"/>
      <c r="F271" s="231"/>
      <c r="G271" s="189"/>
      <c r="H271" s="230"/>
      <c r="I271" s="230"/>
      <c r="J271" s="232"/>
      <c r="K271" s="233"/>
      <c r="L271" s="186"/>
      <c r="M271" s="186"/>
      <c r="N271" s="186"/>
      <c r="O271" s="234"/>
      <c r="P271" s="186"/>
      <c r="Q271" s="234"/>
      <c r="R271" s="234"/>
      <c r="S271" s="186"/>
      <c r="T271" s="186"/>
      <c r="U271" s="186"/>
      <c r="V271" s="186"/>
      <c r="W271" s="186"/>
      <c r="X271" s="186"/>
      <c r="Y271" s="186"/>
      <c r="Z271" s="186"/>
    </row>
    <row r="272" spans="1:26" ht="12.75" customHeight="1">
      <c r="A272" s="186"/>
      <c r="B272" s="189"/>
      <c r="C272" s="189"/>
      <c r="D272" s="230"/>
      <c r="E272" s="230"/>
      <c r="F272" s="231"/>
      <c r="G272" s="189"/>
      <c r="H272" s="230"/>
      <c r="I272" s="230"/>
      <c r="J272" s="232"/>
      <c r="K272" s="233"/>
      <c r="L272" s="186"/>
      <c r="M272" s="186"/>
      <c r="N272" s="186"/>
      <c r="O272" s="234"/>
      <c r="P272" s="186"/>
      <c r="Q272" s="234"/>
      <c r="R272" s="234"/>
      <c r="S272" s="186"/>
      <c r="T272" s="186"/>
      <c r="U272" s="186"/>
      <c r="V272" s="186"/>
      <c r="W272" s="186"/>
      <c r="X272" s="186"/>
      <c r="Y272" s="186"/>
      <c r="Z272" s="186"/>
    </row>
    <row r="273" spans="1:26" ht="12.75" customHeight="1">
      <c r="A273" s="186"/>
      <c r="B273" s="189"/>
      <c r="C273" s="189"/>
      <c r="D273" s="230"/>
      <c r="E273" s="230"/>
      <c r="F273" s="231"/>
      <c r="G273" s="189"/>
      <c r="H273" s="230"/>
      <c r="I273" s="230"/>
      <c r="J273" s="232"/>
      <c r="K273" s="233"/>
      <c r="L273" s="186"/>
      <c r="M273" s="186"/>
      <c r="N273" s="186"/>
      <c r="O273" s="234"/>
      <c r="P273" s="186"/>
      <c r="Q273" s="234"/>
      <c r="R273" s="234"/>
      <c r="S273" s="186"/>
      <c r="T273" s="186"/>
      <c r="U273" s="186"/>
      <c r="V273" s="186"/>
      <c r="W273" s="186"/>
      <c r="X273" s="186"/>
      <c r="Y273" s="186"/>
      <c r="Z273" s="186"/>
    </row>
    <row r="274" spans="1:26" ht="12.75" customHeight="1">
      <c r="A274" s="186"/>
      <c r="B274" s="189"/>
      <c r="C274" s="189"/>
      <c r="D274" s="230"/>
      <c r="E274" s="230"/>
      <c r="F274" s="231"/>
      <c r="G274" s="189"/>
      <c r="H274" s="230"/>
      <c r="I274" s="230"/>
      <c r="J274" s="232"/>
      <c r="K274" s="233"/>
      <c r="L274" s="186"/>
      <c r="M274" s="186"/>
      <c r="N274" s="186"/>
      <c r="O274" s="234"/>
      <c r="P274" s="186"/>
      <c r="Q274" s="234"/>
      <c r="R274" s="234"/>
      <c r="S274" s="186"/>
      <c r="T274" s="186"/>
      <c r="U274" s="186"/>
      <c r="V274" s="186"/>
      <c r="W274" s="186"/>
      <c r="X274" s="186"/>
      <c r="Y274" s="186"/>
      <c r="Z274" s="186"/>
    </row>
    <row r="275" spans="1:26" ht="12.75" customHeight="1">
      <c r="A275" s="186"/>
      <c r="B275" s="189"/>
      <c r="C275" s="189"/>
      <c r="D275" s="230"/>
      <c r="E275" s="230"/>
      <c r="F275" s="231"/>
      <c r="G275" s="189"/>
      <c r="H275" s="230"/>
      <c r="I275" s="230"/>
      <c r="J275" s="232"/>
      <c r="K275" s="233"/>
      <c r="L275" s="186"/>
      <c r="M275" s="186"/>
      <c r="N275" s="186"/>
      <c r="O275" s="234"/>
      <c r="P275" s="186"/>
      <c r="Q275" s="234"/>
      <c r="R275" s="234"/>
      <c r="S275" s="186"/>
      <c r="T275" s="186"/>
      <c r="U275" s="186"/>
      <c r="V275" s="186"/>
      <c r="W275" s="186"/>
      <c r="X275" s="186"/>
      <c r="Y275" s="186"/>
      <c r="Z275" s="186"/>
    </row>
    <row r="276" spans="1:26" ht="12.75" customHeight="1">
      <c r="A276" s="186"/>
      <c r="B276" s="189"/>
      <c r="C276" s="189"/>
      <c r="D276" s="230"/>
      <c r="E276" s="230"/>
      <c r="F276" s="231"/>
      <c r="G276" s="189"/>
      <c r="H276" s="230"/>
      <c r="I276" s="230"/>
      <c r="J276" s="232"/>
      <c r="K276" s="233"/>
      <c r="L276" s="186"/>
      <c r="M276" s="186"/>
      <c r="N276" s="186"/>
      <c r="O276" s="234"/>
      <c r="P276" s="186"/>
      <c r="Q276" s="234"/>
      <c r="R276" s="234"/>
      <c r="S276" s="186"/>
      <c r="T276" s="186"/>
      <c r="U276" s="186"/>
      <c r="V276" s="186"/>
      <c r="W276" s="186"/>
      <c r="X276" s="186"/>
      <c r="Y276" s="186"/>
      <c r="Z276" s="186"/>
    </row>
    <row r="277" spans="1:26" ht="12.75" customHeight="1">
      <c r="A277" s="186"/>
      <c r="B277" s="189"/>
      <c r="C277" s="189"/>
      <c r="D277" s="230"/>
      <c r="E277" s="230"/>
      <c r="F277" s="231"/>
      <c r="G277" s="189"/>
      <c r="H277" s="230"/>
      <c r="I277" s="230"/>
      <c r="J277" s="232"/>
      <c r="K277" s="233"/>
      <c r="L277" s="186"/>
      <c r="M277" s="186"/>
      <c r="N277" s="186"/>
      <c r="O277" s="234"/>
      <c r="P277" s="186"/>
      <c r="Q277" s="234"/>
      <c r="R277" s="234"/>
      <c r="S277" s="186"/>
      <c r="T277" s="186"/>
      <c r="U277" s="186"/>
      <c r="V277" s="186"/>
      <c r="W277" s="186"/>
      <c r="X277" s="186"/>
      <c r="Y277" s="186"/>
      <c r="Z277" s="186"/>
    </row>
    <row r="278" spans="1:26" ht="12.75" customHeight="1">
      <c r="A278" s="186"/>
      <c r="B278" s="189"/>
      <c r="C278" s="189"/>
      <c r="D278" s="230"/>
      <c r="E278" s="230"/>
      <c r="F278" s="231"/>
      <c r="G278" s="189"/>
      <c r="H278" s="230"/>
      <c r="I278" s="230"/>
      <c r="J278" s="232"/>
      <c r="K278" s="233"/>
      <c r="L278" s="186"/>
      <c r="M278" s="186"/>
      <c r="N278" s="186"/>
      <c r="O278" s="234"/>
      <c r="P278" s="186"/>
      <c r="Q278" s="234"/>
      <c r="R278" s="234"/>
      <c r="S278" s="186"/>
      <c r="T278" s="186"/>
      <c r="U278" s="186"/>
      <c r="V278" s="186"/>
      <c r="W278" s="186"/>
      <c r="X278" s="186"/>
      <c r="Y278" s="186"/>
      <c r="Z278" s="186"/>
    </row>
    <row r="279" spans="1:26" ht="12.75" customHeight="1">
      <c r="A279" s="186"/>
      <c r="B279" s="189"/>
      <c r="C279" s="189"/>
      <c r="D279" s="230"/>
      <c r="E279" s="230"/>
      <c r="F279" s="231"/>
      <c r="G279" s="189"/>
      <c r="H279" s="230"/>
      <c r="I279" s="230"/>
      <c r="J279" s="232"/>
      <c r="K279" s="233"/>
      <c r="L279" s="186"/>
      <c r="M279" s="186"/>
      <c r="N279" s="186"/>
      <c r="O279" s="234"/>
      <c r="P279" s="186"/>
      <c r="Q279" s="234"/>
      <c r="R279" s="234"/>
      <c r="S279" s="186"/>
      <c r="T279" s="186"/>
      <c r="U279" s="186"/>
      <c r="V279" s="186"/>
      <c r="W279" s="186"/>
      <c r="X279" s="186"/>
      <c r="Y279" s="186"/>
      <c r="Z279" s="186"/>
    </row>
    <row r="280" spans="1:26" ht="12.75" customHeight="1">
      <c r="A280" s="186"/>
      <c r="B280" s="189"/>
      <c r="C280" s="189"/>
      <c r="D280" s="230"/>
      <c r="E280" s="230"/>
      <c r="F280" s="231"/>
      <c r="G280" s="189"/>
      <c r="H280" s="230"/>
      <c r="I280" s="230"/>
      <c r="J280" s="232"/>
      <c r="K280" s="233"/>
      <c r="L280" s="186"/>
      <c r="M280" s="186"/>
      <c r="N280" s="186"/>
      <c r="O280" s="234"/>
      <c r="P280" s="186"/>
      <c r="Q280" s="234"/>
      <c r="R280" s="234"/>
      <c r="S280" s="186"/>
      <c r="T280" s="186"/>
      <c r="U280" s="186"/>
      <c r="V280" s="186"/>
      <c r="W280" s="186"/>
      <c r="X280" s="186"/>
      <c r="Y280" s="186"/>
      <c r="Z280" s="186"/>
    </row>
    <row r="281" spans="1:26" ht="12.75" customHeight="1">
      <c r="A281" s="186"/>
      <c r="B281" s="189"/>
      <c r="C281" s="189"/>
      <c r="D281" s="230"/>
      <c r="E281" s="230"/>
      <c r="F281" s="231"/>
      <c r="G281" s="189"/>
      <c r="H281" s="230"/>
      <c r="I281" s="230"/>
      <c r="J281" s="232"/>
      <c r="K281" s="233"/>
      <c r="L281" s="186"/>
      <c r="M281" s="186"/>
      <c r="N281" s="186"/>
      <c r="O281" s="234"/>
      <c r="P281" s="186"/>
      <c r="Q281" s="234"/>
      <c r="R281" s="234"/>
      <c r="S281" s="186"/>
      <c r="T281" s="186"/>
      <c r="U281" s="186"/>
      <c r="V281" s="186"/>
      <c r="W281" s="186"/>
      <c r="X281" s="186"/>
      <c r="Y281" s="186"/>
      <c r="Z281" s="186"/>
    </row>
    <row r="282" spans="1:26" ht="12.75" customHeight="1">
      <c r="A282" s="186"/>
      <c r="B282" s="189"/>
      <c r="C282" s="189"/>
      <c r="D282" s="230"/>
      <c r="E282" s="230"/>
      <c r="F282" s="231"/>
      <c r="G282" s="189"/>
      <c r="H282" s="230"/>
      <c r="I282" s="230"/>
      <c r="J282" s="232"/>
      <c r="K282" s="233"/>
      <c r="L282" s="186"/>
      <c r="M282" s="186"/>
      <c r="N282" s="186"/>
      <c r="O282" s="234"/>
      <c r="P282" s="186"/>
      <c r="Q282" s="234"/>
      <c r="R282" s="234"/>
      <c r="S282" s="186"/>
      <c r="T282" s="186"/>
      <c r="U282" s="186"/>
      <c r="V282" s="186"/>
      <c r="W282" s="186"/>
      <c r="X282" s="186"/>
      <c r="Y282" s="186"/>
      <c r="Z282" s="186"/>
    </row>
    <row r="283" spans="1:26" ht="12.75" customHeight="1">
      <c r="A283" s="186"/>
      <c r="B283" s="189"/>
      <c r="C283" s="189"/>
      <c r="D283" s="230"/>
      <c r="E283" s="230"/>
      <c r="F283" s="231"/>
      <c r="G283" s="189"/>
      <c r="H283" s="230"/>
      <c r="I283" s="230"/>
      <c r="J283" s="232"/>
      <c r="K283" s="233"/>
      <c r="L283" s="186"/>
      <c r="M283" s="186"/>
      <c r="N283" s="186"/>
      <c r="O283" s="234"/>
      <c r="P283" s="186"/>
      <c r="Q283" s="234"/>
      <c r="R283" s="234"/>
      <c r="S283" s="186"/>
      <c r="T283" s="186"/>
      <c r="U283" s="186"/>
      <c r="V283" s="186"/>
      <c r="W283" s="186"/>
      <c r="X283" s="186"/>
      <c r="Y283" s="186"/>
      <c r="Z283" s="186"/>
    </row>
    <row r="284" spans="1:26" ht="12.75" customHeight="1">
      <c r="A284" s="186"/>
      <c r="B284" s="189"/>
      <c r="C284" s="189"/>
      <c r="D284" s="230"/>
      <c r="E284" s="230"/>
      <c r="F284" s="231"/>
      <c r="G284" s="189"/>
      <c r="H284" s="230"/>
      <c r="I284" s="230"/>
      <c r="J284" s="232"/>
      <c r="K284" s="233"/>
      <c r="L284" s="186"/>
      <c r="M284" s="186"/>
      <c r="N284" s="186"/>
      <c r="O284" s="234"/>
      <c r="P284" s="186"/>
      <c r="Q284" s="234"/>
      <c r="R284" s="234"/>
      <c r="S284" s="186"/>
      <c r="T284" s="186"/>
      <c r="U284" s="186"/>
      <c r="V284" s="186"/>
      <c r="W284" s="186"/>
      <c r="X284" s="186"/>
      <c r="Y284" s="186"/>
      <c r="Z284" s="186"/>
    </row>
    <row r="285" spans="1:26" ht="12.75" customHeight="1">
      <c r="A285" s="186"/>
      <c r="B285" s="189"/>
      <c r="C285" s="189"/>
      <c r="D285" s="230"/>
      <c r="E285" s="230"/>
      <c r="F285" s="231"/>
      <c r="G285" s="189"/>
      <c r="H285" s="230"/>
      <c r="I285" s="230"/>
      <c r="J285" s="232"/>
      <c r="K285" s="233"/>
      <c r="L285" s="186"/>
      <c r="M285" s="186"/>
      <c r="N285" s="186"/>
      <c r="O285" s="234"/>
      <c r="P285" s="186"/>
      <c r="Q285" s="234"/>
      <c r="R285" s="234"/>
      <c r="S285" s="186"/>
      <c r="T285" s="186"/>
      <c r="U285" s="186"/>
      <c r="V285" s="186"/>
      <c r="W285" s="186"/>
      <c r="X285" s="186"/>
      <c r="Y285" s="186"/>
      <c r="Z285" s="186"/>
    </row>
    <row r="286" spans="1:26" ht="12.75" customHeight="1">
      <c r="A286" s="186"/>
      <c r="B286" s="189"/>
      <c r="C286" s="189"/>
      <c r="D286" s="230"/>
      <c r="E286" s="230"/>
      <c r="F286" s="231"/>
      <c r="G286" s="189"/>
      <c r="H286" s="230"/>
      <c r="I286" s="230"/>
      <c r="J286" s="232"/>
      <c r="K286" s="233"/>
      <c r="L286" s="186"/>
      <c r="M286" s="186"/>
      <c r="N286" s="186"/>
      <c r="O286" s="234"/>
      <c r="P286" s="186"/>
      <c r="Q286" s="234"/>
      <c r="R286" s="234"/>
      <c r="S286" s="186"/>
      <c r="T286" s="186"/>
      <c r="U286" s="186"/>
      <c r="V286" s="186"/>
      <c r="W286" s="186"/>
      <c r="X286" s="186"/>
      <c r="Y286" s="186"/>
      <c r="Z286" s="186"/>
    </row>
    <row r="287" spans="1:26" ht="12.75" customHeight="1">
      <c r="A287" s="186"/>
      <c r="B287" s="189"/>
      <c r="C287" s="189"/>
      <c r="D287" s="230"/>
      <c r="E287" s="230"/>
      <c r="F287" s="231"/>
      <c r="G287" s="189"/>
      <c r="H287" s="230"/>
      <c r="I287" s="230"/>
      <c r="J287" s="232"/>
      <c r="K287" s="233"/>
      <c r="L287" s="186"/>
      <c r="M287" s="186"/>
      <c r="N287" s="186"/>
      <c r="O287" s="234"/>
      <c r="P287" s="186"/>
      <c r="Q287" s="234"/>
      <c r="R287" s="234"/>
      <c r="S287" s="186"/>
      <c r="T287" s="186"/>
      <c r="U287" s="186"/>
      <c r="V287" s="186"/>
      <c r="W287" s="186"/>
      <c r="X287" s="186"/>
      <c r="Y287" s="186"/>
      <c r="Z287" s="186"/>
    </row>
    <row r="288" spans="1:26" ht="12.75" customHeight="1">
      <c r="A288" s="186"/>
      <c r="B288" s="189"/>
      <c r="C288" s="189"/>
      <c r="D288" s="230"/>
      <c r="E288" s="230"/>
      <c r="F288" s="231"/>
      <c r="G288" s="189"/>
      <c r="H288" s="230"/>
      <c r="I288" s="230"/>
      <c r="J288" s="232"/>
      <c r="K288" s="233"/>
      <c r="L288" s="186"/>
      <c r="M288" s="186"/>
      <c r="N288" s="186"/>
      <c r="O288" s="234"/>
      <c r="P288" s="186"/>
      <c r="Q288" s="234"/>
      <c r="R288" s="234"/>
      <c r="S288" s="186"/>
      <c r="T288" s="186"/>
      <c r="U288" s="186"/>
      <c r="V288" s="186"/>
      <c r="W288" s="186"/>
      <c r="X288" s="186"/>
      <c r="Y288" s="186"/>
      <c r="Z288" s="186"/>
    </row>
    <row r="289" spans="1:26" ht="12.75" customHeight="1">
      <c r="A289" s="186"/>
      <c r="B289" s="189"/>
      <c r="C289" s="189"/>
      <c r="D289" s="230"/>
      <c r="E289" s="230"/>
      <c r="F289" s="231"/>
      <c r="G289" s="189"/>
      <c r="H289" s="230"/>
      <c r="I289" s="230"/>
      <c r="J289" s="232"/>
      <c r="K289" s="233"/>
      <c r="L289" s="186"/>
      <c r="M289" s="186"/>
      <c r="N289" s="186"/>
      <c r="O289" s="234"/>
      <c r="P289" s="186"/>
      <c r="Q289" s="234"/>
      <c r="R289" s="234"/>
      <c r="S289" s="186"/>
      <c r="T289" s="186"/>
      <c r="U289" s="186"/>
      <c r="V289" s="186"/>
      <c r="W289" s="186"/>
      <c r="X289" s="186"/>
      <c r="Y289" s="186"/>
      <c r="Z289" s="186"/>
    </row>
    <row r="290" spans="1:26" ht="12.75" customHeight="1">
      <c r="A290" s="186"/>
      <c r="B290" s="189"/>
      <c r="C290" s="189"/>
      <c r="D290" s="230"/>
      <c r="E290" s="230"/>
      <c r="F290" s="231"/>
      <c r="G290" s="189"/>
      <c r="H290" s="230"/>
      <c r="I290" s="230"/>
      <c r="J290" s="232"/>
      <c r="K290" s="233"/>
      <c r="L290" s="186"/>
      <c r="M290" s="186"/>
      <c r="N290" s="186"/>
      <c r="O290" s="234"/>
      <c r="P290" s="186"/>
      <c r="Q290" s="234"/>
      <c r="R290" s="234"/>
      <c r="S290" s="186"/>
      <c r="T290" s="186"/>
      <c r="U290" s="186"/>
      <c r="V290" s="186"/>
      <c r="W290" s="186"/>
      <c r="X290" s="186"/>
      <c r="Y290" s="186"/>
      <c r="Z290" s="186"/>
    </row>
    <row r="291" spans="1:26" ht="12.75" customHeight="1">
      <c r="A291" s="186"/>
      <c r="B291" s="189"/>
      <c r="C291" s="189"/>
      <c r="D291" s="230"/>
      <c r="E291" s="230"/>
      <c r="F291" s="231"/>
      <c r="G291" s="189"/>
      <c r="H291" s="230"/>
      <c r="I291" s="230"/>
      <c r="J291" s="232"/>
      <c r="K291" s="233"/>
      <c r="L291" s="186"/>
      <c r="M291" s="186"/>
      <c r="N291" s="186"/>
      <c r="O291" s="234"/>
      <c r="P291" s="186"/>
      <c r="Q291" s="234"/>
      <c r="R291" s="234"/>
      <c r="S291" s="186"/>
      <c r="T291" s="186"/>
      <c r="U291" s="186"/>
      <c r="V291" s="186"/>
      <c r="W291" s="186"/>
      <c r="X291" s="186"/>
      <c r="Y291" s="186"/>
      <c r="Z291" s="186"/>
    </row>
    <row r="292" spans="1:26" ht="12.75" customHeight="1">
      <c r="A292" s="186"/>
      <c r="B292" s="189"/>
      <c r="C292" s="189"/>
      <c r="D292" s="230"/>
      <c r="E292" s="230"/>
      <c r="F292" s="231"/>
      <c r="G292" s="189"/>
      <c r="H292" s="230"/>
      <c r="I292" s="230"/>
      <c r="J292" s="232"/>
      <c r="K292" s="233"/>
      <c r="L292" s="186"/>
      <c r="M292" s="186"/>
      <c r="N292" s="186"/>
      <c r="O292" s="234"/>
      <c r="P292" s="186"/>
      <c r="Q292" s="234"/>
      <c r="R292" s="234"/>
      <c r="S292" s="186"/>
      <c r="T292" s="186"/>
      <c r="U292" s="186"/>
      <c r="V292" s="186"/>
      <c r="W292" s="186"/>
      <c r="X292" s="186"/>
      <c r="Y292" s="186"/>
      <c r="Z292" s="186"/>
    </row>
    <row r="293" spans="1:26" ht="12.75" customHeight="1">
      <c r="A293" s="186"/>
      <c r="B293" s="189"/>
      <c r="C293" s="189"/>
      <c r="D293" s="230"/>
      <c r="E293" s="230"/>
      <c r="F293" s="231"/>
      <c r="G293" s="189"/>
      <c r="H293" s="230"/>
      <c r="I293" s="230"/>
      <c r="J293" s="232"/>
      <c r="K293" s="233"/>
      <c r="L293" s="186"/>
      <c r="M293" s="186"/>
      <c r="N293" s="186"/>
      <c r="O293" s="234"/>
      <c r="P293" s="186"/>
      <c r="Q293" s="234"/>
      <c r="R293" s="234"/>
      <c r="S293" s="186"/>
      <c r="T293" s="186"/>
      <c r="U293" s="186"/>
      <c r="V293" s="186"/>
      <c r="W293" s="186"/>
      <c r="X293" s="186"/>
      <c r="Y293" s="186"/>
      <c r="Z293" s="186"/>
    </row>
    <row r="294" spans="1:26" ht="12.75" customHeight="1">
      <c r="A294" s="186"/>
      <c r="B294" s="189"/>
      <c r="C294" s="189"/>
      <c r="D294" s="230"/>
      <c r="E294" s="230"/>
      <c r="F294" s="231"/>
      <c r="G294" s="189"/>
      <c r="H294" s="230"/>
      <c r="I294" s="230"/>
      <c r="J294" s="232"/>
      <c r="K294" s="233"/>
      <c r="L294" s="186"/>
      <c r="M294" s="186"/>
      <c r="N294" s="186"/>
      <c r="O294" s="234"/>
      <c r="P294" s="186"/>
      <c r="Q294" s="234"/>
      <c r="R294" s="234"/>
      <c r="S294" s="186"/>
      <c r="T294" s="186"/>
      <c r="U294" s="186"/>
      <c r="V294" s="186"/>
      <c r="W294" s="186"/>
      <c r="X294" s="186"/>
      <c r="Y294" s="186"/>
      <c r="Z294" s="186"/>
    </row>
    <row r="295" spans="1:26" ht="12.75" customHeight="1">
      <c r="A295" s="186"/>
      <c r="B295" s="189"/>
      <c r="C295" s="189"/>
      <c r="D295" s="230"/>
      <c r="E295" s="230"/>
      <c r="F295" s="231"/>
      <c r="G295" s="189"/>
      <c r="H295" s="230"/>
      <c r="I295" s="230"/>
      <c r="J295" s="232"/>
      <c r="K295" s="233"/>
      <c r="L295" s="186"/>
      <c r="M295" s="186"/>
      <c r="N295" s="186"/>
      <c r="O295" s="234"/>
      <c r="P295" s="186"/>
      <c r="Q295" s="234"/>
      <c r="R295" s="234"/>
      <c r="S295" s="186"/>
      <c r="T295" s="186"/>
      <c r="U295" s="186"/>
      <c r="V295" s="186"/>
      <c r="W295" s="186"/>
      <c r="X295" s="186"/>
      <c r="Y295" s="186"/>
      <c r="Z295" s="186"/>
    </row>
    <row r="296" spans="1:26" ht="12.75" customHeight="1">
      <c r="A296" s="186"/>
      <c r="B296" s="189"/>
      <c r="C296" s="189"/>
      <c r="D296" s="230"/>
      <c r="E296" s="230"/>
      <c r="F296" s="231"/>
      <c r="G296" s="189"/>
      <c r="H296" s="230"/>
      <c r="I296" s="230"/>
      <c r="J296" s="232"/>
      <c r="K296" s="233"/>
      <c r="L296" s="186"/>
      <c r="M296" s="186"/>
      <c r="N296" s="186"/>
      <c r="O296" s="234"/>
      <c r="P296" s="186"/>
      <c r="Q296" s="234"/>
      <c r="R296" s="234"/>
      <c r="S296" s="186"/>
      <c r="T296" s="186"/>
      <c r="U296" s="186"/>
      <c r="V296" s="186"/>
      <c r="W296" s="186"/>
      <c r="X296" s="186"/>
      <c r="Y296" s="186"/>
      <c r="Z296" s="186"/>
    </row>
    <row r="297" spans="1:26" ht="12.75" customHeight="1">
      <c r="A297" s="186"/>
      <c r="B297" s="189"/>
      <c r="C297" s="189"/>
      <c r="D297" s="230"/>
      <c r="E297" s="230"/>
      <c r="F297" s="231"/>
      <c r="G297" s="189"/>
      <c r="H297" s="230"/>
      <c r="I297" s="230"/>
      <c r="J297" s="232"/>
      <c r="K297" s="233"/>
      <c r="L297" s="186"/>
      <c r="M297" s="186"/>
      <c r="N297" s="186"/>
      <c r="O297" s="234"/>
      <c r="P297" s="186"/>
      <c r="Q297" s="234"/>
      <c r="R297" s="234"/>
      <c r="S297" s="186"/>
      <c r="T297" s="186"/>
      <c r="U297" s="186"/>
      <c r="V297" s="186"/>
      <c r="W297" s="186"/>
      <c r="X297" s="186"/>
      <c r="Y297" s="186"/>
      <c r="Z297" s="186"/>
    </row>
    <row r="298" spans="1:26" ht="12.75" customHeight="1">
      <c r="A298" s="186"/>
      <c r="B298" s="189"/>
      <c r="C298" s="189"/>
      <c r="D298" s="230"/>
      <c r="E298" s="230"/>
      <c r="F298" s="231"/>
      <c r="G298" s="189"/>
      <c r="H298" s="230"/>
      <c r="I298" s="230"/>
      <c r="J298" s="232"/>
      <c r="K298" s="233"/>
      <c r="L298" s="186"/>
      <c r="M298" s="186"/>
      <c r="N298" s="186"/>
      <c r="O298" s="234"/>
      <c r="P298" s="186"/>
      <c r="Q298" s="234"/>
      <c r="R298" s="234"/>
      <c r="S298" s="186"/>
      <c r="T298" s="186"/>
      <c r="U298" s="186"/>
      <c r="V298" s="186"/>
      <c r="W298" s="186"/>
      <c r="X298" s="186"/>
      <c r="Y298" s="186"/>
      <c r="Z298" s="186"/>
    </row>
    <row r="299" spans="1:26" ht="12.75" customHeight="1">
      <c r="A299" s="186"/>
      <c r="B299" s="189"/>
      <c r="C299" s="189"/>
      <c r="D299" s="230"/>
      <c r="E299" s="230"/>
      <c r="F299" s="231"/>
      <c r="G299" s="189"/>
      <c r="H299" s="230"/>
      <c r="I299" s="230"/>
      <c r="J299" s="232"/>
      <c r="K299" s="233"/>
      <c r="L299" s="186"/>
      <c r="M299" s="186"/>
      <c r="N299" s="186"/>
      <c r="O299" s="234"/>
      <c r="P299" s="186"/>
      <c r="Q299" s="234"/>
      <c r="R299" s="234"/>
      <c r="S299" s="186"/>
      <c r="T299" s="186"/>
      <c r="U299" s="186"/>
      <c r="V299" s="186"/>
      <c r="W299" s="186"/>
      <c r="X299" s="186"/>
      <c r="Y299" s="186"/>
      <c r="Z299" s="186"/>
    </row>
    <row r="300" spans="1:26" ht="12.75" customHeight="1">
      <c r="A300" s="186"/>
      <c r="B300" s="189"/>
      <c r="C300" s="189"/>
      <c r="D300" s="230"/>
      <c r="E300" s="230"/>
      <c r="F300" s="231"/>
      <c r="G300" s="189"/>
      <c r="H300" s="230"/>
      <c r="I300" s="230"/>
      <c r="J300" s="232"/>
      <c r="K300" s="233"/>
      <c r="L300" s="186"/>
      <c r="M300" s="186"/>
      <c r="N300" s="186"/>
      <c r="O300" s="234"/>
      <c r="P300" s="186"/>
      <c r="Q300" s="234"/>
      <c r="R300" s="234"/>
      <c r="S300" s="186"/>
      <c r="T300" s="186"/>
      <c r="U300" s="186"/>
      <c r="V300" s="186"/>
      <c r="W300" s="186"/>
      <c r="X300" s="186"/>
      <c r="Y300" s="186"/>
      <c r="Z300" s="186"/>
    </row>
    <row r="301" spans="1:26" ht="12.75" customHeight="1">
      <c r="A301" s="186"/>
      <c r="B301" s="189"/>
      <c r="C301" s="189"/>
      <c r="D301" s="230"/>
      <c r="E301" s="230"/>
      <c r="F301" s="231"/>
      <c r="G301" s="189"/>
      <c r="H301" s="230"/>
      <c r="I301" s="230"/>
      <c r="J301" s="232"/>
      <c r="K301" s="233"/>
      <c r="L301" s="186"/>
      <c r="M301" s="186"/>
      <c r="N301" s="186"/>
      <c r="O301" s="234"/>
      <c r="P301" s="186"/>
      <c r="Q301" s="234"/>
      <c r="R301" s="234"/>
      <c r="S301" s="186"/>
      <c r="T301" s="186"/>
      <c r="U301" s="186"/>
      <c r="V301" s="186"/>
      <c r="W301" s="186"/>
      <c r="X301" s="186"/>
      <c r="Y301" s="186"/>
      <c r="Z301" s="186"/>
    </row>
    <row r="302" spans="1:26" ht="12.75" customHeight="1">
      <c r="A302" s="186"/>
      <c r="B302" s="189"/>
      <c r="C302" s="189"/>
      <c r="D302" s="230"/>
      <c r="E302" s="230"/>
      <c r="F302" s="231"/>
      <c r="G302" s="189"/>
      <c r="H302" s="230"/>
      <c r="I302" s="230"/>
      <c r="J302" s="232"/>
      <c r="K302" s="233"/>
      <c r="L302" s="186"/>
      <c r="M302" s="186"/>
      <c r="N302" s="186"/>
      <c r="O302" s="234"/>
      <c r="P302" s="186"/>
      <c r="Q302" s="234"/>
      <c r="R302" s="234"/>
      <c r="S302" s="186"/>
      <c r="T302" s="186"/>
      <c r="U302" s="186"/>
      <c r="V302" s="186"/>
      <c r="W302" s="186"/>
      <c r="X302" s="186"/>
      <c r="Y302" s="186"/>
      <c r="Z302" s="186"/>
    </row>
    <row r="303" spans="1:26" ht="12.75" customHeight="1">
      <c r="A303" s="186"/>
      <c r="B303" s="189"/>
      <c r="C303" s="189"/>
      <c r="D303" s="230"/>
      <c r="E303" s="230"/>
      <c r="F303" s="231"/>
      <c r="G303" s="189"/>
      <c r="H303" s="230"/>
      <c r="I303" s="230"/>
      <c r="J303" s="232"/>
      <c r="K303" s="233"/>
      <c r="L303" s="186"/>
      <c r="M303" s="186"/>
      <c r="N303" s="186"/>
      <c r="O303" s="234"/>
      <c r="P303" s="186"/>
      <c r="Q303" s="234"/>
      <c r="R303" s="234"/>
      <c r="S303" s="186"/>
      <c r="T303" s="186"/>
      <c r="U303" s="186"/>
      <c r="V303" s="186"/>
      <c r="W303" s="186"/>
      <c r="X303" s="186"/>
      <c r="Y303" s="186"/>
      <c r="Z303" s="186"/>
    </row>
    <row r="304" spans="1:26" ht="12.75" customHeight="1">
      <c r="A304" s="186"/>
      <c r="B304" s="189"/>
      <c r="C304" s="189"/>
      <c r="D304" s="230"/>
      <c r="E304" s="230"/>
      <c r="F304" s="231"/>
      <c r="G304" s="189"/>
      <c r="H304" s="230"/>
      <c r="I304" s="230"/>
      <c r="J304" s="232"/>
      <c r="K304" s="233"/>
      <c r="L304" s="186"/>
      <c r="M304" s="186"/>
      <c r="N304" s="186"/>
      <c r="O304" s="234"/>
      <c r="P304" s="186"/>
      <c r="Q304" s="234"/>
      <c r="R304" s="234"/>
      <c r="S304" s="186"/>
      <c r="T304" s="186"/>
      <c r="U304" s="186"/>
      <c r="V304" s="186"/>
      <c r="W304" s="186"/>
      <c r="X304" s="186"/>
      <c r="Y304" s="186"/>
      <c r="Z304" s="186"/>
    </row>
    <row r="305" spans="1:26" ht="12.75" customHeight="1">
      <c r="A305" s="186"/>
      <c r="B305" s="189"/>
      <c r="C305" s="189"/>
      <c r="D305" s="230"/>
      <c r="E305" s="230"/>
      <c r="F305" s="231"/>
      <c r="G305" s="189"/>
      <c r="H305" s="230"/>
      <c r="I305" s="230"/>
      <c r="J305" s="232"/>
      <c r="K305" s="233"/>
      <c r="L305" s="186"/>
      <c r="M305" s="186"/>
      <c r="N305" s="186"/>
      <c r="O305" s="234"/>
      <c r="P305" s="186"/>
      <c r="Q305" s="234"/>
      <c r="R305" s="234"/>
      <c r="S305" s="186"/>
      <c r="T305" s="186"/>
      <c r="U305" s="186"/>
      <c r="V305" s="186"/>
      <c r="W305" s="186"/>
      <c r="X305" s="186"/>
      <c r="Y305" s="186"/>
      <c r="Z305" s="186"/>
    </row>
    <row r="306" spans="1:26" ht="12.75" customHeight="1">
      <c r="A306" s="186"/>
      <c r="B306" s="189"/>
      <c r="C306" s="189"/>
      <c r="D306" s="230"/>
      <c r="E306" s="230"/>
      <c r="F306" s="231"/>
      <c r="G306" s="189"/>
      <c r="H306" s="230"/>
      <c r="I306" s="230"/>
      <c r="J306" s="232"/>
      <c r="K306" s="233"/>
      <c r="L306" s="186"/>
      <c r="M306" s="186"/>
      <c r="N306" s="186"/>
      <c r="O306" s="234"/>
      <c r="P306" s="186"/>
      <c r="Q306" s="234"/>
      <c r="R306" s="234"/>
      <c r="S306" s="186"/>
      <c r="T306" s="186"/>
      <c r="U306" s="186"/>
      <c r="V306" s="186"/>
      <c r="W306" s="186"/>
      <c r="X306" s="186"/>
      <c r="Y306" s="186"/>
      <c r="Z306" s="186"/>
    </row>
    <row r="307" spans="1:26" ht="12.75" customHeight="1">
      <c r="A307" s="186"/>
      <c r="B307" s="189"/>
      <c r="C307" s="189"/>
      <c r="D307" s="230"/>
      <c r="E307" s="230"/>
      <c r="F307" s="231"/>
      <c r="G307" s="189"/>
      <c r="H307" s="230"/>
      <c r="I307" s="230"/>
      <c r="J307" s="232"/>
      <c r="K307" s="233"/>
      <c r="L307" s="186"/>
      <c r="M307" s="186"/>
      <c r="N307" s="186"/>
      <c r="O307" s="234"/>
      <c r="P307" s="186"/>
      <c r="Q307" s="234"/>
      <c r="R307" s="234"/>
      <c r="S307" s="186"/>
      <c r="T307" s="186"/>
      <c r="U307" s="186"/>
      <c r="V307" s="186"/>
      <c r="W307" s="186"/>
      <c r="X307" s="186"/>
      <c r="Y307" s="186"/>
      <c r="Z307" s="186"/>
    </row>
    <row r="308" spans="1:26" ht="12.75" customHeight="1">
      <c r="A308" s="186"/>
      <c r="B308" s="189"/>
      <c r="C308" s="189"/>
      <c r="D308" s="230"/>
      <c r="E308" s="230"/>
      <c r="F308" s="231"/>
      <c r="G308" s="189"/>
      <c r="H308" s="230"/>
      <c r="I308" s="230"/>
      <c r="J308" s="232"/>
      <c r="K308" s="233"/>
      <c r="L308" s="186"/>
      <c r="M308" s="186"/>
      <c r="N308" s="186"/>
      <c r="O308" s="234"/>
      <c r="P308" s="186"/>
      <c r="Q308" s="234"/>
      <c r="R308" s="234"/>
      <c r="S308" s="186"/>
      <c r="T308" s="186"/>
      <c r="U308" s="186"/>
      <c r="V308" s="186"/>
      <c r="W308" s="186"/>
      <c r="X308" s="186"/>
      <c r="Y308" s="186"/>
      <c r="Z308" s="186"/>
    </row>
    <row r="309" spans="1:26" ht="12.75" customHeight="1">
      <c r="A309" s="186"/>
      <c r="B309" s="189"/>
      <c r="C309" s="189"/>
      <c r="D309" s="230"/>
      <c r="E309" s="230"/>
      <c r="F309" s="231"/>
      <c r="G309" s="189"/>
      <c r="H309" s="230"/>
      <c r="I309" s="230"/>
      <c r="J309" s="232"/>
      <c r="K309" s="233"/>
      <c r="L309" s="186"/>
      <c r="M309" s="186"/>
      <c r="N309" s="186"/>
      <c r="O309" s="234"/>
      <c r="P309" s="186"/>
      <c r="Q309" s="234"/>
      <c r="R309" s="234"/>
      <c r="S309" s="186"/>
      <c r="T309" s="186"/>
      <c r="U309" s="186"/>
      <c r="V309" s="186"/>
      <c r="W309" s="186"/>
      <c r="X309" s="186"/>
      <c r="Y309" s="186"/>
      <c r="Z309" s="186"/>
    </row>
    <row r="310" spans="1:26" ht="12.75" customHeight="1">
      <c r="A310" s="186"/>
      <c r="B310" s="189"/>
      <c r="C310" s="189"/>
      <c r="D310" s="230"/>
      <c r="E310" s="230"/>
      <c r="F310" s="231"/>
      <c r="G310" s="189"/>
      <c r="H310" s="230"/>
      <c r="I310" s="230"/>
      <c r="J310" s="232"/>
      <c r="K310" s="233"/>
      <c r="L310" s="186"/>
      <c r="M310" s="186"/>
      <c r="N310" s="186"/>
      <c r="O310" s="234"/>
      <c r="P310" s="186"/>
      <c r="Q310" s="234"/>
      <c r="R310" s="234"/>
      <c r="S310" s="186"/>
      <c r="T310" s="186"/>
      <c r="U310" s="186"/>
      <c r="V310" s="186"/>
      <c r="W310" s="186"/>
      <c r="X310" s="186"/>
      <c r="Y310" s="186"/>
      <c r="Z310" s="186"/>
    </row>
    <row r="311" spans="1:26" ht="12.75" customHeight="1">
      <c r="A311" s="186"/>
      <c r="B311" s="189"/>
      <c r="C311" s="189"/>
      <c r="D311" s="230"/>
      <c r="E311" s="230"/>
      <c r="F311" s="231"/>
      <c r="G311" s="189"/>
      <c r="H311" s="230"/>
      <c r="I311" s="230"/>
      <c r="J311" s="232"/>
      <c r="K311" s="233"/>
      <c r="L311" s="186"/>
      <c r="M311" s="186"/>
      <c r="N311" s="186"/>
      <c r="O311" s="234"/>
      <c r="P311" s="186"/>
      <c r="Q311" s="234"/>
      <c r="R311" s="234"/>
      <c r="S311" s="186"/>
      <c r="T311" s="186"/>
      <c r="U311" s="186"/>
      <c r="V311" s="186"/>
      <c r="W311" s="186"/>
      <c r="X311" s="186"/>
      <c r="Y311" s="186"/>
      <c r="Z311" s="186"/>
    </row>
    <row r="312" spans="1:26" ht="12.75" customHeight="1">
      <c r="A312" s="186"/>
      <c r="B312" s="189"/>
      <c r="C312" s="189"/>
      <c r="D312" s="230"/>
      <c r="E312" s="230"/>
      <c r="F312" s="231"/>
      <c r="G312" s="189"/>
      <c r="H312" s="230"/>
      <c r="I312" s="230"/>
      <c r="J312" s="232"/>
      <c r="K312" s="233"/>
      <c r="L312" s="186"/>
      <c r="M312" s="186"/>
      <c r="N312" s="186"/>
      <c r="O312" s="234"/>
      <c r="P312" s="186"/>
      <c r="Q312" s="234"/>
      <c r="R312" s="234"/>
      <c r="S312" s="186"/>
      <c r="T312" s="186"/>
      <c r="U312" s="186"/>
      <c r="V312" s="186"/>
      <c r="W312" s="186"/>
      <c r="X312" s="186"/>
      <c r="Y312" s="186"/>
      <c r="Z312" s="186"/>
    </row>
    <row r="313" spans="1:26" ht="12.75" customHeight="1">
      <c r="A313" s="186"/>
      <c r="B313" s="189"/>
      <c r="C313" s="189"/>
      <c r="D313" s="230"/>
      <c r="E313" s="230"/>
      <c r="F313" s="231"/>
      <c r="G313" s="189"/>
      <c r="H313" s="230"/>
      <c r="I313" s="230"/>
      <c r="J313" s="232"/>
      <c r="K313" s="233"/>
      <c r="L313" s="186"/>
      <c r="M313" s="186"/>
      <c r="N313" s="186"/>
      <c r="O313" s="234"/>
      <c r="P313" s="186"/>
      <c r="Q313" s="234"/>
      <c r="R313" s="234"/>
      <c r="S313" s="186"/>
      <c r="T313" s="186"/>
      <c r="U313" s="186"/>
      <c r="V313" s="186"/>
      <c r="W313" s="186"/>
      <c r="X313" s="186"/>
      <c r="Y313" s="186"/>
      <c r="Z313" s="186"/>
    </row>
    <row r="314" spans="1:26" ht="12.75" customHeight="1">
      <c r="A314" s="186"/>
      <c r="B314" s="189"/>
      <c r="C314" s="189"/>
      <c r="D314" s="230"/>
      <c r="E314" s="230"/>
      <c r="F314" s="231"/>
      <c r="G314" s="189"/>
      <c r="H314" s="230"/>
      <c r="I314" s="230"/>
      <c r="J314" s="232"/>
      <c r="K314" s="233"/>
      <c r="L314" s="186"/>
      <c r="M314" s="186"/>
      <c r="N314" s="186"/>
      <c r="O314" s="234"/>
      <c r="P314" s="186"/>
      <c r="Q314" s="234"/>
      <c r="R314" s="234"/>
      <c r="S314" s="186"/>
      <c r="T314" s="186"/>
      <c r="U314" s="186"/>
      <c r="V314" s="186"/>
      <c r="W314" s="186"/>
      <c r="X314" s="186"/>
      <c r="Y314" s="186"/>
      <c r="Z314" s="186"/>
    </row>
    <row r="315" spans="1:26" ht="12.75" customHeight="1">
      <c r="A315" s="186"/>
      <c r="B315" s="189"/>
      <c r="C315" s="189"/>
      <c r="D315" s="230"/>
      <c r="E315" s="230"/>
      <c r="F315" s="231"/>
      <c r="G315" s="189"/>
      <c r="H315" s="230"/>
      <c r="I315" s="230"/>
      <c r="J315" s="232"/>
      <c r="K315" s="233"/>
      <c r="L315" s="186"/>
      <c r="M315" s="186"/>
      <c r="N315" s="186"/>
      <c r="O315" s="234"/>
      <c r="P315" s="186"/>
      <c r="Q315" s="234"/>
      <c r="R315" s="234"/>
      <c r="S315" s="186"/>
      <c r="T315" s="186"/>
      <c r="U315" s="186"/>
      <c r="V315" s="186"/>
      <c r="W315" s="186"/>
      <c r="X315" s="186"/>
      <c r="Y315" s="186"/>
      <c r="Z315" s="186"/>
    </row>
    <row r="316" spans="1:26" ht="12.75" customHeight="1">
      <c r="A316" s="186"/>
      <c r="B316" s="189"/>
      <c r="C316" s="189"/>
      <c r="D316" s="230"/>
      <c r="E316" s="230"/>
      <c r="F316" s="231"/>
      <c r="G316" s="189"/>
      <c r="H316" s="230"/>
      <c r="I316" s="230"/>
      <c r="J316" s="232"/>
      <c r="K316" s="233"/>
      <c r="L316" s="186"/>
      <c r="M316" s="186"/>
      <c r="N316" s="186"/>
      <c r="O316" s="234"/>
      <c r="P316" s="186"/>
      <c r="Q316" s="234"/>
      <c r="R316" s="234"/>
      <c r="S316" s="186"/>
      <c r="T316" s="186"/>
      <c r="U316" s="186"/>
      <c r="V316" s="186"/>
      <c r="W316" s="186"/>
      <c r="X316" s="186"/>
      <c r="Y316" s="186"/>
      <c r="Z316" s="186"/>
    </row>
    <row r="317" spans="1:26" ht="12.75" customHeight="1">
      <c r="A317" s="186"/>
      <c r="B317" s="189"/>
      <c r="C317" s="189"/>
      <c r="D317" s="230"/>
      <c r="E317" s="230"/>
      <c r="F317" s="231"/>
      <c r="G317" s="189"/>
      <c r="H317" s="230"/>
      <c r="I317" s="230"/>
      <c r="J317" s="232"/>
      <c r="K317" s="233"/>
      <c r="L317" s="186"/>
      <c r="M317" s="186"/>
      <c r="N317" s="186"/>
      <c r="O317" s="234"/>
      <c r="P317" s="186"/>
      <c r="Q317" s="234"/>
      <c r="R317" s="234"/>
      <c r="S317" s="186"/>
      <c r="T317" s="186"/>
      <c r="U317" s="186"/>
      <c r="V317" s="186"/>
      <c r="W317" s="186"/>
      <c r="X317" s="186"/>
      <c r="Y317" s="186"/>
      <c r="Z317" s="186"/>
    </row>
    <row r="318" spans="1:26" ht="12.75" customHeight="1">
      <c r="A318" s="186"/>
      <c r="B318" s="189"/>
      <c r="C318" s="189"/>
      <c r="D318" s="230"/>
      <c r="E318" s="230"/>
      <c r="F318" s="231"/>
      <c r="G318" s="189"/>
      <c r="H318" s="230"/>
      <c r="I318" s="230"/>
      <c r="J318" s="232"/>
      <c r="K318" s="233"/>
      <c r="L318" s="186"/>
      <c r="M318" s="186"/>
      <c r="N318" s="186"/>
      <c r="O318" s="234"/>
      <c r="P318" s="186"/>
      <c r="Q318" s="234"/>
      <c r="R318" s="234"/>
      <c r="S318" s="186"/>
      <c r="T318" s="186"/>
      <c r="U318" s="186"/>
      <c r="V318" s="186"/>
      <c r="W318" s="186"/>
      <c r="X318" s="186"/>
      <c r="Y318" s="186"/>
      <c r="Z318" s="186"/>
    </row>
    <row r="319" spans="1:26" ht="12.75" customHeight="1">
      <c r="A319" s="186"/>
      <c r="B319" s="189"/>
      <c r="C319" s="189"/>
      <c r="D319" s="230"/>
      <c r="E319" s="230"/>
      <c r="F319" s="231"/>
      <c r="G319" s="189"/>
      <c r="H319" s="230"/>
      <c r="I319" s="230"/>
      <c r="J319" s="232"/>
      <c r="K319" s="233"/>
      <c r="L319" s="186"/>
      <c r="M319" s="186"/>
      <c r="N319" s="186"/>
      <c r="O319" s="234"/>
      <c r="P319" s="186"/>
      <c r="Q319" s="234"/>
      <c r="R319" s="234"/>
      <c r="S319" s="186"/>
      <c r="T319" s="186"/>
      <c r="U319" s="186"/>
      <c r="V319" s="186"/>
      <c r="W319" s="186"/>
      <c r="X319" s="186"/>
      <c r="Y319" s="186"/>
      <c r="Z319" s="186"/>
    </row>
    <row r="320" spans="1:26" ht="12.75" customHeight="1">
      <c r="A320" s="186"/>
      <c r="B320" s="189"/>
      <c r="C320" s="189"/>
      <c r="D320" s="230"/>
      <c r="E320" s="230"/>
      <c r="F320" s="231"/>
      <c r="G320" s="189"/>
      <c r="H320" s="230"/>
      <c r="I320" s="230"/>
      <c r="J320" s="232"/>
      <c r="K320" s="233"/>
      <c r="L320" s="186"/>
      <c r="M320" s="186"/>
      <c r="N320" s="186"/>
      <c r="O320" s="234"/>
      <c r="P320" s="186"/>
      <c r="Q320" s="234"/>
      <c r="R320" s="234"/>
      <c r="S320" s="186"/>
      <c r="T320" s="186"/>
      <c r="U320" s="186"/>
      <c r="V320" s="186"/>
      <c r="W320" s="186"/>
      <c r="X320" s="186"/>
      <c r="Y320" s="186"/>
      <c r="Z320" s="186"/>
    </row>
    <row r="321" spans="1:26" ht="12.75" customHeight="1">
      <c r="A321" s="186"/>
      <c r="B321" s="189"/>
      <c r="C321" s="189"/>
      <c r="D321" s="230"/>
      <c r="E321" s="230"/>
      <c r="F321" s="231"/>
      <c r="G321" s="189"/>
      <c r="H321" s="230"/>
      <c r="I321" s="230"/>
      <c r="J321" s="232"/>
      <c r="K321" s="233"/>
      <c r="L321" s="186"/>
      <c r="M321" s="186"/>
      <c r="N321" s="186"/>
      <c r="O321" s="234"/>
      <c r="P321" s="186"/>
      <c r="Q321" s="234"/>
      <c r="R321" s="234"/>
      <c r="S321" s="186"/>
      <c r="T321" s="186"/>
      <c r="U321" s="186"/>
      <c r="V321" s="186"/>
      <c r="W321" s="186"/>
      <c r="X321" s="186"/>
      <c r="Y321" s="186"/>
      <c r="Z321" s="186"/>
    </row>
    <row r="322" spans="1:26" ht="12.75" customHeight="1">
      <c r="A322" s="186"/>
      <c r="B322" s="189"/>
      <c r="C322" s="189"/>
      <c r="D322" s="230"/>
      <c r="E322" s="230"/>
      <c r="F322" s="231"/>
      <c r="G322" s="189"/>
      <c r="H322" s="230"/>
      <c r="I322" s="230"/>
      <c r="J322" s="232"/>
      <c r="K322" s="233"/>
      <c r="L322" s="186"/>
      <c r="M322" s="186"/>
      <c r="N322" s="186"/>
      <c r="O322" s="234"/>
      <c r="P322" s="186"/>
      <c r="Q322" s="234"/>
      <c r="R322" s="234"/>
      <c r="S322" s="186"/>
      <c r="T322" s="186"/>
      <c r="U322" s="186"/>
      <c r="V322" s="186"/>
      <c r="W322" s="186"/>
      <c r="X322" s="186"/>
      <c r="Y322" s="186"/>
      <c r="Z322" s="186"/>
    </row>
    <row r="323" spans="1:26" ht="12.75" customHeight="1">
      <c r="A323" s="186"/>
      <c r="B323" s="189"/>
      <c r="C323" s="189"/>
      <c r="D323" s="230"/>
      <c r="E323" s="230"/>
      <c r="F323" s="231"/>
      <c r="G323" s="189"/>
      <c r="H323" s="230"/>
      <c r="I323" s="230"/>
      <c r="J323" s="232"/>
      <c r="K323" s="233"/>
      <c r="L323" s="186"/>
      <c r="M323" s="186"/>
      <c r="N323" s="186"/>
      <c r="O323" s="234"/>
      <c r="P323" s="186"/>
      <c r="Q323" s="234"/>
      <c r="R323" s="234"/>
      <c r="S323" s="186"/>
      <c r="T323" s="186"/>
      <c r="U323" s="186"/>
      <c r="V323" s="186"/>
      <c r="W323" s="186"/>
      <c r="X323" s="186"/>
      <c r="Y323" s="186"/>
      <c r="Z323" s="186"/>
    </row>
    <row r="324" spans="1:26" ht="12.75" customHeight="1">
      <c r="A324" s="186"/>
      <c r="B324" s="189"/>
      <c r="C324" s="189"/>
      <c r="D324" s="230"/>
      <c r="E324" s="230"/>
      <c r="F324" s="231"/>
      <c r="G324" s="189"/>
      <c r="H324" s="230"/>
      <c r="I324" s="230"/>
      <c r="J324" s="232"/>
      <c r="K324" s="233"/>
      <c r="L324" s="186"/>
      <c r="M324" s="186"/>
      <c r="N324" s="186"/>
      <c r="O324" s="234"/>
      <c r="P324" s="186"/>
      <c r="Q324" s="234"/>
      <c r="R324" s="234"/>
      <c r="S324" s="186"/>
      <c r="T324" s="186"/>
      <c r="U324" s="186"/>
      <c r="V324" s="186"/>
      <c r="W324" s="186"/>
      <c r="X324" s="186"/>
      <c r="Y324" s="186"/>
      <c r="Z324" s="186"/>
    </row>
    <row r="325" spans="1:26" ht="12.75" customHeight="1">
      <c r="A325" s="186"/>
      <c r="B325" s="189"/>
      <c r="C325" s="189"/>
      <c r="D325" s="230"/>
      <c r="E325" s="230"/>
      <c r="F325" s="231"/>
      <c r="G325" s="189"/>
      <c r="H325" s="230"/>
      <c r="I325" s="230"/>
      <c r="J325" s="232"/>
      <c r="K325" s="233"/>
      <c r="L325" s="186"/>
      <c r="M325" s="186"/>
      <c r="N325" s="186"/>
      <c r="O325" s="234"/>
      <c r="P325" s="186"/>
      <c r="Q325" s="234"/>
      <c r="R325" s="234"/>
      <c r="S325" s="186"/>
      <c r="T325" s="186"/>
      <c r="U325" s="186"/>
      <c r="V325" s="186"/>
      <c r="W325" s="186"/>
      <c r="X325" s="186"/>
      <c r="Y325" s="186"/>
      <c r="Z325" s="186"/>
    </row>
    <row r="326" spans="1:26" ht="12.75" customHeight="1">
      <c r="A326" s="186"/>
      <c r="B326" s="189"/>
      <c r="C326" s="189"/>
      <c r="D326" s="230"/>
      <c r="E326" s="230"/>
      <c r="F326" s="231"/>
      <c r="G326" s="189"/>
      <c r="H326" s="230"/>
      <c r="I326" s="230"/>
      <c r="J326" s="232"/>
      <c r="K326" s="233"/>
      <c r="L326" s="186"/>
      <c r="M326" s="186"/>
      <c r="N326" s="186"/>
      <c r="O326" s="234"/>
      <c r="P326" s="186"/>
      <c r="Q326" s="234"/>
      <c r="R326" s="234"/>
      <c r="S326" s="186"/>
      <c r="T326" s="186"/>
      <c r="U326" s="186"/>
      <c r="V326" s="186"/>
      <c r="W326" s="186"/>
      <c r="X326" s="186"/>
      <c r="Y326" s="186"/>
      <c r="Z326" s="186"/>
    </row>
    <row r="327" spans="1:26" ht="12.75" customHeight="1">
      <c r="A327" s="186"/>
      <c r="B327" s="189"/>
      <c r="C327" s="189"/>
      <c r="D327" s="230"/>
      <c r="E327" s="230"/>
      <c r="F327" s="231"/>
      <c r="G327" s="189"/>
      <c r="H327" s="230"/>
      <c r="I327" s="230"/>
      <c r="J327" s="232"/>
      <c r="K327" s="233"/>
      <c r="L327" s="186"/>
      <c r="M327" s="186"/>
      <c r="N327" s="186"/>
      <c r="O327" s="234"/>
      <c r="P327" s="186"/>
      <c r="Q327" s="234"/>
      <c r="R327" s="234"/>
      <c r="S327" s="186"/>
      <c r="T327" s="186"/>
      <c r="U327" s="186"/>
      <c r="V327" s="186"/>
      <c r="W327" s="186"/>
      <c r="X327" s="186"/>
      <c r="Y327" s="186"/>
      <c r="Z327" s="186"/>
    </row>
    <row r="328" spans="1:26" ht="12.75" customHeight="1">
      <c r="A328" s="186"/>
      <c r="B328" s="189"/>
      <c r="C328" s="189"/>
      <c r="D328" s="230"/>
      <c r="E328" s="230"/>
      <c r="F328" s="231"/>
      <c r="G328" s="189"/>
      <c r="H328" s="230"/>
      <c r="I328" s="230"/>
      <c r="J328" s="232"/>
      <c r="K328" s="233"/>
      <c r="L328" s="186"/>
      <c r="M328" s="186"/>
      <c r="N328" s="186"/>
      <c r="O328" s="234"/>
      <c r="P328" s="186"/>
      <c r="Q328" s="234"/>
      <c r="R328" s="234"/>
      <c r="S328" s="186"/>
      <c r="T328" s="186"/>
      <c r="U328" s="186"/>
      <c r="V328" s="186"/>
      <c r="W328" s="186"/>
      <c r="X328" s="186"/>
      <c r="Y328" s="186"/>
      <c r="Z328" s="186"/>
    </row>
    <row r="329" spans="1:26" ht="12.75" customHeight="1">
      <c r="A329" s="186"/>
      <c r="B329" s="189"/>
      <c r="C329" s="189"/>
      <c r="D329" s="230"/>
      <c r="E329" s="230"/>
      <c r="F329" s="231"/>
      <c r="G329" s="189"/>
      <c r="H329" s="230"/>
      <c r="I329" s="230"/>
      <c r="J329" s="232"/>
      <c r="K329" s="233"/>
      <c r="L329" s="186"/>
      <c r="M329" s="186"/>
      <c r="N329" s="186"/>
      <c r="O329" s="234"/>
      <c r="P329" s="186"/>
      <c r="Q329" s="234"/>
      <c r="R329" s="234"/>
      <c r="S329" s="186"/>
      <c r="T329" s="186"/>
      <c r="U329" s="186"/>
      <c r="V329" s="186"/>
      <c r="W329" s="186"/>
      <c r="X329" s="186"/>
      <c r="Y329" s="186"/>
      <c r="Z329" s="186"/>
    </row>
    <row r="330" spans="1:26" ht="12.75" customHeight="1">
      <c r="A330" s="186"/>
      <c r="B330" s="189"/>
      <c r="C330" s="189"/>
      <c r="D330" s="230"/>
      <c r="E330" s="230"/>
      <c r="F330" s="231"/>
      <c r="G330" s="189"/>
      <c r="H330" s="230"/>
      <c r="I330" s="230"/>
      <c r="J330" s="232"/>
      <c r="K330" s="233"/>
      <c r="L330" s="186"/>
      <c r="M330" s="186"/>
      <c r="N330" s="186"/>
      <c r="O330" s="234"/>
      <c r="P330" s="186"/>
      <c r="Q330" s="234"/>
      <c r="R330" s="234"/>
      <c r="S330" s="186"/>
      <c r="T330" s="186"/>
      <c r="U330" s="186"/>
      <c r="V330" s="186"/>
      <c r="W330" s="186"/>
      <c r="X330" s="186"/>
      <c r="Y330" s="186"/>
      <c r="Z330" s="186"/>
    </row>
    <row r="331" spans="1:26" ht="12.75" customHeight="1">
      <c r="A331" s="186"/>
      <c r="B331" s="189"/>
      <c r="C331" s="189"/>
      <c r="D331" s="230"/>
      <c r="E331" s="230"/>
      <c r="F331" s="231"/>
      <c r="G331" s="189"/>
      <c r="H331" s="230"/>
      <c r="I331" s="230"/>
      <c r="J331" s="232"/>
      <c r="K331" s="233"/>
      <c r="L331" s="186"/>
      <c r="M331" s="186"/>
      <c r="N331" s="186"/>
      <c r="O331" s="234"/>
      <c r="P331" s="186"/>
      <c r="Q331" s="234"/>
      <c r="R331" s="234"/>
      <c r="S331" s="186"/>
      <c r="T331" s="186"/>
      <c r="U331" s="186"/>
      <c r="V331" s="186"/>
      <c r="W331" s="186"/>
      <c r="X331" s="186"/>
      <c r="Y331" s="186"/>
      <c r="Z331" s="186"/>
    </row>
    <row r="332" spans="1:26" ht="12.75" customHeight="1">
      <c r="A332" s="186"/>
      <c r="B332" s="189"/>
      <c r="C332" s="189"/>
      <c r="D332" s="230"/>
      <c r="E332" s="230"/>
      <c r="F332" s="231"/>
      <c r="G332" s="189"/>
      <c r="H332" s="230"/>
      <c r="I332" s="230"/>
      <c r="J332" s="232"/>
      <c r="K332" s="233"/>
      <c r="L332" s="186"/>
      <c r="M332" s="186"/>
      <c r="N332" s="186"/>
      <c r="O332" s="234"/>
      <c r="P332" s="186"/>
      <c r="Q332" s="234"/>
      <c r="R332" s="234"/>
      <c r="S332" s="186"/>
      <c r="T332" s="186"/>
      <c r="U332" s="186"/>
      <c r="V332" s="186"/>
      <c r="W332" s="186"/>
      <c r="X332" s="186"/>
      <c r="Y332" s="186"/>
      <c r="Z332" s="186"/>
    </row>
    <row r="333" spans="1:26" ht="12.75" customHeight="1">
      <c r="A333" s="186"/>
      <c r="B333" s="189"/>
      <c r="C333" s="189"/>
      <c r="D333" s="230"/>
      <c r="E333" s="230"/>
      <c r="F333" s="231"/>
      <c r="G333" s="189"/>
      <c r="H333" s="230"/>
      <c r="I333" s="230"/>
      <c r="J333" s="232"/>
      <c r="K333" s="233"/>
      <c r="L333" s="186"/>
      <c r="M333" s="186"/>
      <c r="N333" s="186"/>
      <c r="O333" s="234"/>
      <c r="P333" s="186"/>
      <c r="Q333" s="234"/>
      <c r="R333" s="234"/>
      <c r="S333" s="186"/>
      <c r="T333" s="186"/>
      <c r="U333" s="186"/>
      <c r="V333" s="186"/>
      <c r="W333" s="186"/>
      <c r="X333" s="186"/>
      <c r="Y333" s="186"/>
      <c r="Z333" s="186"/>
    </row>
    <row r="334" spans="1:26" ht="12.75" customHeight="1">
      <c r="A334" s="186"/>
      <c r="B334" s="189"/>
      <c r="C334" s="189"/>
      <c r="D334" s="230"/>
      <c r="E334" s="230"/>
      <c r="F334" s="231"/>
      <c r="G334" s="189"/>
      <c r="H334" s="230"/>
      <c r="I334" s="230"/>
      <c r="J334" s="232"/>
      <c r="K334" s="233"/>
      <c r="L334" s="186"/>
      <c r="M334" s="186"/>
      <c r="N334" s="186"/>
      <c r="O334" s="234"/>
      <c r="P334" s="186"/>
      <c r="Q334" s="234"/>
      <c r="R334" s="234"/>
      <c r="S334" s="186"/>
      <c r="T334" s="186"/>
      <c r="U334" s="186"/>
      <c r="V334" s="186"/>
      <c r="W334" s="186"/>
      <c r="X334" s="186"/>
      <c r="Y334" s="186"/>
      <c r="Z334" s="186"/>
    </row>
    <row r="335" spans="1:26" ht="12.75" customHeight="1">
      <c r="A335" s="186"/>
      <c r="B335" s="189"/>
      <c r="C335" s="189"/>
      <c r="D335" s="230"/>
      <c r="E335" s="230"/>
      <c r="F335" s="231"/>
      <c r="G335" s="189"/>
      <c r="H335" s="230"/>
      <c r="I335" s="230"/>
      <c r="J335" s="232"/>
      <c r="K335" s="233"/>
      <c r="L335" s="186"/>
      <c r="M335" s="186"/>
      <c r="N335" s="186"/>
      <c r="O335" s="234"/>
      <c r="P335" s="186"/>
      <c r="Q335" s="234"/>
      <c r="R335" s="234"/>
      <c r="S335" s="186"/>
      <c r="T335" s="186"/>
      <c r="U335" s="186"/>
      <c r="V335" s="186"/>
      <c r="W335" s="186"/>
      <c r="X335" s="186"/>
      <c r="Y335" s="186"/>
      <c r="Z335" s="186"/>
    </row>
    <row r="336" spans="1:26" ht="12.75" customHeight="1">
      <c r="A336" s="186"/>
      <c r="B336" s="189"/>
      <c r="C336" s="189"/>
      <c r="D336" s="230"/>
      <c r="E336" s="230"/>
      <c r="F336" s="231"/>
      <c r="G336" s="189"/>
      <c r="H336" s="230"/>
      <c r="I336" s="230"/>
      <c r="J336" s="232"/>
      <c r="K336" s="233"/>
      <c r="L336" s="186"/>
      <c r="M336" s="186"/>
      <c r="N336" s="186"/>
      <c r="O336" s="234"/>
      <c r="P336" s="186"/>
      <c r="Q336" s="234"/>
      <c r="R336" s="234"/>
      <c r="S336" s="186"/>
      <c r="T336" s="186"/>
      <c r="U336" s="186"/>
      <c r="V336" s="186"/>
      <c r="W336" s="186"/>
      <c r="X336" s="186"/>
      <c r="Y336" s="186"/>
      <c r="Z336" s="186"/>
    </row>
    <row r="337" spans="1:26" ht="12.75" customHeight="1">
      <c r="A337" s="186"/>
      <c r="B337" s="189"/>
      <c r="C337" s="189"/>
      <c r="D337" s="230"/>
      <c r="E337" s="230"/>
      <c r="F337" s="231"/>
      <c r="G337" s="189"/>
      <c r="H337" s="230"/>
      <c r="I337" s="230"/>
      <c r="J337" s="232"/>
      <c r="K337" s="233"/>
      <c r="L337" s="186"/>
      <c r="M337" s="186"/>
      <c r="N337" s="186"/>
      <c r="O337" s="234"/>
      <c r="P337" s="186"/>
      <c r="Q337" s="234"/>
      <c r="R337" s="234"/>
      <c r="S337" s="186"/>
      <c r="T337" s="186"/>
      <c r="U337" s="186"/>
      <c r="V337" s="186"/>
      <c r="W337" s="186"/>
      <c r="X337" s="186"/>
      <c r="Y337" s="186"/>
      <c r="Z337" s="186"/>
    </row>
    <row r="338" spans="1:26" ht="12.75" customHeight="1">
      <c r="A338" s="186"/>
      <c r="B338" s="189"/>
      <c r="C338" s="189"/>
      <c r="D338" s="230"/>
      <c r="E338" s="230"/>
      <c r="F338" s="231"/>
      <c r="G338" s="189"/>
      <c r="H338" s="230"/>
      <c r="I338" s="230"/>
      <c r="J338" s="232"/>
      <c r="K338" s="233"/>
      <c r="L338" s="186"/>
      <c r="M338" s="186"/>
      <c r="N338" s="186"/>
      <c r="O338" s="234"/>
      <c r="P338" s="186"/>
      <c r="Q338" s="234"/>
      <c r="R338" s="234"/>
      <c r="S338" s="186"/>
      <c r="T338" s="186"/>
      <c r="U338" s="186"/>
      <c r="V338" s="186"/>
      <c r="W338" s="186"/>
      <c r="X338" s="186"/>
      <c r="Y338" s="186"/>
      <c r="Z338" s="186"/>
    </row>
    <row r="339" spans="1:26" ht="12.75" customHeight="1">
      <c r="A339" s="186"/>
      <c r="B339" s="189"/>
      <c r="C339" s="189"/>
      <c r="D339" s="230"/>
      <c r="E339" s="230"/>
      <c r="F339" s="231"/>
      <c r="G339" s="189"/>
      <c r="H339" s="230"/>
      <c r="I339" s="230"/>
      <c r="J339" s="232"/>
      <c r="K339" s="233"/>
      <c r="L339" s="186"/>
      <c r="M339" s="186"/>
      <c r="N339" s="186"/>
      <c r="O339" s="234"/>
      <c r="P339" s="186"/>
      <c r="Q339" s="234"/>
      <c r="R339" s="234"/>
      <c r="S339" s="186"/>
      <c r="T339" s="186"/>
      <c r="U339" s="186"/>
      <c r="V339" s="186"/>
      <c r="W339" s="186"/>
      <c r="X339" s="186"/>
      <c r="Y339" s="186"/>
      <c r="Z339" s="186"/>
    </row>
    <row r="340" spans="1:26" ht="12.75" customHeight="1">
      <c r="A340" s="186"/>
      <c r="B340" s="189"/>
      <c r="C340" s="189"/>
      <c r="D340" s="230"/>
      <c r="E340" s="230"/>
      <c r="F340" s="231"/>
      <c r="G340" s="189"/>
      <c r="H340" s="230"/>
      <c r="I340" s="230"/>
      <c r="J340" s="232"/>
      <c r="K340" s="233"/>
      <c r="L340" s="186"/>
      <c r="M340" s="186"/>
      <c r="N340" s="186"/>
      <c r="O340" s="234"/>
      <c r="P340" s="186"/>
      <c r="Q340" s="234"/>
      <c r="R340" s="234"/>
      <c r="S340" s="186"/>
      <c r="T340" s="186"/>
      <c r="U340" s="186"/>
      <c r="V340" s="186"/>
      <c r="W340" s="186"/>
      <c r="X340" s="186"/>
      <c r="Y340" s="186"/>
      <c r="Z340" s="186"/>
    </row>
    <row r="341" spans="1:26" ht="12.75" customHeight="1">
      <c r="A341" s="186"/>
      <c r="B341" s="189"/>
      <c r="C341" s="189"/>
      <c r="D341" s="230"/>
      <c r="E341" s="230"/>
      <c r="F341" s="231"/>
      <c r="G341" s="189"/>
      <c r="H341" s="230"/>
      <c r="I341" s="230"/>
      <c r="J341" s="232"/>
      <c r="K341" s="233"/>
      <c r="L341" s="186"/>
      <c r="M341" s="186"/>
      <c r="N341" s="186"/>
      <c r="O341" s="234"/>
      <c r="P341" s="186"/>
      <c r="Q341" s="234"/>
      <c r="R341" s="234"/>
      <c r="S341" s="186"/>
      <c r="T341" s="186"/>
      <c r="U341" s="186"/>
      <c r="V341" s="186"/>
      <c r="W341" s="186"/>
      <c r="X341" s="186"/>
      <c r="Y341" s="186"/>
      <c r="Z341" s="186"/>
    </row>
    <row r="342" spans="1:26" ht="12.75" customHeight="1">
      <c r="A342" s="186"/>
      <c r="B342" s="189"/>
      <c r="C342" s="189"/>
      <c r="D342" s="230"/>
      <c r="E342" s="230"/>
      <c r="F342" s="231"/>
      <c r="G342" s="189"/>
      <c r="H342" s="230"/>
      <c r="I342" s="230"/>
      <c r="J342" s="232"/>
      <c r="K342" s="233"/>
      <c r="L342" s="186"/>
      <c r="M342" s="186"/>
      <c r="N342" s="186"/>
      <c r="O342" s="234"/>
      <c r="P342" s="186"/>
      <c r="Q342" s="234"/>
      <c r="R342" s="234"/>
      <c r="S342" s="186"/>
      <c r="T342" s="186"/>
      <c r="U342" s="186"/>
      <c r="V342" s="186"/>
      <c r="W342" s="186"/>
      <c r="X342" s="186"/>
      <c r="Y342" s="186"/>
      <c r="Z342" s="186"/>
    </row>
    <row r="343" spans="1:26" ht="12.75" customHeight="1">
      <c r="A343" s="186"/>
      <c r="B343" s="189"/>
      <c r="C343" s="189"/>
      <c r="D343" s="230"/>
      <c r="E343" s="230"/>
      <c r="F343" s="231"/>
      <c r="G343" s="189"/>
      <c r="H343" s="230"/>
      <c r="I343" s="230"/>
      <c r="J343" s="232"/>
      <c r="K343" s="233"/>
      <c r="L343" s="186"/>
      <c r="M343" s="186"/>
      <c r="N343" s="186"/>
      <c r="O343" s="234"/>
      <c r="P343" s="186"/>
      <c r="Q343" s="234"/>
      <c r="R343" s="234"/>
      <c r="S343" s="186"/>
      <c r="T343" s="186"/>
      <c r="U343" s="186"/>
      <c r="V343" s="186"/>
      <c r="W343" s="186"/>
      <c r="X343" s="186"/>
      <c r="Y343" s="186"/>
      <c r="Z343" s="186"/>
    </row>
    <row r="344" spans="1:26" ht="12.75" customHeight="1">
      <c r="A344" s="186"/>
      <c r="B344" s="189"/>
      <c r="C344" s="189"/>
      <c r="D344" s="230"/>
      <c r="E344" s="230"/>
      <c r="F344" s="231"/>
      <c r="G344" s="189"/>
      <c r="H344" s="230"/>
      <c r="I344" s="230"/>
      <c r="J344" s="232"/>
      <c r="K344" s="233"/>
      <c r="L344" s="186"/>
      <c r="M344" s="186"/>
      <c r="N344" s="186"/>
      <c r="O344" s="234"/>
      <c r="P344" s="186"/>
      <c r="Q344" s="234"/>
      <c r="R344" s="234"/>
      <c r="S344" s="186"/>
      <c r="T344" s="186"/>
      <c r="U344" s="186"/>
      <c r="V344" s="186"/>
      <c r="W344" s="186"/>
      <c r="X344" s="186"/>
      <c r="Y344" s="186"/>
      <c r="Z344" s="186"/>
    </row>
    <row r="345" spans="1:26" ht="12.75" customHeight="1">
      <c r="A345" s="186"/>
      <c r="B345" s="189"/>
      <c r="C345" s="189"/>
      <c r="D345" s="230"/>
      <c r="E345" s="230"/>
      <c r="F345" s="231"/>
      <c r="G345" s="189"/>
      <c r="H345" s="230"/>
      <c r="I345" s="230"/>
      <c r="J345" s="232"/>
      <c r="K345" s="233"/>
      <c r="L345" s="186"/>
      <c r="M345" s="186"/>
      <c r="N345" s="186"/>
      <c r="O345" s="234"/>
      <c r="P345" s="186"/>
      <c r="Q345" s="234"/>
      <c r="R345" s="234"/>
      <c r="S345" s="186"/>
      <c r="T345" s="186"/>
      <c r="U345" s="186"/>
      <c r="V345" s="186"/>
      <c r="W345" s="186"/>
      <c r="X345" s="186"/>
      <c r="Y345" s="186"/>
      <c r="Z345" s="186"/>
    </row>
    <row r="346" spans="1:26" ht="12.75" customHeight="1">
      <c r="A346" s="186"/>
      <c r="B346" s="189"/>
      <c r="C346" s="189"/>
      <c r="D346" s="230"/>
      <c r="E346" s="230"/>
      <c r="F346" s="231"/>
      <c r="G346" s="189"/>
      <c r="H346" s="230"/>
      <c r="I346" s="230"/>
      <c r="J346" s="232"/>
      <c r="K346" s="233"/>
      <c r="L346" s="186"/>
      <c r="M346" s="186"/>
      <c r="N346" s="186"/>
      <c r="O346" s="234"/>
      <c r="P346" s="186"/>
      <c r="Q346" s="234"/>
      <c r="R346" s="234"/>
      <c r="S346" s="186"/>
      <c r="T346" s="186"/>
      <c r="U346" s="186"/>
      <c r="V346" s="186"/>
      <c r="W346" s="186"/>
      <c r="X346" s="186"/>
      <c r="Y346" s="186"/>
      <c r="Z346" s="186"/>
    </row>
    <row r="347" spans="1:26" ht="12.75" customHeight="1">
      <c r="A347" s="186"/>
      <c r="B347" s="189"/>
      <c r="C347" s="189"/>
      <c r="D347" s="230"/>
      <c r="E347" s="230"/>
      <c r="F347" s="231"/>
      <c r="G347" s="189"/>
      <c r="H347" s="230"/>
      <c r="I347" s="230"/>
      <c r="J347" s="232"/>
      <c r="K347" s="233"/>
      <c r="L347" s="186"/>
      <c r="M347" s="186"/>
      <c r="N347" s="186"/>
      <c r="O347" s="234"/>
      <c r="P347" s="186"/>
      <c r="Q347" s="234"/>
      <c r="R347" s="234"/>
      <c r="S347" s="186"/>
      <c r="T347" s="186"/>
      <c r="U347" s="186"/>
      <c r="V347" s="186"/>
      <c r="W347" s="186"/>
      <c r="X347" s="186"/>
      <c r="Y347" s="186"/>
      <c r="Z347" s="186"/>
    </row>
    <row r="348" spans="1:26" ht="12.75" customHeight="1">
      <c r="A348" s="186"/>
      <c r="B348" s="189"/>
      <c r="C348" s="189"/>
      <c r="D348" s="230"/>
      <c r="E348" s="230"/>
      <c r="F348" s="231"/>
      <c r="G348" s="189"/>
      <c r="H348" s="230"/>
      <c r="I348" s="230"/>
      <c r="J348" s="232"/>
      <c r="K348" s="233"/>
      <c r="L348" s="186"/>
      <c r="M348" s="186"/>
      <c r="N348" s="186"/>
      <c r="O348" s="234"/>
      <c r="P348" s="186"/>
      <c r="Q348" s="234"/>
      <c r="R348" s="234"/>
      <c r="S348" s="186"/>
      <c r="T348" s="186"/>
      <c r="U348" s="186"/>
      <c r="V348" s="186"/>
      <c r="W348" s="186"/>
      <c r="X348" s="186"/>
      <c r="Y348" s="186"/>
      <c r="Z348" s="186"/>
    </row>
    <row r="349" spans="1:26" ht="12.75" customHeight="1">
      <c r="A349" s="186"/>
      <c r="B349" s="189"/>
      <c r="C349" s="189"/>
      <c r="D349" s="230"/>
      <c r="E349" s="230"/>
      <c r="F349" s="231"/>
      <c r="G349" s="189"/>
      <c r="H349" s="230"/>
      <c r="I349" s="230"/>
      <c r="J349" s="232"/>
      <c r="K349" s="233"/>
      <c r="L349" s="186"/>
      <c r="M349" s="186"/>
      <c r="N349" s="186"/>
      <c r="O349" s="234"/>
      <c r="P349" s="186"/>
      <c r="Q349" s="234"/>
      <c r="R349" s="234"/>
      <c r="S349" s="186"/>
      <c r="T349" s="186"/>
      <c r="U349" s="186"/>
      <c r="V349" s="186"/>
      <c r="W349" s="186"/>
      <c r="X349" s="186"/>
      <c r="Y349" s="186"/>
      <c r="Z349" s="186"/>
    </row>
    <row r="350" spans="1:26" ht="12.75" customHeight="1">
      <c r="A350" s="186"/>
      <c r="B350" s="189"/>
      <c r="C350" s="189"/>
      <c r="D350" s="230"/>
      <c r="E350" s="230"/>
      <c r="F350" s="231"/>
      <c r="G350" s="189"/>
      <c r="H350" s="230"/>
      <c r="I350" s="230"/>
      <c r="J350" s="232"/>
      <c r="K350" s="233"/>
      <c r="L350" s="186"/>
      <c r="M350" s="186"/>
      <c r="N350" s="186"/>
      <c r="O350" s="234"/>
      <c r="P350" s="186"/>
      <c r="Q350" s="234"/>
      <c r="R350" s="234"/>
      <c r="S350" s="186"/>
      <c r="T350" s="186"/>
      <c r="U350" s="186"/>
      <c r="V350" s="186"/>
      <c r="W350" s="186"/>
      <c r="X350" s="186"/>
      <c r="Y350" s="186"/>
      <c r="Z350" s="186"/>
    </row>
    <row r="351" spans="1:26" ht="12.75" customHeight="1">
      <c r="A351" s="186"/>
      <c r="B351" s="189"/>
      <c r="C351" s="189"/>
      <c r="D351" s="230"/>
      <c r="E351" s="230"/>
      <c r="F351" s="231"/>
      <c r="G351" s="189"/>
      <c r="H351" s="230"/>
      <c r="I351" s="230"/>
      <c r="J351" s="232"/>
      <c r="K351" s="233"/>
      <c r="L351" s="186"/>
      <c r="M351" s="186"/>
      <c r="N351" s="186"/>
      <c r="O351" s="234"/>
      <c r="P351" s="186"/>
      <c r="Q351" s="234"/>
      <c r="R351" s="234"/>
      <c r="S351" s="186"/>
      <c r="T351" s="186"/>
      <c r="U351" s="186"/>
      <c r="V351" s="186"/>
      <c r="W351" s="186"/>
      <c r="X351" s="186"/>
      <c r="Y351" s="186"/>
      <c r="Z351" s="186"/>
    </row>
    <row r="352" spans="1:26" ht="12.75" customHeight="1">
      <c r="A352" s="186"/>
      <c r="B352" s="189"/>
      <c r="C352" s="189"/>
      <c r="D352" s="230"/>
      <c r="E352" s="230"/>
      <c r="F352" s="231"/>
      <c r="G352" s="189"/>
      <c r="H352" s="230"/>
      <c r="I352" s="230"/>
      <c r="J352" s="232"/>
      <c r="K352" s="233"/>
      <c r="L352" s="186"/>
      <c r="M352" s="186"/>
      <c r="N352" s="186"/>
      <c r="O352" s="234"/>
      <c r="P352" s="186"/>
      <c r="Q352" s="234"/>
      <c r="R352" s="234"/>
      <c r="S352" s="186"/>
      <c r="T352" s="186"/>
      <c r="U352" s="186"/>
      <c r="V352" s="186"/>
      <c r="W352" s="186"/>
      <c r="X352" s="186"/>
      <c r="Y352" s="186"/>
      <c r="Z352" s="186"/>
    </row>
    <row r="353" spans="1:26" ht="12.75" customHeight="1">
      <c r="A353" s="186"/>
      <c r="B353" s="189"/>
      <c r="C353" s="189"/>
      <c r="D353" s="230"/>
      <c r="E353" s="230"/>
      <c r="F353" s="231"/>
      <c r="G353" s="189"/>
      <c r="H353" s="230"/>
      <c r="I353" s="230"/>
      <c r="J353" s="232"/>
      <c r="K353" s="233"/>
      <c r="L353" s="186"/>
      <c r="M353" s="186"/>
      <c r="N353" s="186"/>
      <c r="O353" s="234"/>
      <c r="P353" s="186"/>
      <c r="Q353" s="234"/>
      <c r="R353" s="234"/>
      <c r="S353" s="186"/>
      <c r="T353" s="186"/>
      <c r="U353" s="186"/>
      <c r="V353" s="186"/>
      <c r="W353" s="186"/>
      <c r="X353" s="186"/>
      <c r="Y353" s="186"/>
      <c r="Z353" s="186"/>
    </row>
    <row r="354" spans="1:26" ht="12.75" customHeight="1">
      <c r="A354" s="186"/>
      <c r="B354" s="189"/>
      <c r="C354" s="189"/>
      <c r="D354" s="230"/>
      <c r="E354" s="230"/>
      <c r="F354" s="231"/>
      <c r="G354" s="189"/>
      <c r="H354" s="230"/>
      <c r="I354" s="230"/>
      <c r="J354" s="232"/>
      <c r="K354" s="233"/>
      <c r="L354" s="186"/>
      <c r="M354" s="186"/>
      <c r="N354" s="186"/>
      <c r="O354" s="234"/>
      <c r="P354" s="186"/>
      <c r="Q354" s="234"/>
      <c r="R354" s="234"/>
      <c r="S354" s="186"/>
      <c r="T354" s="186"/>
      <c r="U354" s="186"/>
      <c r="V354" s="186"/>
      <c r="W354" s="186"/>
      <c r="X354" s="186"/>
      <c r="Y354" s="186"/>
      <c r="Z354" s="186"/>
    </row>
    <row r="355" spans="1:26" ht="12.75" customHeight="1">
      <c r="A355" s="186"/>
      <c r="B355" s="189"/>
      <c r="C355" s="189"/>
      <c r="D355" s="230"/>
      <c r="E355" s="230"/>
      <c r="F355" s="231"/>
      <c r="G355" s="189"/>
      <c r="H355" s="230"/>
      <c r="I355" s="230"/>
      <c r="J355" s="232"/>
      <c r="K355" s="233"/>
      <c r="L355" s="186"/>
      <c r="M355" s="186"/>
      <c r="N355" s="186"/>
      <c r="O355" s="234"/>
      <c r="P355" s="186"/>
      <c r="Q355" s="234"/>
      <c r="R355" s="234"/>
      <c r="S355" s="186"/>
      <c r="T355" s="186"/>
      <c r="U355" s="186"/>
      <c r="V355" s="186"/>
      <c r="W355" s="186"/>
      <c r="X355" s="186"/>
      <c r="Y355" s="186"/>
      <c r="Z355" s="186"/>
    </row>
    <row r="356" spans="1:26" ht="12.75" customHeight="1">
      <c r="A356" s="186"/>
      <c r="B356" s="189"/>
      <c r="C356" s="189"/>
      <c r="D356" s="230"/>
      <c r="E356" s="230"/>
      <c r="F356" s="231"/>
      <c r="G356" s="189"/>
      <c r="H356" s="230"/>
      <c r="I356" s="230"/>
      <c r="J356" s="232"/>
      <c r="K356" s="233"/>
      <c r="L356" s="186"/>
      <c r="M356" s="186"/>
      <c r="N356" s="186"/>
      <c r="O356" s="234"/>
      <c r="P356" s="186"/>
      <c r="Q356" s="234"/>
      <c r="R356" s="234"/>
      <c r="S356" s="186"/>
      <c r="T356" s="186"/>
      <c r="U356" s="186"/>
      <c r="V356" s="186"/>
      <c r="W356" s="186"/>
      <c r="X356" s="186"/>
      <c r="Y356" s="186"/>
      <c r="Z356" s="186"/>
    </row>
    <row r="357" spans="1:26" ht="12.75" customHeight="1">
      <c r="A357" s="186"/>
      <c r="B357" s="189"/>
      <c r="C357" s="189"/>
      <c r="D357" s="230"/>
      <c r="E357" s="230"/>
      <c r="F357" s="231"/>
      <c r="G357" s="189"/>
      <c r="H357" s="230"/>
      <c r="I357" s="230"/>
      <c r="J357" s="232"/>
      <c r="K357" s="233"/>
      <c r="L357" s="186"/>
      <c r="M357" s="186"/>
      <c r="N357" s="186"/>
      <c r="O357" s="234"/>
      <c r="P357" s="186"/>
      <c r="Q357" s="234"/>
      <c r="R357" s="234"/>
      <c r="S357" s="186"/>
      <c r="T357" s="186"/>
      <c r="U357" s="186"/>
      <c r="V357" s="186"/>
      <c r="W357" s="186"/>
      <c r="X357" s="186"/>
      <c r="Y357" s="186"/>
      <c r="Z357" s="186"/>
    </row>
    <row r="358" spans="1:26" ht="12.75" customHeight="1">
      <c r="A358" s="186"/>
      <c r="B358" s="189"/>
      <c r="C358" s="189"/>
      <c r="D358" s="230"/>
      <c r="E358" s="230"/>
      <c r="F358" s="231"/>
      <c r="G358" s="189"/>
      <c r="H358" s="230"/>
      <c r="I358" s="230"/>
      <c r="J358" s="232"/>
      <c r="K358" s="233"/>
      <c r="L358" s="186"/>
      <c r="M358" s="186"/>
      <c r="N358" s="186"/>
      <c r="O358" s="234"/>
      <c r="P358" s="186"/>
      <c r="Q358" s="234"/>
      <c r="R358" s="234"/>
      <c r="S358" s="186"/>
      <c r="T358" s="186"/>
      <c r="U358" s="186"/>
      <c r="V358" s="186"/>
      <c r="W358" s="186"/>
      <c r="X358" s="186"/>
      <c r="Y358" s="186"/>
      <c r="Z358" s="186"/>
    </row>
    <row r="359" spans="1:26" ht="12.75" customHeight="1">
      <c r="A359" s="186"/>
      <c r="B359" s="189"/>
      <c r="C359" s="189"/>
      <c r="D359" s="230"/>
      <c r="E359" s="230"/>
      <c r="F359" s="231"/>
      <c r="G359" s="189"/>
      <c r="H359" s="230"/>
      <c r="I359" s="230"/>
      <c r="J359" s="232"/>
      <c r="K359" s="233"/>
      <c r="L359" s="186"/>
      <c r="M359" s="186"/>
      <c r="N359" s="186"/>
      <c r="O359" s="234"/>
      <c r="P359" s="186"/>
      <c r="Q359" s="234"/>
      <c r="R359" s="234"/>
      <c r="S359" s="186"/>
      <c r="T359" s="186"/>
      <c r="U359" s="186"/>
      <c r="V359" s="186"/>
      <c r="W359" s="186"/>
      <c r="X359" s="186"/>
      <c r="Y359" s="186"/>
      <c r="Z359" s="186"/>
    </row>
    <row r="360" spans="1:26" ht="12.75" customHeight="1">
      <c r="A360" s="186"/>
      <c r="B360" s="189"/>
      <c r="C360" s="189"/>
      <c r="D360" s="230"/>
      <c r="E360" s="230"/>
      <c r="F360" s="231"/>
      <c r="G360" s="189"/>
      <c r="H360" s="230"/>
      <c r="I360" s="230"/>
      <c r="J360" s="232"/>
      <c r="K360" s="233"/>
      <c r="L360" s="186"/>
      <c r="M360" s="186"/>
      <c r="N360" s="186"/>
      <c r="O360" s="234"/>
      <c r="P360" s="186"/>
      <c r="Q360" s="234"/>
      <c r="R360" s="234"/>
      <c r="S360" s="186"/>
      <c r="T360" s="186"/>
      <c r="U360" s="186"/>
      <c r="V360" s="186"/>
      <c r="W360" s="186"/>
      <c r="X360" s="186"/>
      <c r="Y360" s="186"/>
      <c r="Z360" s="186"/>
    </row>
    <row r="361" spans="1:26" ht="12.75" customHeight="1">
      <c r="A361" s="186"/>
      <c r="B361" s="189"/>
      <c r="C361" s="189"/>
      <c r="D361" s="230"/>
      <c r="E361" s="230"/>
      <c r="F361" s="231"/>
      <c r="G361" s="189"/>
      <c r="H361" s="230"/>
      <c r="I361" s="230"/>
      <c r="J361" s="232"/>
      <c r="K361" s="233"/>
      <c r="L361" s="186"/>
      <c r="M361" s="186"/>
      <c r="N361" s="186"/>
      <c r="O361" s="234"/>
      <c r="P361" s="186"/>
      <c r="Q361" s="234"/>
      <c r="R361" s="234"/>
      <c r="S361" s="186"/>
      <c r="T361" s="186"/>
      <c r="U361" s="186"/>
      <c r="V361" s="186"/>
      <c r="W361" s="186"/>
      <c r="X361" s="186"/>
      <c r="Y361" s="186"/>
      <c r="Z361" s="186"/>
    </row>
    <row r="362" spans="1:26" ht="12.75" customHeight="1">
      <c r="A362" s="186"/>
      <c r="B362" s="189"/>
      <c r="C362" s="189"/>
      <c r="D362" s="230"/>
      <c r="E362" s="230"/>
      <c r="F362" s="231"/>
      <c r="G362" s="189"/>
      <c r="H362" s="230"/>
      <c r="I362" s="230"/>
      <c r="J362" s="232"/>
      <c r="K362" s="233"/>
      <c r="L362" s="186"/>
      <c r="M362" s="186"/>
      <c r="N362" s="186"/>
      <c r="O362" s="234"/>
      <c r="P362" s="186"/>
      <c r="Q362" s="234"/>
      <c r="R362" s="234"/>
      <c r="S362" s="186"/>
      <c r="T362" s="186"/>
      <c r="U362" s="186"/>
      <c r="V362" s="186"/>
      <c r="W362" s="186"/>
      <c r="X362" s="186"/>
      <c r="Y362" s="186"/>
      <c r="Z362" s="186"/>
    </row>
    <row r="363" spans="1:26" ht="12.75" customHeight="1">
      <c r="A363" s="186"/>
      <c r="B363" s="189"/>
      <c r="C363" s="189"/>
      <c r="D363" s="230"/>
      <c r="E363" s="230"/>
      <c r="F363" s="231"/>
      <c r="G363" s="189"/>
      <c r="H363" s="230"/>
      <c r="I363" s="230"/>
      <c r="J363" s="232"/>
      <c r="K363" s="233"/>
      <c r="L363" s="186"/>
      <c r="M363" s="186"/>
      <c r="N363" s="186"/>
      <c r="O363" s="234"/>
      <c r="P363" s="186"/>
      <c r="Q363" s="234"/>
      <c r="R363" s="234"/>
      <c r="S363" s="186"/>
      <c r="T363" s="186"/>
      <c r="U363" s="186"/>
      <c r="V363" s="186"/>
      <c r="W363" s="186"/>
      <c r="X363" s="186"/>
      <c r="Y363" s="186"/>
      <c r="Z363" s="186"/>
    </row>
    <row r="364" spans="1:26" ht="12.75" customHeight="1">
      <c r="A364" s="186"/>
      <c r="B364" s="189"/>
      <c r="C364" s="189"/>
      <c r="D364" s="230"/>
      <c r="E364" s="230"/>
      <c r="F364" s="231"/>
      <c r="G364" s="189"/>
      <c r="H364" s="230"/>
      <c r="I364" s="230"/>
      <c r="J364" s="232"/>
      <c r="K364" s="233"/>
      <c r="L364" s="186"/>
      <c r="M364" s="186"/>
      <c r="N364" s="186"/>
      <c r="O364" s="234"/>
      <c r="P364" s="186"/>
      <c r="Q364" s="234"/>
      <c r="R364" s="234"/>
      <c r="S364" s="186"/>
      <c r="T364" s="186"/>
      <c r="U364" s="186"/>
      <c r="V364" s="186"/>
      <c r="W364" s="186"/>
      <c r="X364" s="186"/>
      <c r="Y364" s="186"/>
      <c r="Z364" s="186"/>
    </row>
    <row r="365" spans="1:26" ht="12.75" customHeight="1">
      <c r="A365" s="186"/>
      <c r="B365" s="189"/>
      <c r="C365" s="189"/>
      <c r="D365" s="230"/>
      <c r="E365" s="230"/>
      <c r="F365" s="231"/>
      <c r="G365" s="189"/>
      <c r="H365" s="230"/>
      <c r="I365" s="230"/>
      <c r="J365" s="232"/>
      <c r="K365" s="233"/>
      <c r="L365" s="186"/>
      <c r="M365" s="186"/>
      <c r="N365" s="186"/>
      <c r="O365" s="234"/>
      <c r="P365" s="186"/>
      <c r="Q365" s="234"/>
      <c r="R365" s="234"/>
      <c r="S365" s="186"/>
      <c r="T365" s="186"/>
      <c r="U365" s="186"/>
      <c r="V365" s="186"/>
      <c r="W365" s="186"/>
      <c r="X365" s="186"/>
      <c r="Y365" s="186"/>
      <c r="Z365" s="186"/>
    </row>
    <row r="366" spans="1:26" ht="12.75" customHeight="1">
      <c r="A366" s="186"/>
      <c r="B366" s="189"/>
      <c r="C366" s="189"/>
      <c r="D366" s="230"/>
      <c r="E366" s="230"/>
      <c r="F366" s="231"/>
      <c r="G366" s="189"/>
      <c r="H366" s="230"/>
      <c r="I366" s="230"/>
      <c r="J366" s="232"/>
      <c r="K366" s="233"/>
      <c r="L366" s="186"/>
      <c r="M366" s="186"/>
      <c r="N366" s="186"/>
      <c r="O366" s="234"/>
      <c r="P366" s="186"/>
      <c r="Q366" s="234"/>
      <c r="R366" s="234"/>
      <c r="S366" s="186"/>
      <c r="T366" s="186"/>
      <c r="U366" s="186"/>
      <c r="V366" s="186"/>
      <c r="W366" s="186"/>
      <c r="X366" s="186"/>
      <c r="Y366" s="186"/>
      <c r="Z366" s="186"/>
    </row>
    <row r="367" spans="1:26" ht="12.75" customHeight="1">
      <c r="A367" s="186"/>
      <c r="B367" s="189"/>
      <c r="C367" s="189"/>
      <c r="D367" s="230"/>
      <c r="E367" s="230"/>
      <c r="F367" s="231"/>
      <c r="G367" s="189"/>
      <c r="H367" s="230"/>
      <c r="I367" s="230"/>
      <c r="J367" s="232"/>
      <c r="K367" s="233"/>
      <c r="L367" s="186"/>
      <c r="M367" s="186"/>
      <c r="N367" s="186"/>
      <c r="O367" s="234"/>
      <c r="P367" s="186"/>
      <c r="Q367" s="234"/>
      <c r="R367" s="234"/>
      <c r="S367" s="186"/>
      <c r="T367" s="186"/>
      <c r="U367" s="186"/>
      <c r="V367" s="186"/>
      <c r="W367" s="186"/>
      <c r="X367" s="186"/>
      <c r="Y367" s="186"/>
      <c r="Z367" s="186"/>
    </row>
    <row r="368" spans="1:26" ht="12.75" customHeight="1">
      <c r="A368" s="186"/>
      <c r="B368" s="189"/>
      <c r="C368" s="189"/>
      <c r="D368" s="230"/>
      <c r="E368" s="230"/>
      <c r="F368" s="231"/>
      <c r="G368" s="189"/>
      <c r="H368" s="230"/>
      <c r="I368" s="230"/>
      <c r="J368" s="232"/>
      <c r="K368" s="233"/>
      <c r="L368" s="186"/>
      <c r="M368" s="186"/>
      <c r="N368" s="186"/>
      <c r="O368" s="234"/>
      <c r="P368" s="186"/>
      <c r="Q368" s="234"/>
      <c r="R368" s="234"/>
      <c r="S368" s="186"/>
      <c r="T368" s="186"/>
      <c r="U368" s="186"/>
      <c r="V368" s="186"/>
      <c r="W368" s="186"/>
      <c r="X368" s="186"/>
      <c r="Y368" s="186"/>
      <c r="Z368" s="186"/>
    </row>
    <row r="369" spans="1:26" ht="12.75" customHeight="1">
      <c r="A369" s="186"/>
      <c r="B369" s="189"/>
      <c r="C369" s="189"/>
      <c r="D369" s="230"/>
      <c r="E369" s="230"/>
      <c r="F369" s="231"/>
      <c r="G369" s="189"/>
      <c r="H369" s="230"/>
      <c r="I369" s="230"/>
      <c r="J369" s="232"/>
      <c r="K369" s="233"/>
      <c r="L369" s="186"/>
      <c r="M369" s="186"/>
      <c r="N369" s="186"/>
      <c r="O369" s="234"/>
      <c r="P369" s="186"/>
      <c r="Q369" s="234"/>
      <c r="R369" s="234"/>
      <c r="S369" s="186"/>
      <c r="T369" s="186"/>
      <c r="U369" s="186"/>
      <c r="V369" s="186"/>
      <c r="W369" s="186"/>
      <c r="X369" s="186"/>
      <c r="Y369" s="186"/>
      <c r="Z369" s="186"/>
    </row>
    <row r="370" spans="1:26" ht="12.75" customHeight="1">
      <c r="A370" s="186"/>
      <c r="B370" s="189"/>
      <c r="C370" s="189"/>
      <c r="D370" s="230"/>
      <c r="E370" s="230"/>
      <c r="F370" s="231"/>
      <c r="G370" s="189"/>
      <c r="H370" s="230"/>
      <c r="I370" s="230"/>
      <c r="J370" s="232"/>
      <c r="K370" s="233"/>
      <c r="L370" s="186"/>
      <c r="M370" s="186"/>
      <c r="N370" s="186"/>
      <c r="O370" s="234"/>
      <c r="P370" s="186"/>
      <c r="Q370" s="234"/>
      <c r="R370" s="234"/>
      <c r="S370" s="186"/>
      <c r="T370" s="186"/>
      <c r="U370" s="186"/>
      <c r="V370" s="186"/>
      <c r="W370" s="186"/>
      <c r="X370" s="186"/>
      <c r="Y370" s="186"/>
      <c r="Z370" s="186"/>
    </row>
    <row r="371" spans="1:26" ht="12.75" customHeight="1">
      <c r="A371" s="186"/>
      <c r="B371" s="189"/>
      <c r="C371" s="189"/>
      <c r="D371" s="230"/>
      <c r="E371" s="230"/>
      <c r="F371" s="231"/>
      <c r="G371" s="189"/>
      <c r="H371" s="230"/>
      <c r="I371" s="230"/>
      <c r="J371" s="232"/>
      <c r="K371" s="233"/>
      <c r="L371" s="186"/>
      <c r="M371" s="186"/>
      <c r="N371" s="186"/>
      <c r="O371" s="234"/>
      <c r="P371" s="186"/>
      <c r="Q371" s="234"/>
      <c r="R371" s="234"/>
      <c r="S371" s="186"/>
      <c r="T371" s="186"/>
      <c r="U371" s="186"/>
      <c r="V371" s="186"/>
      <c r="W371" s="186"/>
      <c r="X371" s="186"/>
      <c r="Y371" s="186"/>
      <c r="Z371" s="186"/>
    </row>
    <row r="372" spans="1:26" ht="12.75" customHeight="1">
      <c r="A372" s="186"/>
      <c r="B372" s="189"/>
      <c r="C372" s="189"/>
      <c r="D372" s="230"/>
      <c r="E372" s="230"/>
      <c r="F372" s="231"/>
      <c r="G372" s="189"/>
      <c r="H372" s="230"/>
      <c r="I372" s="230"/>
      <c r="J372" s="232"/>
      <c r="K372" s="233"/>
      <c r="L372" s="186"/>
      <c r="M372" s="186"/>
      <c r="N372" s="186"/>
      <c r="O372" s="234"/>
      <c r="P372" s="186"/>
      <c r="Q372" s="234"/>
      <c r="R372" s="234"/>
      <c r="S372" s="186"/>
      <c r="T372" s="186"/>
      <c r="U372" s="186"/>
      <c r="V372" s="186"/>
      <c r="W372" s="186"/>
      <c r="X372" s="186"/>
      <c r="Y372" s="186"/>
      <c r="Z372" s="186"/>
    </row>
    <row r="373" spans="1:26" ht="12.75" customHeight="1">
      <c r="A373" s="186"/>
      <c r="B373" s="189"/>
      <c r="C373" s="189"/>
      <c r="D373" s="230"/>
      <c r="E373" s="230"/>
      <c r="F373" s="231"/>
      <c r="G373" s="189"/>
      <c r="H373" s="230"/>
      <c r="I373" s="230"/>
      <c r="J373" s="232"/>
      <c r="K373" s="233"/>
      <c r="L373" s="186"/>
      <c r="M373" s="186"/>
      <c r="N373" s="186"/>
      <c r="O373" s="234"/>
      <c r="P373" s="186"/>
      <c r="Q373" s="234"/>
      <c r="R373" s="234"/>
      <c r="S373" s="186"/>
      <c r="T373" s="186"/>
      <c r="U373" s="186"/>
      <c r="V373" s="186"/>
      <c r="W373" s="186"/>
      <c r="X373" s="186"/>
      <c r="Y373" s="186"/>
      <c r="Z373" s="186"/>
    </row>
    <row r="374" spans="1:26" ht="12.75" customHeight="1">
      <c r="A374" s="186"/>
      <c r="B374" s="189"/>
      <c r="C374" s="189"/>
      <c r="D374" s="230"/>
      <c r="E374" s="230"/>
      <c r="F374" s="231"/>
      <c r="G374" s="189"/>
      <c r="H374" s="230"/>
      <c r="I374" s="230"/>
      <c r="J374" s="232"/>
      <c r="K374" s="233"/>
      <c r="L374" s="186"/>
      <c r="M374" s="186"/>
      <c r="N374" s="186"/>
      <c r="O374" s="234"/>
      <c r="P374" s="186"/>
      <c r="Q374" s="234"/>
      <c r="R374" s="234"/>
      <c r="S374" s="186"/>
      <c r="T374" s="186"/>
      <c r="U374" s="186"/>
      <c r="V374" s="186"/>
      <c r="W374" s="186"/>
      <c r="X374" s="186"/>
      <c r="Y374" s="186"/>
      <c r="Z374" s="186"/>
    </row>
    <row r="375" spans="1:26" ht="12.75" customHeight="1">
      <c r="A375" s="186"/>
      <c r="B375" s="189"/>
      <c r="C375" s="189"/>
      <c r="D375" s="230"/>
      <c r="E375" s="230"/>
      <c r="F375" s="231"/>
      <c r="G375" s="189"/>
      <c r="H375" s="230"/>
      <c r="I375" s="230"/>
      <c r="J375" s="232"/>
      <c r="K375" s="233"/>
      <c r="L375" s="186"/>
      <c r="M375" s="186"/>
      <c r="N375" s="186"/>
      <c r="O375" s="234"/>
      <c r="P375" s="186"/>
      <c r="Q375" s="234"/>
      <c r="R375" s="234"/>
      <c r="S375" s="186"/>
      <c r="T375" s="186"/>
      <c r="U375" s="186"/>
      <c r="V375" s="186"/>
      <c r="W375" s="186"/>
      <c r="X375" s="186"/>
      <c r="Y375" s="186"/>
      <c r="Z375" s="186"/>
    </row>
    <row r="376" spans="1:26" ht="12.75" customHeight="1">
      <c r="A376" s="186"/>
      <c r="B376" s="189"/>
      <c r="C376" s="189"/>
      <c r="D376" s="230"/>
      <c r="E376" s="230"/>
      <c r="F376" s="231"/>
      <c r="G376" s="189"/>
      <c r="H376" s="230"/>
      <c r="I376" s="230"/>
      <c r="J376" s="232"/>
      <c r="K376" s="233"/>
      <c r="L376" s="186"/>
      <c r="M376" s="186"/>
      <c r="N376" s="186"/>
      <c r="O376" s="234"/>
      <c r="P376" s="186"/>
      <c r="Q376" s="234"/>
      <c r="R376" s="234"/>
      <c r="S376" s="186"/>
      <c r="T376" s="186"/>
      <c r="U376" s="186"/>
      <c r="V376" s="186"/>
      <c r="W376" s="186"/>
      <c r="X376" s="186"/>
      <c r="Y376" s="186"/>
      <c r="Z376" s="186"/>
    </row>
    <row r="377" spans="1:26" ht="12.75" customHeight="1">
      <c r="A377" s="186"/>
      <c r="B377" s="189"/>
      <c r="C377" s="189"/>
      <c r="D377" s="230"/>
      <c r="E377" s="230"/>
      <c r="F377" s="231"/>
      <c r="G377" s="189"/>
      <c r="H377" s="230"/>
      <c r="I377" s="230"/>
      <c r="J377" s="232"/>
      <c r="K377" s="233"/>
      <c r="L377" s="186"/>
      <c r="M377" s="186"/>
      <c r="N377" s="186"/>
      <c r="O377" s="234"/>
      <c r="P377" s="186"/>
      <c r="Q377" s="234"/>
      <c r="R377" s="234"/>
      <c r="S377" s="186"/>
      <c r="T377" s="186"/>
      <c r="U377" s="186"/>
      <c r="V377" s="186"/>
      <c r="W377" s="186"/>
      <c r="X377" s="186"/>
      <c r="Y377" s="186"/>
      <c r="Z377" s="186"/>
    </row>
    <row r="378" spans="1:26" ht="12.75" customHeight="1">
      <c r="A378" s="186"/>
      <c r="B378" s="189"/>
      <c r="C378" s="189"/>
      <c r="D378" s="230"/>
      <c r="E378" s="230"/>
      <c r="F378" s="231"/>
      <c r="G378" s="189"/>
      <c r="H378" s="230"/>
      <c r="I378" s="230"/>
      <c r="J378" s="232"/>
      <c r="K378" s="233"/>
      <c r="L378" s="186"/>
      <c r="M378" s="186"/>
      <c r="N378" s="186"/>
      <c r="O378" s="234"/>
      <c r="P378" s="186"/>
      <c r="Q378" s="234"/>
      <c r="R378" s="234"/>
      <c r="S378" s="186"/>
      <c r="T378" s="186"/>
      <c r="U378" s="186"/>
      <c r="V378" s="186"/>
      <c r="W378" s="186"/>
      <c r="X378" s="186"/>
      <c r="Y378" s="186"/>
      <c r="Z378" s="186"/>
    </row>
    <row r="379" spans="1:26" ht="12.75" customHeight="1">
      <c r="A379" s="186"/>
      <c r="B379" s="189"/>
      <c r="C379" s="189"/>
      <c r="D379" s="230"/>
      <c r="E379" s="230"/>
      <c r="F379" s="231"/>
      <c r="G379" s="189"/>
      <c r="H379" s="230"/>
      <c r="I379" s="230"/>
      <c r="J379" s="232"/>
      <c r="K379" s="233"/>
      <c r="L379" s="186"/>
      <c r="M379" s="186"/>
      <c r="N379" s="186"/>
      <c r="O379" s="234"/>
      <c r="P379" s="186"/>
      <c r="Q379" s="234"/>
      <c r="R379" s="234"/>
      <c r="S379" s="186"/>
      <c r="T379" s="186"/>
      <c r="U379" s="186"/>
      <c r="V379" s="186"/>
      <c r="W379" s="186"/>
      <c r="X379" s="186"/>
      <c r="Y379" s="186"/>
      <c r="Z379" s="186"/>
    </row>
    <row r="380" spans="1:26" ht="12.75" customHeight="1">
      <c r="A380" s="186"/>
      <c r="B380" s="189"/>
      <c r="C380" s="189"/>
      <c r="D380" s="230"/>
      <c r="E380" s="230"/>
      <c r="F380" s="231"/>
      <c r="G380" s="189"/>
      <c r="H380" s="230"/>
      <c r="I380" s="230"/>
      <c r="J380" s="232"/>
      <c r="K380" s="233"/>
      <c r="L380" s="186"/>
      <c r="M380" s="186"/>
      <c r="N380" s="186"/>
      <c r="O380" s="234"/>
      <c r="P380" s="186"/>
      <c r="Q380" s="234"/>
      <c r="R380" s="234"/>
      <c r="S380" s="186"/>
      <c r="T380" s="186"/>
      <c r="U380" s="186"/>
      <c r="V380" s="186"/>
      <c r="W380" s="186"/>
      <c r="X380" s="186"/>
      <c r="Y380" s="186"/>
      <c r="Z380" s="186"/>
    </row>
    <row r="381" spans="1:26" ht="12.75" customHeight="1">
      <c r="A381" s="186"/>
      <c r="B381" s="189"/>
      <c r="C381" s="189"/>
      <c r="D381" s="230"/>
      <c r="E381" s="230"/>
      <c r="F381" s="231"/>
      <c r="G381" s="189"/>
      <c r="H381" s="230"/>
      <c r="I381" s="230"/>
      <c r="J381" s="232"/>
      <c r="K381" s="233"/>
      <c r="L381" s="186"/>
      <c r="M381" s="186"/>
      <c r="N381" s="186"/>
      <c r="O381" s="234"/>
      <c r="P381" s="186"/>
      <c r="Q381" s="234"/>
      <c r="R381" s="234"/>
      <c r="S381" s="186"/>
      <c r="T381" s="186"/>
      <c r="U381" s="186"/>
      <c r="V381" s="186"/>
      <c r="W381" s="186"/>
      <c r="X381" s="186"/>
      <c r="Y381" s="186"/>
      <c r="Z381" s="186"/>
    </row>
    <row r="382" spans="1:26" ht="12.75" customHeight="1">
      <c r="A382" s="186"/>
      <c r="B382" s="189"/>
      <c r="C382" s="189"/>
      <c r="D382" s="230"/>
      <c r="E382" s="230"/>
      <c r="F382" s="231"/>
      <c r="G382" s="189"/>
      <c r="H382" s="230"/>
      <c r="I382" s="230"/>
      <c r="J382" s="232"/>
      <c r="K382" s="233"/>
      <c r="L382" s="186"/>
      <c r="M382" s="186"/>
      <c r="N382" s="186"/>
      <c r="O382" s="234"/>
      <c r="P382" s="186"/>
      <c r="Q382" s="234"/>
      <c r="R382" s="234"/>
      <c r="S382" s="186"/>
      <c r="T382" s="186"/>
      <c r="U382" s="186"/>
      <c r="V382" s="186"/>
      <c r="W382" s="186"/>
      <c r="X382" s="186"/>
      <c r="Y382" s="186"/>
      <c r="Z382" s="186"/>
    </row>
    <row r="383" spans="1:26" ht="12.75" customHeight="1">
      <c r="A383" s="186"/>
      <c r="B383" s="189"/>
      <c r="C383" s="189"/>
      <c r="D383" s="230"/>
      <c r="E383" s="230"/>
      <c r="F383" s="231"/>
      <c r="G383" s="189"/>
      <c r="H383" s="230"/>
      <c r="I383" s="230"/>
      <c r="J383" s="232"/>
      <c r="K383" s="233"/>
      <c r="L383" s="186"/>
      <c r="M383" s="186"/>
      <c r="N383" s="186"/>
      <c r="O383" s="234"/>
      <c r="P383" s="186"/>
      <c r="Q383" s="234"/>
      <c r="R383" s="234"/>
      <c r="S383" s="186"/>
      <c r="T383" s="186"/>
      <c r="U383" s="186"/>
      <c r="V383" s="186"/>
      <c r="W383" s="186"/>
      <c r="X383" s="186"/>
      <c r="Y383" s="186"/>
      <c r="Z383" s="186"/>
    </row>
    <row r="384" spans="1:26" ht="12.75" customHeight="1">
      <c r="A384" s="186"/>
      <c r="B384" s="189"/>
      <c r="C384" s="189"/>
      <c r="D384" s="230"/>
      <c r="E384" s="230"/>
      <c r="F384" s="231"/>
      <c r="G384" s="189"/>
      <c r="H384" s="230"/>
      <c r="I384" s="230"/>
      <c r="J384" s="232"/>
      <c r="K384" s="233"/>
      <c r="L384" s="186"/>
      <c r="M384" s="186"/>
      <c r="N384" s="186"/>
      <c r="O384" s="234"/>
      <c r="P384" s="186"/>
      <c r="Q384" s="234"/>
      <c r="R384" s="234"/>
      <c r="S384" s="186"/>
      <c r="T384" s="186"/>
      <c r="U384" s="186"/>
      <c r="V384" s="186"/>
      <c r="W384" s="186"/>
      <c r="X384" s="186"/>
      <c r="Y384" s="186"/>
      <c r="Z384" s="186"/>
    </row>
    <row r="385" spans="1:26" ht="12.75" customHeight="1">
      <c r="A385" s="186"/>
      <c r="B385" s="189"/>
      <c r="C385" s="189"/>
      <c r="D385" s="230"/>
      <c r="E385" s="230"/>
      <c r="F385" s="231"/>
      <c r="G385" s="189"/>
      <c r="H385" s="230"/>
      <c r="I385" s="230"/>
      <c r="J385" s="232"/>
      <c r="K385" s="233"/>
      <c r="L385" s="186"/>
      <c r="M385" s="186"/>
      <c r="N385" s="186"/>
      <c r="O385" s="234"/>
      <c r="P385" s="186"/>
      <c r="Q385" s="234"/>
      <c r="R385" s="234"/>
      <c r="S385" s="186"/>
      <c r="T385" s="186"/>
      <c r="U385" s="186"/>
      <c r="V385" s="186"/>
      <c r="W385" s="186"/>
      <c r="X385" s="186"/>
      <c r="Y385" s="186"/>
      <c r="Z385" s="186"/>
    </row>
    <row r="386" spans="1:26" ht="12.75" customHeight="1">
      <c r="A386" s="186"/>
      <c r="B386" s="189"/>
      <c r="C386" s="189"/>
      <c r="D386" s="230"/>
      <c r="E386" s="230"/>
      <c r="F386" s="231"/>
      <c r="G386" s="189"/>
      <c r="H386" s="230"/>
      <c r="I386" s="230"/>
      <c r="J386" s="232"/>
      <c r="K386" s="233"/>
      <c r="L386" s="186"/>
      <c r="M386" s="186"/>
      <c r="N386" s="186"/>
      <c r="O386" s="234"/>
      <c r="P386" s="186"/>
      <c r="Q386" s="234"/>
      <c r="R386" s="234"/>
      <c r="S386" s="186"/>
      <c r="T386" s="186"/>
      <c r="U386" s="186"/>
      <c r="V386" s="186"/>
      <c r="W386" s="186"/>
      <c r="X386" s="186"/>
      <c r="Y386" s="186"/>
      <c r="Z386" s="186"/>
    </row>
    <row r="387" spans="1:26" ht="12.75" customHeight="1">
      <c r="A387" s="186"/>
      <c r="B387" s="189"/>
      <c r="C387" s="189"/>
      <c r="D387" s="230"/>
      <c r="E387" s="230"/>
      <c r="F387" s="231"/>
      <c r="G387" s="189"/>
      <c r="H387" s="230"/>
      <c r="I387" s="230"/>
      <c r="J387" s="232"/>
      <c r="K387" s="233"/>
      <c r="L387" s="186"/>
      <c r="M387" s="186"/>
      <c r="N387" s="186"/>
      <c r="O387" s="234"/>
      <c r="P387" s="186"/>
      <c r="Q387" s="234"/>
      <c r="R387" s="234"/>
      <c r="S387" s="186"/>
      <c r="T387" s="186"/>
      <c r="U387" s="186"/>
      <c r="V387" s="186"/>
      <c r="W387" s="186"/>
      <c r="X387" s="186"/>
      <c r="Y387" s="186"/>
      <c r="Z387" s="186"/>
    </row>
    <row r="388" spans="1:26" ht="12.75" customHeight="1">
      <c r="A388" s="186"/>
      <c r="B388" s="189"/>
      <c r="C388" s="189"/>
      <c r="D388" s="230"/>
      <c r="E388" s="230"/>
      <c r="F388" s="231"/>
      <c r="G388" s="189"/>
      <c r="H388" s="230"/>
      <c r="I388" s="230"/>
      <c r="J388" s="232"/>
      <c r="K388" s="233"/>
      <c r="L388" s="186"/>
      <c r="M388" s="186"/>
      <c r="N388" s="186"/>
      <c r="O388" s="234"/>
      <c r="P388" s="186"/>
      <c r="Q388" s="234"/>
      <c r="R388" s="234"/>
      <c r="S388" s="186"/>
      <c r="T388" s="186"/>
      <c r="U388" s="186"/>
      <c r="V388" s="186"/>
      <c r="W388" s="186"/>
      <c r="X388" s="186"/>
      <c r="Y388" s="186"/>
      <c r="Z388" s="186"/>
    </row>
    <row r="389" spans="1:26" ht="12.75" customHeight="1">
      <c r="A389" s="186"/>
      <c r="B389" s="189"/>
      <c r="C389" s="189"/>
      <c r="D389" s="230"/>
      <c r="E389" s="230"/>
      <c r="F389" s="231"/>
      <c r="G389" s="189"/>
      <c r="H389" s="230"/>
      <c r="I389" s="230"/>
      <c r="J389" s="232"/>
      <c r="K389" s="233"/>
      <c r="L389" s="186"/>
      <c r="M389" s="186"/>
      <c r="N389" s="186"/>
      <c r="O389" s="234"/>
      <c r="P389" s="186"/>
      <c r="Q389" s="234"/>
      <c r="R389" s="234"/>
      <c r="S389" s="186"/>
      <c r="T389" s="186"/>
      <c r="U389" s="186"/>
      <c r="V389" s="186"/>
      <c r="W389" s="186"/>
      <c r="X389" s="186"/>
      <c r="Y389" s="186"/>
      <c r="Z389" s="186"/>
    </row>
    <row r="390" spans="1:26" ht="12.75" customHeight="1">
      <c r="A390" s="186"/>
      <c r="B390" s="189"/>
      <c r="C390" s="189"/>
      <c r="D390" s="230"/>
      <c r="E390" s="230"/>
      <c r="F390" s="231"/>
      <c r="G390" s="189"/>
      <c r="H390" s="230"/>
      <c r="I390" s="230"/>
      <c r="J390" s="232"/>
      <c r="K390" s="233"/>
      <c r="L390" s="186"/>
      <c r="M390" s="186"/>
      <c r="N390" s="186"/>
      <c r="O390" s="234"/>
      <c r="P390" s="186"/>
      <c r="Q390" s="234"/>
      <c r="R390" s="234"/>
      <c r="S390" s="186"/>
      <c r="T390" s="186"/>
      <c r="U390" s="186"/>
      <c r="V390" s="186"/>
      <c r="W390" s="186"/>
      <c r="X390" s="186"/>
      <c r="Y390" s="186"/>
      <c r="Z390" s="186"/>
    </row>
    <row r="391" spans="1:26" ht="12.75" customHeight="1">
      <c r="A391" s="186"/>
      <c r="B391" s="189"/>
      <c r="C391" s="189"/>
      <c r="D391" s="230"/>
      <c r="E391" s="230"/>
      <c r="F391" s="231"/>
      <c r="G391" s="189"/>
      <c r="H391" s="230"/>
      <c r="I391" s="230"/>
      <c r="J391" s="232"/>
      <c r="K391" s="233"/>
      <c r="L391" s="186"/>
      <c r="M391" s="186"/>
      <c r="N391" s="186"/>
      <c r="O391" s="234"/>
      <c r="P391" s="186"/>
      <c r="Q391" s="234"/>
      <c r="R391" s="234"/>
      <c r="S391" s="186"/>
      <c r="T391" s="186"/>
      <c r="U391" s="186"/>
      <c r="V391" s="186"/>
      <c r="W391" s="186"/>
      <c r="X391" s="186"/>
      <c r="Y391" s="186"/>
      <c r="Z391" s="186"/>
    </row>
    <row r="392" spans="1:26" ht="12.75" customHeight="1">
      <c r="A392" s="186"/>
      <c r="B392" s="189"/>
      <c r="C392" s="189"/>
      <c r="D392" s="230"/>
      <c r="E392" s="230"/>
      <c r="F392" s="231"/>
      <c r="G392" s="189"/>
      <c r="H392" s="230"/>
      <c r="I392" s="230"/>
      <c r="J392" s="232"/>
      <c r="K392" s="233"/>
      <c r="L392" s="186"/>
      <c r="M392" s="186"/>
      <c r="N392" s="186"/>
      <c r="O392" s="234"/>
      <c r="P392" s="186"/>
      <c r="Q392" s="234"/>
      <c r="R392" s="234"/>
      <c r="S392" s="186"/>
      <c r="T392" s="186"/>
      <c r="U392" s="186"/>
      <c r="V392" s="186"/>
      <c r="W392" s="186"/>
      <c r="X392" s="186"/>
      <c r="Y392" s="186"/>
      <c r="Z392" s="186"/>
    </row>
    <row r="393" spans="1:26" ht="12.75" customHeight="1">
      <c r="A393" s="186"/>
      <c r="B393" s="189"/>
      <c r="C393" s="189"/>
      <c r="D393" s="230"/>
      <c r="E393" s="230"/>
      <c r="F393" s="231"/>
      <c r="G393" s="189"/>
      <c r="H393" s="230"/>
      <c r="I393" s="230"/>
      <c r="J393" s="232"/>
      <c r="K393" s="233"/>
      <c r="L393" s="186"/>
      <c r="M393" s="186"/>
      <c r="N393" s="186"/>
      <c r="O393" s="234"/>
      <c r="P393" s="186"/>
      <c r="Q393" s="234"/>
      <c r="R393" s="234"/>
      <c r="S393" s="186"/>
      <c r="T393" s="186"/>
      <c r="U393" s="186"/>
      <c r="V393" s="186"/>
      <c r="W393" s="186"/>
      <c r="X393" s="186"/>
      <c r="Y393" s="186"/>
      <c r="Z393" s="186"/>
    </row>
    <row r="394" spans="1:26" ht="12.75" customHeight="1">
      <c r="A394" s="186"/>
      <c r="B394" s="189"/>
      <c r="C394" s="189"/>
      <c r="D394" s="230"/>
      <c r="E394" s="230"/>
      <c r="F394" s="231"/>
      <c r="G394" s="189"/>
      <c r="H394" s="230"/>
      <c r="I394" s="230"/>
      <c r="J394" s="232"/>
      <c r="K394" s="233"/>
      <c r="L394" s="186"/>
      <c r="M394" s="186"/>
      <c r="N394" s="186"/>
      <c r="O394" s="234"/>
      <c r="P394" s="186"/>
      <c r="Q394" s="234"/>
      <c r="R394" s="234"/>
      <c r="S394" s="186"/>
      <c r="T394" s="186"/>
      <c r="U394" s="186"/>
      <c r="V394" s="186"/>
      <c r="W394" s="186"/>
      <c r="X394" s="186"/>
      <c r="Y394" s="186"/>
      <c r="Z394" s="186"/>
    </row>
    <row r="395" spans="1:26" ht="12.75" customHeight="1">
      <c r="A395" s="186"/>
      <c r="B395" s="189"/>
      <c r="C395" s="189"/>
      <c r="D395" s="230"/>
      <c r="E395" s="230"/>
      <c r="F395" s="231"/>
      <c r="G395" s="189"/>
      <c r="H395" s="230"/>
      <c r="I395" s="230"/>
      <c r="J395" s="232"/>
      <c r="K395" s="233"/>
      <c r="L395" s="186"/>
      <c r="M395" s="186"/>
      <c r="N395" s="186"/>
      <c r="O395" s="234"/>
      <c r="P395" s="186"/>
      <c r="Q395" s="234"/>
      <c r="R395" s="234"/>
      <c r="S395" s="186"/>
      <c r="T395" s="186"/>
      <c r="U395" s="186"/>
      <c r="V395" s="186"/>
      <c r="W395" s="186"/>
      <c r="X395" s="186"/>
      <c r="Y395" s="186"/>
      <c r="Z395" s="186"/>
    </row>
    <row r="396" spans="1:26" ht="12.75" customHeight="1">
      <c r="A396" s="186"/>
      <c r="B396" s="189"/>
      <c r="C396" s="189"/>
      <c r="D396" s="230"/>
      <c r="E396" s="230"/>
      <c r="F396" s="231"/>
      <c r="G396" s="189"/>
      <c r="H396" s="230"/>
      <c r="I396" s="230"/>
      <c r="J396" s="232"/>
      <c r="K396" s="233"/>
      <c r="L396" s="186"/>
      <c r="M396" s="186"/>
      <c r="N396" s="186"/>
      <c r="O396" s="234"/>
      <c r="P396" s="186"/>
      <c r="Q396" s="234"/>
      <c r="R396" s="234"/>
      <c r="S396" s="186"/>
      <c r="T396" s="186"/>
      <c r="U396" s="186"/>
      <c r="V396" s="186"/>
      <c r="W396" s="186"/>
      <c r="X396" s="186"/>
      <c r="Y396" s="186"/>
      <c r="Z396" s="186"/>
    </row>
    <row r="397" spans="1:26" ht="12.75" customHeight="1">
      <c r="A397" s="186"/>
      <c r="B397" s="189"/>
      <c r="C397" s="189"/>
      <c r="D397" s="230"/>
      <c r="E397" s="230"/>
      <c r="F397" s="231"/>
      <c r="G397" s="189"/>
      <c r="H397" s="230"/>
      <c r="I397" s="230"/>
      <c r="J397" s="232"/>
      <c r="K397" s="233"/>
      <c r="L397" s="186"/>
      <c r="M397" s="186"/>
      <c r="N397" s="186"/>
      <c r="O397" s="234"/>
      <c r="P397" s="186"/>
      <c r="Q397" s="234"/>
      <c r="R397" s="234"/>
      <c r="S397" s="186"/>
      <c r="T397" s="186"/>
      <c r="U397" s="186"/>
      <c r="V397" s="186"/>
      <c r="W397" s="186"/>
      <c r="X397" s="186"/>
      <c r="Y397" s="186"/>
      <c r="Z397" s="186"/>
    </row>
    <row r="398" spans="1:26" ht="12.75" customHeight="1">
      <c r="A398" s="186"/>
      <c r="B398" s="189"/>
      <c r="C398" s="189"/>
      <c r="D398" s="230"/>
      <c r="E398" s="230"/>
      <c r="F398" s="231"/>
      <c r="G398" s="189"/>
      <c r="H398" s="230"/>
      <c r="I398" s="230"/>
      <c r="J398" s="232"/>
      <c r="K398" s="233"/>
      <c r="L398" s="186"/>
      <c r="M398" s="186"/>
      <c r="N398" s="186"/>
      <c r="O398" s="234"/>
      <c r="P398" s="186"/>
      <c r="Q398" s="234"/>
      <c r="R398" s="234"/>
      <c r="S398" s="186"/>
      <c r="T398" s="186"/>
      <c r="U398" s="186"/>
      <c r="V398" s="186"/>
      <c r="W398" s="186"/>
      <c r="X398" s="186"/>
      <c r="Y398" s="186"/>
      <c r="Z398" s="186"/>
    </row>
    <row r="399" spans="1:26" ht="12.75" customHeight="1">
      <c r="A399" s="186"/>
      <c r="B399" s="189"/>
      <c r="C399" s="189"/>
      <c r="D399" s="230"/>
      <c r="E399" s="230"/>
      <c r="F399" s="231"/>
      <c r="G399" s="189"/>
      <c r="H399" s="230"/>
      <c r="I399" s="230"/>
      <c r="J399" s="232"/>
      <c r="K399" s="233"/>
      <c r="L399" s="186"/>
      <c r="M399" s="186"/>
      <c r="N399" s="186"/>
      <c r="O399" s="234"/>
      <c r="P399" s="186"/>
      <c r="Q399" s="234"/>
      <c r="R399" s="234"/>
      <c r="S399" s="186"/>
      <c r="T399" s="186"/>
      <c r="U399" s="186"/>
      <c r="V399" s="186"/>
      <c r="W399" s="186"/>
      <c r="X399" s="186"/>
      <c r="Y399" s="186"/>
      <c r="Z399" s="186"/>
    </row>
    <row r="400" spans="1:26" ht="12.75" customHeight="1">
      <c r="A400" s="186"/>
      <c r="B400" s="189"/>
      <c r="C400" s="189"/>
      <c r="D400" s="230"/>
      <c r="E400" s="230"/>
      <c r="F400" s="231"/>
      <c r="G400" s="189"/>
      <c r="H400" s="230"/>
      <c r="I400" s="230"/>
      <c r="J400" s="232"/>
      <c r="K400" s="233"/>
      <c r="L400" s="186"/>
      <c r="M400" s="186"/>
      <c r="N400" s="186"/>
      <c r="O400" s="234"/>
      <c r="P400" s="186"/>
      <c r="Q400" s="234"/>
      <c r="R400" s="234"/>
      <c r="S400" s="186"/>
      <c r="T400" s="186"/>
      <c r="U400" s="186"/>
      <c r="V400" s="186"/>
      <c r="W400" s="186"/>
      <c r="X400" s="186"/>
      <c r="Y400" s="186"/>
      <c r="Z400" s="186"/>
    </row>
    <row r="401" spans="1:26" ht="12.75" customHeight="1">
      <c r="A401" s="186"/>
      <c r="B401" s="189"/>
      <c r="C401" s="189"/>
      <c r="D401" s="230"/>
      <c r="E401" s="230"/>
      <c r="F401" s="231"/>
      <c r="G401" s="189"/>
      <c r="H401" s="230"/>
      <c r="I401" s="230"/>
      <c r="J401" s="232"/>
      <c r="K401" s="233"/>
      <c r="L401" s="186"/>
      <c r="M401" s="186"/>
      <c r="N401" s="186"/>
      <c r="O401" s="234"/>
      <c r="P401" s="186"/>
      <c r="Q401" s="234"/>
      <c r="R401" s="234"/>
      <c r="S401" s="186"/>
      <c r="T401" s="186"/>
      <c r="U401" s="186"/>
      <c r="V401" s="186"/>
      <c r="W401" s="186"/>
      <c r="X401" s="186"/>
      <c r="Y401" s="186"/>
      <c r="Z401" s="186"/>
    </row>
    <row r="402" spans="1:26" ht="12.75" customHeight="1">
      <c r="A402" s="186"/>
      <c r="B402" s="189"/>
      <c r="C402" s="189"/>
      <c r="D402" s="230"/>
      <c r="E402" s="230"/>
      <c r="F402" s="231"/>
      <c r="G402" s="189"/>
      <c r="H402" s="230"/>
      <c r="I402" s="230"/>
      <c r="J402" s="232"/>
      <c r="K402" s="233"/>
      <c r="L402" s="186"/>
      <c r="M402" s="186"/>
      <c r="N402" s="186"/>
      <c r="O402" s="234"/>
      <c r="P402" s="186"/>
      <c r="Q402" s="234"/>
      <c r="R402" s="234"/>
      <c r="S402" s="186"/>
      <c r="T402" s="186"/>
      <c r="U402" s="186"/>
      <c r="V402" s="186"/>
      <c r="W402" s="186"/>
      <c r="X402" s="186"/>
      <c r="Y402" s="186"/>
      <c r="Z402" s="186"/>
    </row>
    <row r="403" spans="1:26" ht="12.75" customHeight="1">
      <c r="A403" s="186"/>
      <c r="B403" s="189"/>
      <c r="C403" s="189"/>
      <c r="D403" s="230"/>
      <c r="E403" s="230"/>
      <c r="F403" s="231"/>
      <c r="G403" s="189"/>
      <c r="H403" s="230"/>
      <c r="I403" s="230"/>
      <c r="J403" s="232"/>
      <c r="K403" s="233"/>
      <c r="L403" s="186"/>
      <c r="M403" s="186"/>
      <c r="N403" s="186"/>
      <c r="O403" s="234"/>
      <c r="P403" s="186"/>
      <c r="Q403" s="234"/>
      <c r="R403" s="234"/>
      <c r="S403" s="186"/>
      <c r="T403" s="186"/>
      <c r="U403" s="186"/>
      <c r="V403" s="186"/>
      <c r="W403" s="186"/>
      <c r="X403" s="186"/>
      <c r="Y403" s="186"/>
      <c r="Z403" s="186"/>
    </row>
    <row r="404" spans="1:26" ht="12.75" customHeight="1">
      <c r="A404" s="186"/>
      <c r="B404" s="189"/>
      <c r="C404" s="189"/>
      <c r="D404" s="230"/>
      <c r="E404" s="230"/>
      <c r="F404" s="231"/>
      <c r="G404" s="189"/>
      <c r="H404" s="230"/>
      <c r="I404" s="230"/>
      <c r="J404" s="232"/>
      <c r="K404" s="233"/>
      <c r="L404" s="186"/>
      <c r="M404" s="186"/>
      <c r="N404" s="186"/>
      <c r="O404" s="234"/>
      <c r="P404" s="186"/>
      <c r="Q404" s="234"/>
      <c r="R404" s="234"/>
      <c r="S404" s="186"/>
      <c r="T404" s="186"/>
      <c r="U404" s="186"/>
      <c r="V404" s="186"/>
      <c r="W404" s="186"/>
      <c r="X404" s="186"/>
      <c r="Y404" s="186"/>
      <c r="Z404" s="186"/>
    </row>
    <row r="405" spans="1:26" ht="12.75" customHeight="1">
      <c r="A405" s="186"/>
      <c r="B405" s="189"/>
      <c r="C405" s="189"/>
      <c r="D405" s="230"/>
      <c r="E405" s="230"/>
      <c r="F405" s="231"/>
      <c r="G405" s="189"/>
      <c r="H405" s="230"/>
      <c r="I405" s="230"/>
      <c r="J405" s="232"/>
      <c r="K405" s="233"/>
      <c r="L405" s="186"/>
      <c r="M405" s="186"/>
      <c r="N405" s="186"/>
      <c r="O405" s="234"/>
      <c r="P405" s="186"/>
      <c r="Q405" s="234"/>
      <c r="R405" s="234"/>
      <c r="S405" s="186"/>
      <c r="T405" s="186"/>
      <c r="U405" s="186"/>
      <c r="V405" s="186"/>
      <c r="W405" s="186"/>
      <c r="X405" s="186"/>
      <c r="Y405" s="186"/>
      <c r="Z405" s="186"/>
    </row>
    <row r="406" spans="1:26" ht="12.75" customHeight="1">
      <c r="A406" s="186"/>
      <c r="B406" s="189"/>
      <c r="C406" s="189"/>
      <c r="D406" s="230"/>
      <c r="E406" s="230"/>
      <c r="F406" s="231"/>
      <c r="G406" s="189"/>
      <c r="H406" s="230"/>
      <c r="I406" s="230"/>
      <c r="J406" s="232"/>
      <c r="K406" s="233"/>
      <c r="L406" s="186"/>
      <c r="M406" s="186"/>
      <c r="N406" s="186"/>
      <c r="O406" s="234"/>
      <c r="P406" s="186"/>
      <c r="Q406" s="234"/>
      <c r="R406" s="234"/>
      <c r="S406" s="186"/>
      <c r="T406" s="186"/>
      <c r="U406" s="186"/>
      <c r="V406" s="186"/>
      <c r="W406" s="186"/>
      <c r="X406" s="186"/>
      <c r="Y406" s="186"/>
      <c r="Z406" s="186"/>
    </row>
    <row r="407" spans="1:26" ht="12.75" customHeight="1">
      <c r="A407" s="186"/>
      <c r="B407" s="189"/>
      <c r="C407" s="189"/>
      <c r="D407" s="230"/>
      <c r="E407" s="230"/>
      <c r="F407" s="231"/>
      <c r="G407" s="189"/>
      <c r="H407" s="230"/>
      <c r="I407" s="230"/>
      <c r="J407" s="232"/>
      <c r="K407" s="233"/>
      <c r="L407" s="186"/>
      <c r="M407" s="186"/>
      <c r="N407" s="186"/>
      <c r="O407" s="234"/>
      <c r="P407" s="186"/>
      <c r="Q407" s="234"/>
      <c r="R407" s="234"/>
      <c r="S407" s="186"/>
      <c r="T407" s="186"/>
      <c r="U407" s="186"/>
      <c r="V407" s="186"/>
      <c r="W407" s="186"/>
      <c r="X407" s="186"/>
      <c r="Y407" s="186"/>
      <c r="Z407" s="186"/>
    </row>
    <row r="408" spans="1:26" ht="12.75" customHeight="1">
      <c r="A408" s="186"/>
      <c r="B408" s="189"/>
      <c r="C408" s="189"/>
      <c r="D408" s="230"/>
      <c r="E408" s="230"/>
      <c r="F408" s="231"/>
      <c r="G408" s="189"/>
      <c r="H408" s="230"/>
      <c r="I408" s="230"/>
      <c r="J408" s="232"/>
      <c r="K408" s="233"/>
      <c r="L408" s="186"/>
      <c r="M408" s="186"/>
      <c r="N408" s="186"/>
      <c r="O408" s="234"/>
      <c r="P408" s="186"/>
      <c r="Q408" s="234"/>
      <c r="R408" s="234"/>
      <c r="S408" s="186"/>
      <c r="T408" s="186"/>
      <c r="U408" s="186"/>
      <c r="V408" s="186"/>
      <c r="W408" s="186"/>
      <c r="X408" s="186"/>
      <c r="Y408" s="186"/>
      <c r="Z408" s="186"/>
    </row>
    <row r="409" spans="1:26" ht="12.75" customHeight="1">
      <c r="A409" s="186"/>
      <c r="B409" s="189"/>
      <c r="C409" s="189"/>
      <c r="D409" s="230"/>
      <c r="E409" s="230"/>
      <c r="F409" s="231"/>
      <c r="G409" s="189"/>
      <c r="H409" s="230"/>
      <c r="I409" s="230"/>
      <c r="J409" s="232"/>
      <c r="K409" s="233"/>
      <c r="L409" s="186"/>
      <c r="M409" s="186"/>
      <c r="N409" s="186"/>
      <c r="O409" s="234"/>
      <c r="P409" s="186"/>
      <c r="Q409" s="234"/>
      <c r="R409" s="234"/>
      <c r="S409" s="186"/>
      <c r="T409" s="186"/>
      <c r="U409" s="186"/>
      <c r="V409" s="186"/>
      <c r="W409" s="186"/>
      <c r="X409" s="186"/>
      <c r="Y409" s="186"/>
      <c r="Z409" s="186"/>
    </row>
    <row r="410" spans="1:26" ht="12.75" customHeight="1">
      <c r="A410" s="186"/>
      <c r="B410" s="189"/>
      <c r="C410" s="189"/>
      <c r="D410" s="230"/>
      <c r="E410" s="230"/>
      <c r="F410" s="231"/>
      <c r="G410" s="189"/>
      <c r="H410" s="230"/>
      <c r="I410" s="230"/>
      <c r="J410" s="232"/>
      <c r="K410" s="233"/>
      <c r="L410" s="186"/>
      <c r="M410" s="186"/>
      <c r="N410" s="186"/>
      <c r="O410" s="234"/>
      <c r="P410" s="186"/>
      <c r="Q410" s="234"/>
      <c r="R410" s="234"/>
      <c r="S410" s="186"/>
      <c r="T410" s="186"/>
      <c r="U410" s="186"/>
      <c r="V410" s="186"/>
      <c r="W410" s="186"/>
      <c r="X410" s="186"/>
      <c r="Y410" s="186"/>
      <c r="Z410" s="186"/>
    </row>
    <row r="411" spans="1:26" ht="12.75" customHeight="1">
      <c r="A411" s="186"/>
      <c r="B411" s="189"/>
      <c r="C411" s="189"/>
      <c r="D411" s="230"/>
      <c r="E411" s="230"/>
      <c r="F411" s="231"/>
      <c r="G411" s="189"/>
      <c r="H411" s="230"/>
      <c r="I411" s="230"/>
      <c r="J411" s="232"/>
      <c r="K411" s="233"/>
      <c r="L411" s="186"/>
      <c r="M411" s="186"/>
      <c r="N411" s="186"/>
      <c r="O411" s="234"/>
      <c r="P411" s="186"/>
      <c r="Q411" s="234"/>
      <c r="R411" s="234"/>
      <c r="S411" s="186"/>
      <c r="T411" s="186"/>
      <c r="U411" s="186"/>
      <c r="V411" s="186"/>
      <c r="W411" s="186"/>
      <c r="X411" s="186"/>
      <c r="Y411" s="186"/>
      <c r="Z411" s="186"/>
    </row>
    <row r="412" spans="1:26" ht="12.75" customHeight="1">
      <c r="A412" s="186"/>
      <c r="B412" s="189"/>
      <c r="C412" s="189"/>
      <c r="D412" s="230"/>
      <c r="E412" s="230"/>
      <c r="F412" s="231"/>
      <c r="G412" s="189"/>
      <c r="H412" s="230"/>
      <c r="I412" s="230"/>
      <c r="J412" s="232"/>
      <c r="K412" s="233"/>
      <c r="L412" s="186"/>
      <c r="M412" s="186"/>
      <c r="N412" s="186"/>
      <c r="O412" s="234"/>
      <c r="P412" s="186"/>
      <c r="Q412" s="234"/>
      <c r="R412" s="234"/>
      <c r="S412" s="186"/>
      <c r="T412" s="186"/>
      <c r="U412" s="186"/>
      <c r="V412" s="186"/>
      <c r="W412" s="186"/>
      <c r="X412" s="186"/>
      <c r="Y412" s="186"/>
      <c r="Z412" s="186"/>
    </row>
    <row r="413" spans="1:26" ht="12.75" customHeight="1">
      <c r="A413" s="186"/>
      <c r="B413" s="189"/>
      <c r="C413" s="189"/>
      <c r="D413" s="230"/>
      <c r="E413" s="230"/>
      <c r="F413" s="231"/>
      <c r="G413" s="189"/>
      <c r="H413" s="230"/>
      <c r="I413" s="230"/>
      <c r="J413" s="232"/>
      <c r="K413" s="233"/>
      <c r="L413" s="186"/>
      <c r="M413" s="186"/>
      <c r="N413" s="186"/>
      <c r="O413" s="234"/>
      <c r="P413" s="186"/>
      <c r="Q413" s="234"/>
      <c r="R413" s="234"/>
      <c r="S413" s="186"/>
      <c r="T413" s="186"/>
      <c r="U413" s="186"/>
      <c r="V413" s="186"/>
      <c r="W413" s="186"/>
      <c r="X413" s="186"/>
      <c r="Y413" s="186"/>
      <c r="Z413" s="186"/>
    </row>
    <row r="414" spans="1:26" ht="12.75" customHeight="1">
      <c r="A414" s="186"/>
      <c r="B414" s="189"/>
      <c r="C414" s="189"/>
      <c r="D414" s="230"/>
      <c r="E414" s="230"/>
      <c r="F414" s="231"/>
      <c r="G414" s="189"/>
      <c r="H414" s="230"/>
      <c r="I414" s="230"/>
      <c r="J414" s="232"/>
      <c r="K414" s="233"/>
      <c r="L414" s="186"/>
      <c r="M414" s="186"/>
      <c r="N414" s="186"/>
      <c r="O414" s="234"/>
      <c r="P414" s="186"/>
      <c r="Q414" s="234"/>
      <c r="R414" s="234"/>
      <c r="S414" s="186"/>
      <c r="T414" s="186"/>
      <c r="U414" s="186"/>
      <c r="V414" s="186"/>
      <c r="W414" s="186"/>
      <c r="X414" s="186"/>
      <c r="Y414" s="186"/>
      <c r="Z414" s="186"/>
    </row>
    <row r="415" spans="1:26" ht="12.75" customHeight="1">
      <c r="A415" s="186"/>
      <c r="B415" s="189"/>
      <c r="C415" s="189"/>
      <c r="D415" s="230"/>
      <c r="E415" s="230"/>
      <c r="F415" s="231"/>
      <c r="G415" s="189"/>
      <c r="H415" s="230"/>
      <c r="I415" s="230"/>
      <c r="J415" s="232"/>
      <c r="K415" s="233"/>
      <c r="L415" s="186"/>
      <c r="M415" s="186"/>
      <c r="N415" s="186"/>
      <c r="O415" s="234"/>
      <c r="P415" s="186"/>
      <c r="Q415" s="234"/>
      <c r="R415" s="234"/>
      <c r="S415" s="186"/>
      <c r="T415" s="186"/>
      <c r="U415" s="186"/>
      <c r="V415" s="186"/>
      <c r="W415" s="186"/>
      <c r="X415" s="186"/>
      <c r="Y415" s="186"/>
      <c r="Z415" s="186"/>
    </row>
    <row r="416" spans="1:26" ht="12.75" customHeight="1">
      <c r="A416" s="186"/>
      <c r="B416" s="189"/>
      <c r="C416" s="189"/>
      <c r="D416" s="230"/>
      <c r="E416" s="230"/>
      <c r="F416" s="231"/>
      <c r="G416" s="189"/>
      <c r="H416" s="230"/>
      <c r="I416" s="230"/>
      <c r="J416" s="232"/>
      <c r="K416" s="233"/>
      <c r="L416" s="186"/>
      <c r="M416" s="186"/>
      <c r="N416" s="186"/>
      <c r="O416" s="234"/>
      <c r="P416" s="186"/>
      <c r="Q416" s="234"/>
      <c r="R416" s="234"/>
      <c r="S416" s="186"/>
      <c r="T416" s="186"/>
      <c r="U416" s="186"/>
      <c r="V416" s="186"/>
      <c r="W416" s="186"/>
      <c r="X416" s="186"/>
      <c r="Y416" s="186"/>
      <c r="Z416" s="186"/>
    </row>
    <row r="417" spans="1:26" ht="12.75" customHeight="1">
      <c r="A417" s="186"/>
      <c r="B417" s="189"/>
      <c r="C417" s="189"/>
      <c r="D417" s="230"/>
      <c r="E417" s="230"/>
      <c r="F417" s="231"/>
      <c r="G417" s="189"/>
      <c r="H417" s="230"/>
      <c r="I417" s="230"/>
      <c r="J417" s="232"/>
      <c r="K417" s="233"/>
      <c r="L417" s="186"/>
      <c r="M417" s="186"/>
      <c r="N417" s="186"/>
      <c r="O417" s="234"/>
      <c r="P417" s="186"/>
      <c r="Q417" s="234"/>
      <c r="R417" s="234"/>
      <c r="S417" s="186"/>
      <c r="T417" s="186"/>
      <c r="U417" s="186"/>
      <c r="V417" s="186"/>
      <c r="W417" s="186"/>
      <c r="X417" s="186"/>
      <c r="Y417" s="186"/>
      <c r="Z417" s="186"/>
    </row>
    <row r="418" spans="1:26" ht="12.75" customHeight="1">
      <c r="A418" s="186"/>
      <c r="B418" s="189"/>
      <c r="C418" s="189"/>
      <c r="D418" s="230"/>
      <c r="E418" s="230"/>
      <c r="F418" s="231"/>
      <c r="G418" s="189"/>
      <c r="H418" s="230"/>
      <c r="I418" s="230"/>
      <c r="J418" s="232"/>
      <c r="K418" s="233"/>
      <c r="L418" s="186"/>
      <c r="M418" s="186"/>
      <c r="N418" s="186"/>
      <c r="O418" s="234"/>
      <c r="P418" s="186"/>
      <c r="Q418" s="234"/>
      <c r="R418" s="234"/>
      <c r="S418" s="186"/>
      <c r="T418" s="186"/>
      <c r="U418" s="186"/>
      <c r="V418" s="186"/>
      <c r="W418" s="186"/>
      <c r="X418" s="186"/>
      <c r="Y418" s="186"/>
      <c r="Z418" s="186"/>
    </row>
    <row r="419" spans="1:26" ht="12.75" customHeight="1">
      <c r="A419" s="186"/>
      <c r="B419" s="189"/>
      <c r="C419" s="189"/>
      <c r="D419" s="230"/>
      <c r="E419" s="230"/>
      <c r="F419" s="231"/>
      <c r="G419" s="189"/>
      <c r="H419" s="230"/>
      <c r="I419" s="230"/>
      <c r="J419" s="232"/>
      <c r="K419" s="233"/>
      <c r="L419" s="186"/>
      <c r="M419" s="186"/>
      <c r="N419" s="186"/>
      <c r="O419" s="234"/>
      <c r="P419" s="186"/>
      <c r="Q419" s="234"/>
      <c r="R419" s="234"/>
      <c r="S419" s="186"/>
      <c r="T419" s="186"/>
      <c r="U419" s="186"/>
      <c r="V419" s="186"/>
      <c r="W419" s="186"/>
      <c r="X419" s="186"/>
      <c r="Y419" s="186"/>
      <c r="Z419" s="186"/>
    </row>
    <row r="420" spans="1:26" ht="12.75" customHeight="1">
      <c r="A420" s="186"/>
      <c r="B420" s="189"/>
      <c r="C420" s="189"/>
      <c r="D420" s="230"/>
      <c r="E420" s="230"/>
      <c r="F420" s="231"/>
      <c r="G420" s="189"/>
      <c r="H420" s="230"/>
      <c r="I420" s="230"/>
      <c r="J420" s="232"/>
      <c r="K420" s="233"/>
      <c r="L420" s="186"/>
      <c r="M420" s="186"/>
      <c r="N420" s="186"/>
      <c r="O420" s="234"/>
      <c r="P420" s="186"/>
      <c r="Q420" s="234"/>
      <c r="R420" s="234"/>
      <c r="S420" s="186"/>
      <c r="T420" s="186"/>
      <c r="U420" s="186"/>
      <c r="V420" s="186"/>
      <c r="W420" s="186"/>
      <c r="X420" s="186"/>
      <c r="Y420" s="186"/>
      <c r="Z420" s="186"/>
    </row>
    <row r="421" spans="1:26" ht="12.75" customHeight="1">
      <c r="A421" s="186"/>
      <c r="B421" s="189"/>
      <c r="C421" s="189"/>
      <c r="D421" s="230"/>
      <c r="E421" s="230"/>
      <c r="F421" s="231"/>
      <c r="G421" s="189"/>
      <c r="H421" s="230"/>
      <c r="I421" s="230"/>
      <c r="J421" s="232"/>
      <c r="K421" s="233"/>
      <c r="L421" s="186"/>
      <c r="M421" s="186"/>
      <c r="N421" s="186"/>
      <c r="O421" s="234"/>
      <c r="P421" s="186"/>
      <c r="Q421" s="234"/>
      <c r="R421" s="234"/>
      <c r="S421" s="186"/>
      <c r="T421" s="186"/>
      <c r="U421" s="186"/>
      <c r="V421" s="186"/>
      <c r="W421" s="186"/>
      <c r="X421" s="186"/>
      <c r="Y421" s="186"/>
      <c r="Z421" s="186"/>
    </row>
    <row r="422" spans="1:26" ht="12.75" customHeight="1">
      <c r="A422" s="186"/>
      <c r="B422" s="189"/>
      <c r="C422" s="189"/>
      <c r="D422" s="230"/>
      <c r="E422" s="230"/>
      <c r="F422" s="231"/>
      <c r="G422" s="189"/>
      <c r="H422" s="230"/>
      <c r="I422" s="230"/>
      <c r="J422" s="232"/>
      <c r="K422" s="233"/>
      <c r="L422" s="186"/>
      <c r="M422" s="186"/>
      <c r="N422" s="186"/>
      <c r="O422" s="234"/>
      <c r="P422" s="186"/>
      <c r="Q422" s="234"/>
      <c r="R422" s="234"/>
      <c r="S422" s="186"/>
      <c r="T422" s="186"/>
      <c r="U422" s="186"/>
      <c r="V422" s="186"/>
      <c r="W422" s="186"/>
      <c r="X422" s="186"/>
      <c r="Y422" s="186"/>
      <c r="Z422" s="186"/>
    </row>
    <row r="423" spans="1:26" ht="12.75" customHeight="1">
      <c r="A423" s="186"/>
      <c r="B423" s="189"/>
      <c r="C423" s="189"/>
      <c r="D423" s="230"/>
      <c r="E423" s="230"/>
      <c r="F423" s="231"/>
      <c r="G423" s="189"/>
      <c r="H423" s="230"/>
      <c r="I423" s="230"/>
      <c r="J423" s="232"/>
      <c r="K423" s="233"/>
      <c r="L423" s="186"/>
      <c r="M423" s="186"/>
      <c r="N423" s="186"/>
      <c r="O423" s="234"/>
      <c r="P423" s="186"/>
      <c r="Q423" s="234"/>
      <c r="R423" s="234"/>
      <c r="S423" s="186"/>
      <c r="T423" s="186"/>
      <c r="U423" s="186"/>
      <c r="V423" s="186"/>
      <c r="W423" s="186"/>
      <c r="X423" s="186"/>
      <c r="Y423" s="186"/>
      <c r="Z423" s="186"/>
    </row>
    <row r="424" spans="1:26" ht="12.75" customHeight="1">
      <c r="A424" s="186"/>
      <c r="B424" s="189"/>
      <c r="C424" s="189"/>
      <c r="D424" s="230"/>
      <c r="E424" s="230"/>
      <c r="F424" s="231"/>
      <c r="G424" s="189"/>
      <c r="H424" s="230"/>
      <c r="I424" s="230"/>
      <c r="J424" s="232"/>
      <c r="K424" s="233"/>
      <c r="L424" s="186"/>
      <c r="M424" s="186"/>
      <c r="N424" s="186"/>
      <c r="O424" s="234"/>
      <c r="P424" s="186"/>
      <c r="Q424" s="234"/>
      <c r="R424" s="234"/>
      <c r="S424" s="186"/>
      <c r="T424" s="186"/>
      <c r="U424" s="186"/>
      <c r="V424" s="186"/>
      <c r="W424" s="186"/>
      <c r="X424" s="186"/>
      <c r="Y424" s="186"/>
      <c r="Z424" s="186"/>
    </row>
    <row r="425" spans="1:26" ht="12.75" customHeight="1">
      <c r="A425" s="186"/>
      <c r="B425" s="189"/>
      <c r="C425" s="189"/>
      <c r="D425" s="230"/>
      <c r="E425" s="230"/>
      <c r="F425" s="231"/>
      <c r="G425" s="189"/>
      <c r="H425" s="230"/>
      <c r="I425" s="230"/>
      <c r="J425" s="232"/>
      <c r="K425" s="233"/>
      <c r="L425" s="186"/>
      <c r="M425" s="186"/>
      <c r="N425" s="186"/>
      <c r="O425" s="234"/>
      <c r="P425" s="186"/>
      <c r="Q425" s="234"/>
      <c r="R425" s="234"/>
      <c r="S425" s="186"/>
      <c r="T425" s="186"/>
      <c r="U425" s="186"/>
      <c r="V425" s="186"/>
      <c r="W425" s="186"/>
      <c r="X425" s="186"/>
      <c r="Y425" s="186"/>
      <c r="Z425" s="186"/>
    </row>
    <row r="426" spans="1:26" ht="12.75" customHeight="1">
      <c r="A426" s="186"/>
      <c r="B426" s="189"/>
      <c r="C426" s="189"/>
      <c r="D426" s="230"/>
      <c r="E426" s="230"/>
      <c r="F426" s="231"/>
      <c r="G426" s="189"/>
      <c r="H426" s="230"/>
      <c r="I426" s="230"/>
      <c r="J426" s="232"/>
      <c r="K426" s="233"/>
      <c r="L426" s="186"/>
      <c r="M426" s="186"/>
      <c r="N426" s="186"/>
      <c r="O426" s="234"/>
      <c r="P426" s="186"/>
      <c r="Q426" s="234"/>
      <c r="R426" s="234"/>
      <c r="S426" s="186"/>
      <c r="T426" s="186"/>
      <c r="U426" s="186"/>
      <c r="V426" s="186"/>
      <c r="W426" s="186"/>
      <c r="X426" s="186"/>
      <c r="Y426" s="186"/>
      <c r="Z426" s="186"/>
    </row>
    <row r="427" spans="1:26" ht="12.75" customHeight="1">
      <c r="A427" s="186"/>
      <c r="B427" s="189"/>
      <c r="C427" s="189"/>
      <c r="D427" s="230"/>
      <c r="E427" s="230"/>
      <c r="F427" s="231"/>
      <c r="G427" s="189"/>
      <c r="H427" s="230"/>
      <c r="I427" s="230"/>
      <c r="J427" s="232"/>
      <c r="K427" s="233"/>
      <c r="L427" s="186"/>
      <c r="M427" s="186"/>
      <c r="N427" s="186"/>
      <c r="O427" s="234"/>
      <c r="P427" s="186"/>
      <c r="Q427" s="234"/>
      <c r="R427" s="234"/>
      <c r="S427" s="186"/>
      <c r="T427" s="186"/>
      <c r="U427" s="186"/>
      <c r="V427" s="186"/>
      <c r="W427" s="186"/>
      <c r="X427" s="186"/>
      <c r="Y427" s="186"/>
      <c r="Z427" s="186"/>
    </row>
    <row r="428" spans="1:26" ht="12.75" customHeight="1">
      <c r="A428" s="186"/>
      <c r="B428" s="189"/>
      <c r="C428" s="189"/>
      <c r="D428" s="230"/>
      <c r="E428" s="230"/>
      <c r="F428" s="231"/>
      <c r="G428" s="189"/>
      <c r="H428" s="230"/>
      <c r="I428" s="230"/>
      <c r="J428" s="232"/>
      <c r="K428" s="233"/>
      <c r="L428" s="186"/>
      <c r="M428" s="186"/>
      <c r="N428" s="186"/>
      <c r="O428" s="234"/>
      <c r="P428" s="186"/>
      <c r="Q428" s="234"/>
      <c r="R428" s="234"/>
      <c r="S428" s="186"/>
      <c r="T428" s="186"/>
      <c r="U428" s="186"/>
      <c r="V428" s="186"/>
      <c r="W428" s="186"/>
      <c r="X428" s="186"/>
      <c r="Y428" s="186"/>
      <c r="Z428" s="186"/>
    </row>
    <row r="429" spans="1:26" ht="12.75" customHeight="1">
      <c r="A429" s="186"/>
      <c r="B429" s="189"/>
      <c r="C429" s="189"/>
      <c r="D429" s="230"/>
      <c r="E429" s="230"/>
      <c r="F429" s="231"/>
      <c r="G429" s="189"/>
      <c r="H429" s="230"/>
      <c r="I429" s="230"/>
      <c r="J429" s="232"/>
      <c r="K429" s="233"/>
      <c r="L429" s="186"/>
      <c r="M429" s="186"/>
      <c r="N429" s="186"/>
      <c r="O429" s="234"/>
      <c r="P429" s="186"/>
      <c r="Q429" s="234"/>
      <c r="R429" s="234"/>
      <c r="S429" s="186"/>
      <c r="T429" s="186"/>
      <c r="U429" s="186"/>
      <c r="V429" s="186"/>
      <c r="W429" s="186"/>
      <c r="X429" s="186"/>
      <c r="Y429" s="186"/>
      <c r="Z429" s="186"/>
    </row>
    <row r="430" spans="1:26" ht="12.75" customHeight="1">
      <c r="A430" s="186"/>
      <c r="B430" s="189"/>
      <c r="C430" s="189"/>
      <c r="D430" s="230"/>
      <c r="E430" s="230"/>
      <c r="F430" s="231"/>
      <c r="G430" s="189"/>
      <c r="H430" s="230"/>
      <c r="I430" s="230"/>
      <c r="J430" s="232"/>
      <c r="K430" s="233"/>
      <c r="L430" s="186"/>
      <c r="M430" s="186"/>
      <c r="N430" s="186"/>
      <c r="O430" s="234"/>
      <c r="P430" s="186"/>
      <c r="Q430" s="234"/>
      <c r="R430" s="234"/>
      <c r="S430" s="186"/>
      <c r="T430" s="186"/>
      <c r="U430" s="186"/>
      <c r="V430" s="186"/>
      <c r="W430" s="186"/>
      <c r="X430" s="186"/>
      <c r="Y430" s="186"/>
      <c r="Z430" s="186"/>
    </row>
    <row r="431" spans="1:26" ht="12.75" customHeight="1">
      <c r="A431" s="186"/>
      <c r="B431" s="189"/>
      <c r="C431" s="189"/>
      <c r="D431" s="230"/>
      <c r="E431" s="230"/>
      <c r="F431" s="231"/>
      <c r="G431" s="189"/>
      <c r="H431" s="230"/>
      <c r="I431" s="230"/>
      <c r="J431" s="232"/>
      <c r="K431" s="233"/>
      <c r="L431" s="186"/>
      <c r="M431" s="186"/>
      <c r="N431" s="186"/>
      <c r="O431" s="234"/>
      <c r="P431" s="186"/>
      <c r="Q431" s="234"/>
      <c r="R431" s="234"/>
      <c r="S431" s="186"/>
      <c r="T431" s="186"/>
      <c r="U431" s="186"/>
      <c r="V431" s="186"/>
      <c r="W431" s="186"/>
      <c r="X431" s="186"/>
      <c r="Y431" s="186"/>
      <c r="Z431" s="186"/>
    </row>
    <row r="432" spans="1:26" ht="12.75" customHeight="1">
      <c r="A432" s="186"/>
      <c r="B432" s="189"/>
      <c r="C432" s="189"/>
      <c r="D432" s="230"/>
      <c r="E432" s="230"/>
      <c r="F432" s="231"/>
      <c r="G432" s="189"/>
      <c r="H432" s="230"/>
      <c r="I432" s="230"/>
      <c r="J432" s="232"/>
      <c r="K432" s="233"/>
      <c r="L432" s="186"/>
      <c r="M432" s="186"/>
      <c r="N432" s="186"/>
      <c r="O432" s="234"/>
      <c r="P432" s="186"/>
      <c r="Q432" s="234"/>
      <c r="R432" s="234"/>
      <c r="S432" s="186"/>
      <c r="T432" s="186"/>
      <c r="U432" s="186"/>
      <c r="V432" s="186"/>
      <c r="W432" s="186"/>
      <c r="X432" s="186"/>
      <c r="Y432" s="186"/>
      <c r="Z432" s="186"/>
    </row>
    <row r="433" spans="1:26" ht="12.75" customHeight="1">
      <c r="A433" s="186"/>
      <c r="B433" s="189"/>
      <c r="C433" s="189"/>
      <c r="D433" s="230"/>
      <c r="E433" s="230"/>
      <c r="F433" s="231"/>
      <c r="G433" s="189"/>
      <c r="H433" s="230"/>
      <c r="I433" s="230"/>
      <c r="J433" s="232"/>
      <c r="K433" s="233"/>
      <c r="L433" s="186"/>
      <c r="M433" s="186"/>
      <c r="N433" s="186"/>
      <c r="O433" s="234"/>
      <c r="P433" s="186"/>
      <c r="Q433" s="234"/>
      <c r="R433" s="234"/>
      <c r="S433" s="186"/>
      <c r="T433" s="186"/>
      <c r="U433" s="186"/>
      <c r="V433" s="186"/>
      <c r="W433" s="186"/>
      <c r="X433" s="186"/>
      <c r="Y433" s="186"/>
      <c r="Z433" s="186"/>
    </row>
    <row r="434" spans="1:26" ht="12.75" customHeight="1">
      <c r="A434" s="186"/>
      <c r="B434" s="189"/>
      <c r="C434" s="189"/>
      <c r="D434" s="230"/>
      <c r="E434" s="230"/>
      <c r="F434" s="231"/>
      <c r="G434" s="189"/>
      <c r="H434" s="230"/>
      <c r="I434" s="230"/>
      <c r="J434" s="232"/>
      <c r="K434" s="233"/>
      <c r="L434" s="186"/>
      <c r="M434" s="186"/>
      <c r="N434" s="186"/>
      <c r="O434" s="234"/>
      <c r="P434" s="186"/>
      <c r="Q434" s="234"/>
      <c r="R434" s="234"/>
      <c r="S434" s="186"/>
      <c r="T434" s="186"/>
      <c r="U434" s="186"/>
      <c r="V434" s="186"/>
      <c r="W434" s="186"/>
      <c r="X434" s="186"/>
      <c r="Y434" s="186"/>
      <c r="Z434" s="186"/>
    </row>
    <row r="435" spans="1:26" ht="12.75" customHeight="1">
      <c r="A435" s="186"/>
      <c r="B435" s="189"/>
      <c r="C435" s="189"/>
      <c r="D435" s="230"/>
      <c r="E435" s="230"/>
      <c r="F435" s="231"/>
      <c r="G435" s="189"/>
      <c r="H435" s="230"/>
      <c r="I435" s="230"/>
      <c r="J435" s="232"/>
      <c r="K435" s="233"/>
      <c r="L435" s="186"/>
      <c r="M435" s="186"/>
      <c r="N435" s="186"/>
      <c r="O435" s="234"/>
      <c r="P435" s="186"/>
      <c r="Q435" s="234"/>
      <c r="R435" s="234"/>
      <c r="S435" s="186"/>
      <c r="T435" s="186"/>
      <c r="U435" s="186"/>
      <c r="V435" s="186"/>
      <c r="W435" s="186"/>
      <c r="X435" s="186"/>
      <c r="Y435" s="186"/>
      <c r="Z435" s="186"/>
    </row>
    <row r="436" spans="1:26" ht="12.75" customHeight="1">
      <c r="A436" s="186"/>
      <c r="B436" s="189"/>
      <c r="C436" s="189"/>
      <c r="D436" s="230"/>
      <c r="E436" s="230"/>
      <c r="F436" s="231"/>
      <c r="G436" s="189"/>
      <c r="H436" s="230"/>
      <c r="I436" s="230"/>
      <c r="J436" s="232"/>
      <c r="K436" s="233"/>
      <c r="L436" s="186"/>
      <c r="M436" s="186"/>
      <c r="N436" s="186"/>
      <c r="O436" s="234"/>
      <c r="P436" s="186"/>
      <c r="Q436" s="234"/>
      <c r="R436" s="234"/>
      <c r="S436" s="186"/>
      <c r="T436" s="186"/>
      <c r="U436" s="186"/>
      <c r="V436" s="186"/>
      <c r="W436" s="186"/>
      <c r="X436" s="186"/>
      <c r="Y436" s="186"/>
      <c r="Z436" s="186"/>
    </row>
    <row r="437" spans="1:26" ht="12.75" customHeight="1">
      <c r="A437" s="186"/>
      <c r="B437" s="189"/>
      <c r="C437" s="189"/>
      <c r="D437" s="230"/>
      <c r="E437" s="230"/>
      <c r="F437" s="231"/>
      <c r="G437" s="189"/>
      <c r="H437" s="230"/>
      <c r="I437" s="230"/>
      <c r="J437" s="232"/>
      <c r="K437" s="233"/>
      <c r="L437" s="186"/>
      <c r="M437" s="186"/>
      <c r="N437" s="186"/>
      <c r="O437" s="234"/>
      <c r="P437" s="186"/>
      <c r="Q437" s="234"/>
      <c r="R437" s="234"/>
      <c r="S437" s="186"/>
      <c r="T437" s="186"/>
      <c r="U437" s="186"/>
      <c r="V437" s="186"/>
      <c r="W437" s="186"/>
      <c r="X437" s="186"/>
      <c r="Y437" s="186"/>
      <c r="Z437" s="186"/>
    </row>
    <row r="438" spans="1:26" ht="12.75" customHeight="1">
      <c r="A438" s="186"/>
      <c r="B438" s="189"/>
      <c r="C438" s="189"/>
      <c r="D438" s="230"/>
      <c r="E438" s="230"/>
      <c r="F438" s="231"/>
      <c r="G438" s="189"/>
      <c r="H438" s="230"/>
      <c r="I438" s="230"/>
      <c r="J438" s="232"/>
      <c r="K438" s="233"/>
      <c r="L438" s="186"/>
      <c r="M438" s="186"/>
      <c r="N438" s="186"/>
      <c r="O438" s="234"/>
      <c r="P438" s="186"/>
      <c r="Q438" s="234"/>
      <c r="R438" s="234"/>
      <c r="S438" s="186"/>
      <c r="T438" s="186"/>
      <c r="U438" s="186"/>
      <c r="V438" s="186"/>
      <c r="W438" s="186"/>
      <c r="X438" s="186"/>
      <c r="Y438" s="186"/>
      <c r="Z438" s="186"/>
    </row>
    <row r="439" spans="1:26" ht="12.75" customHeight="1">
      <c r="A439" s="186"/>
      <c r="B439" s="189"/>
      <c r="C439" s="189"/>
      <c r="D439" s="230"/>
      <c r="E439" s="230"/>
      <c r="F439" s="231"/>
      <c r="G439" s="189"/>
      <c r="H439" s="230"/>
      <c r="I439" s="230"/>
      <c r="J439" s="232"/>
      <c r="K439" s="233"/>
      <c r="L439" s="186"/>
      <c r="M439" s="186"/>
      <c r="N439" s="186"/>
      <c r="O439" s="234"/>
      <c r="P439" s="186"/>
      <c r="Q439" s="234"/>
      <c r="R439" s="234"/>
      <c r="S439" s="186"/>
      <c r="T439" s="186"/>
      <c r="U439" s="186"/>
      <c r="V439" s="186"/>
      <c r="W439" s="186"/>
      <c r="X439" s="186"/>
      <c r="Y439" s="186"/>
      <c r="Z439" s="186"/>
    </row>
    <row r="440" spans="1:26" ht="12.75" customHeight="1">
      <c r="A440" s="186"/>
      <c r="B440" s="189"/>
      <c r="C440" s="189"/>
      <c r="D440" s="230"/>
      <c r="E440" s="230"/>
      <c r="F440" s="231"/>
      <c r="G440" s="189"/>
      <c r="H440" s="230"/>
      <c r="I440" s="230"/>
      <c r="J440" s="232"/>
      <c r="K440" s="233"/>
      <c r="L440" s="186"/>
      <c r="M440" s="186"/>
      <c r="N440" s="186"/>
      <c r="O440" s="234"/>
      <c r="P440" s="186"/>
      <c r="Q440" s="234"/>
      <c r="R440" s="234"/>
      <c r="S440" s="186"/>
      <c r="T440" s="186"/>
      <c r="U440" s="186"/>
      <c r="V440" s="186"/>
      <c r="W440" s="186"/>
      <c r="X440" s="186"/>
      <c r="Y440" s="186"/>
      <c r="Z440" s="186"/>
    </row>
    <row r="441" spans="1:26" ht="12.75" customHeight="1">
      <c r="A441" s="186"/>
      <c r="B441" s="189"/>
      <c r="C441" s="189"/>
      <c r="D441" s="230"/>
      <c r="E441" s="230"/>
      <c r="F441" s="231"/>
      <c r="G441" s="189"/>
      <c r="H441" s="230"/>
      <c r="I441" s="230"/>
      <c r="J441" s="232"/>
      <c r="K441" s="233"/>
      <c r="L441" s="186"/>
      <c r="M441" s="186"/>
      <c r="N441" s="186"/>
      <c r="O441" s="234"/>
      <c r="P441" s="186"/>
      <c r="Q441" s="234"/>
      <c r="R441" s="234"/>
      <c r="S441" s="186"/>
      <c r="T441" s="186"/>
      <c r="U441" s="186"/>
      <c r="V441" s="186"/>
      <c r="W441" s="186"/>
      <c r="X441" s="186"/>
      <c r="Y441" s="186"/>
      <c r="Z441" s="186"/>
    </row>
    <row r="442" spans="1:26" ht="12.75" customHeight="1">
      <c r="A442" s="186"/>
      <c r="B442" s="189"/>
      <c r="C442" s="189"/>
      <c r="D442" s="230"/>
      <c r="E442" s="230"/>
      <c r="F442" s="231"/>
      <c r="G442" s="189"/>
      <c r="H442" s="230"/>
      <c r="I442" s="230"/>
      <c r="J442" s="232"/>
      <c r="K442" s="233"/>
      <c r="L442" s="186"/>
      <c r="M442" s="186"/>
      <c r="N442" s="186"/>
      <c r="O442" s="234"/>
      <c r="P442" s="186"/>
      <c r="Q442" s="234"/>
      <c r="R442" s="234"/>
      <c r="S442" s="186"/>
      <c r="T442" s="186"/>
      <c r="U442" s="186"/>
      <c r="V442" s="186"/>
      <c r="W442" s="186"/>
      <c r="X442" s="186"/>
      <c r="Y442" s="186"/>
      <c r="Z442" s="186"/>
    </row>
    <row r="443" spans="1:26" ht="12.75" customHeight="1">
      <c r="A443" s="186"/>
      <c r="B443" s="189"/>
      <c r="C443" s="189"/>
      <c r="D443" s="230"/>
      <c r="E443" s="230"/>
      <c r="F443" s="231"/>
      <c r="G443" s="189"/>
      <c r="H443" s="230"/>
      <c r="I443" s="230"/>
      <c r="J443" s="232"/>
      <c r="K443" s="233"/>
      <c r="L443" s="186"/>
      <c r="M443" s="186"/>
      <c r="N443" s="186"/>
      <c r="O443" s="234"/>
      <c r="P443" s="186"/>
      <c r="Q443" s="234"/>
      <c r="R443" s="234"/>
      <c r="S443" s="186"/>
      <c r="T443" s="186"/>
      <c r="U443" s="186"/>
      <c r="V443" s="186"/>
      <c r="W443" s="186"/>
      <c r="X443" s="186"/>
      <c r="Y443" s="186"/>
      <c r="Z443" s="186"/>
    </row>
    <row r="444" spans="1:26" ht="12.75" customHeight="1">
      <c r="A444" s="186"/>
      <c r="B444" s="189"/>
      <c r="C444" s="189"/>
      <c r="D444" s="230"/>
      <c r="E444" s="230"/>
      <c r="F444" s="231"/>
      <c r="G444" s="189"/>
      <c r="H444" s="230"/>
      <c r="I444" s="230"/>
      <c r="J444" s="232"/>
      <c r="K444" s="233"/>
      <c r="L444" s="186"/>
      <c r="M444" s="186"/>
      <c r="N444" s="186"/>
      <c r="O444" s="234"/>
      <c r="P444" s="186"/>
      <c r="Q444" s="234"/>
      <c r="R444" s="234"/>
      <c r="S444" s="186"/>
      <c r="T444" s="186"/>
      <c r="U444" s="186"/>
      <c r="V444" s="186"/>
      <c r="W444" s="186"/>
      <c r="X444" s="186"/>
      <c r="Y444" s="186"/>
      <c r="Z444" s="186"/>
    </row>
    <row r="445" spans="1:26" ht="12.75" customHeight="1">
      <c r="A445" s="186"/>
      <c r="B445" s="189"/>
      <c r="C445" s="189"/>
      <c r="D445" s="230"/>
      <c r="E445" s="230"/>
      <c r="F445" s="231"/>
      <c r="G445" s="189"/>
      <c r="H445" s="230"/>
      <c r="I445" s="230"/>
      <c r="J445" s="232"/>
      <c r="K445" s="233"/>
      <c r="L445" s="186"/>
      <c r="M445" s="186"/>
      <c r="N445" s="186"/>
      <c r="O445" s="234"/>
      <c r="P445" s="186"/>
      <c r="Q445" s="234"/>
      <c r="R445" s="234"/>
      <c r="S445" s="186"/>
      <c r="T445" s="186"/>
      <c r="U445" s="186"/>
      <c r="V445" s="186"/>
      <c r="W445" s="186"/>
      <c r="X445" s="186"/>
      <c r="Y445" s="186"/>
      <c r="Z445" s="186"/>
    </row>
    <row r="446" spans="1:26" ht="12.75" customHeight="1">
      <c r="A446" s="186"/>
      <c r="B446" s="189"/>
      <c r="C446" s="189"/>
      <c r="D446" s="230"/>
      <c r="E446" s="230"/>
      <c r="F446" s="231"/>
      <c r="G446" s="189"/>
      <c r="H446" s="230"/>
      <c r="I446" s="230"/>
      <c r="J446" s="232"/>
      <c r="K446" s="233"/>
      <c r="L446" s="186"/>
      <c r="M446" s="186"/>
      <c r="N446" s="186"/>
      <c r="O446" s="234"/>
      <c r="P446" s="186"/>
      <c r="Q446" s="234"/>
      <c r="R446" s="234"/>
      <c r="S446" s="186"/>
      <c r="T446" s="186"/>
      <c r="U446" s="186"/>
      <c r="V446" s="186"/>
      <c r="W446" s="186"/>
      <c r="X446" s="186"/>
      <c r="Y446" s="186"/>
      <c r="Z446" s="186"/>
    </row>
    <row r="447" spans="1:26" ht="12.75" customHeight="1">
      <c r="A447" s="186"/>
      <c r="B447" s="189"/>
      <c r="C447" s="189"/>
      <c r="D447" s="230"/>
      <c r="E447" s="230"/>
      <c r="F447" s="231"/>
      <c r="G447" s="189"/>
      <c r="H447" s="230"/>
      <c r="I447" s="230"/>
      <c r="J447" s="232"/>
      <c r="K447" s="233"/>
      <c r="L447" s="186"/>
      <c r="M447" s="186"/>
      <c r="N447" s="186"/>
      <c r="O447" s="234"/>
      <c r="P447" s="186"/>
      <c r="Q447" s="234"/>
      <c r="R447" s="234"/>
      <c r="S447" s="186"/>
      <c r="T447" s="186"/>
      <c r="U447" s="186"/>
      <c r="V447" s="186"/>
      <c r="W447" s="186"/>
      <c r="X447" s="186"/>
      <c r="Y447" s="186"/>
      <c r="Z447" s="186"/>
    </row>
    <row r="448" spans="1:26" ht="12.75" customHeight="1">
      <c r="A448" s="186"/>
      <c r="B448" s="189"/>
      <c r="C448" s="189"/>
      <c r="D448" s="230"/>
      <c r="E448" s="230"/>
      <c r="F448" s="231"/>
      <c r="G448" s="189"/>
      <c r="H448" s="230"/>
      <c r="I448" s="230"/>
      <c r="J448" s="232"/>
      <c r="K448" s="233"/>
      <c r="L448" s="186"/>
      <c r="M448" s="186"/>
      <c r="N448" s="186"/>
      <c r="O448" s="234"/>
      <c r="P448" s="186"/>
      <c r="Q448" s="234"/>
      <c r="R448" s="234"/>
      <c r="S448" s="186"/>
      <c r="T448" s="186"/>
      <c r="U448" s="186"/>
      <c r="V448" s="186"/>
      <c r="W448" s="186"/>
      <c r="X448" s="186"/>
      <c r="Y448" s="186"/>
      <c r="Z448" s="186"/>
    </row>
    <row r="449" spans="1:26" ht="12.75" customHeight="1">
      <c r="A449" s="186"/>
      <c r="B449" s="189"/>
      <c r="C449" s="189"/>
      <c r="D449" s="230"/>
      <c r="E449" s="230"/>
      <c r="F449" s="231"/>
      <c r="G449" s="189"/>
      <c r="H449" s="230"/>
      <c r="I449" s="230"/>
      <c r="J449" s="232"/>
      <c r="K449" s="233"/>
      <c r="L449" s="186"/>
      <c r="M449" s="186"/>
      <c r="N449" s="186"/>
      <c r="O449" s="234"/>
      <c r="P449" s="186"/>
      <c r="Q449" s="234"/>
      <c r="R449" s="234"/>
      <c r="S449" s="186"/>
      <c r="T449" s="186"/>
      <c r="U449" s="186"/>
      <c r="V449" s="186"/>
      <c r="W449" s="186"/>
      <c r="X449" s="186"/>
      <c r="Y449" s="186"/>
      <c r="Z449" s="186"/>
    </row>
    <row r="450" spans="1:26" ht="12.75" customHeight="1">
      <c r="A450" s="186"/>
      <c r="B450" s="189"/>
      <c r="C450" s="189"/>
      <c r="D450" s="230"/>
      <c r="E450" s="230"/>
      <c r="F450" s="231"/>
      <c r="G450" s="189"/>
      <c r="H450" s="230"/>
      <c r="I450" s="230"/>
      <c r="J450" s="232"/>
      <c r="K450" s="233"/>
      <c r="L450" s="186"/>
      <c r="M450" s="186"/>
      <c r="N450" s="186"/>
      <c r="O450" s="234"/>
      <c r="P450" s="186"/>
      <c r="Q450" s="234"/>
      <c r="R450" s="234"/>
      <c r="S450" s="186"/>
      <c r="T450" s="186"/>
      <c r="U450" s="186"/>
      <c r="V450" s="186"/>
      <c r="W450" s="186"/>
      <c r="X450" s="186"/>
      <c r="Y450" s="186"/>
      <c r="Z450" s="186"/>
    </row>
    <row r="451" spans="1:26" ht="12.75" customHeight="1">
      <c r="A451" s="186"/>
      <c r="B451" s="189"/>
      <c r="C451" s="189"/>
      <c r="D451" s="230"/>
      <c r="E451" s="230"/>
      <c r="F451" s="231"/>
      <c r="G451" s="189"/>
      <c r="H451" s="230"/>
      <c r="I451" s="230"/>
      <c r="J451" s="232"/>
      <c r="K451" s="233"/>
      <c r="L451" s="186"/>
      <c r="M451" s="186"/>
      <c r="N451" s="186"/>
      <c r="O451" s="234"/>
      <c r="P451" s="186"/>
      <c r="Q451" s="234"/>
      <c r="R451" s="234"/>
      <c r="S451" s="186"/>
      <c r="T451" s="186"/>
      <c r="U451" s="186"/>
      <c r="V451" s="186"/>
      <c r="W451" s="186"/>
      <c r="X451" s="186"/>
      <c r="Y451" s="186"/>
      <c r="Z451" s="186"/>
    </row>
    <row r="452" spans="1:26" ht="12.75" customHeight="1">
      <c r="A452" s="186"/>
      <c r="B452" s="189"/>
      <c r="C452" s="189"/>
      <c r="D452" s="230"/>
      <c r="E452" s="230"/>
      <c r="F452" s="231"/>
      <c r="G452" s="189"/>
      <c r="H452" s="230"/>
      <c r="I452" s="230"/>
      <c r="J452" s="232"/>
      <c r="K452" s="233"/>
      <c r="L452" s="186"/>
      <c r="M452" s="186"/>
      <c r="N452" s="186"/>
      <c r="O452" s="234"/>
      <c r="P452" s="186"/>
      <c r="Q452" s="234"/>
      <c r="R452" s="234"/>
      <c r="S452" s="186"/>
      <c r="T452" s="186"/>
      <c r="U452" s="186"/>
      <c r="V452" s="186"/>
      <c r="W452" s="186"/>
      <c r="X452" s="186"/>
      <c r="Y452" s="186"/>
      <c r="Z452" s="186"/>
    </row>
    <row r="453" spans="1:26" ht="12.75" customHeight="1">
      <c r="A453" s="186"/>
      <c r="B453" s="189"/>
      <c r="C453" s="189"/>
      <c r="D453" s="230"/>
      <c r="E453" s="230"/>
      <c r="F453" s="231"/>
      <c r="G453" s="189"/>
      <c r="H453" s="230"/>
      <c r="I453" s="230"/>
      <c r="J453" s="232"/>
      <c r="K453" s="233"/>
      <c r="L453" s="186"/>
      <c r="M453" s="186"/>
      <c r="N453" s="186"/>
      <c r="O453" s="234"/>
      <c r="P453" s="186"/>
      <c r="Q453" s="234"/>
      <c r="R453" s="234"/>
      <c r="S453" s="186"/>
      <c r="T453" s="186"/>
      <c r="U453" s="186"/>
      <c r="V453" s="186"/>
      <c r="W453" s="186"/>
      <c r="X453" s="186"/>
      <c r="Y453" s="186"/>
      <c r="Z453" s="186"/>
    </row>
    <row r="454" spans="1:26" ht="12.75" customHeight="1">
      <c r="A454" s="186"/>
      <c r="B454" s="189"/>
      <c r="C454" s="189"/>
      <c r="D454" s="230"/>
      <c r="E454" s="230"/>
      <c r="F454" s="231"/>
      <c r="G454" s="189"/>
      <c r="H454" s="230"/>
      <c r="I454" s="230"/>
      <c r="J454" s="232"/>
      <c r="K454" s="233"/>
      <c r="L454" s="186"/>
      <c r="M454" s="186"/>
      <c r="N454" s="186"/>
      <c r="O454" s="234"/>
      <c r="P454" s="186"/>
      <c r="Q454" s="234"/>
      <c r="R454" s="234"/>
      <c r="S454" s="186"/>
      <c r="T454" s="186"/>
      <c r="U454" s="186"/>
      <c r="V454" s="186"/>
      <c r="W454" s="186"/>
      <c r="X454" s="186"/>
      <c r="Y454" s="186"/>
      <c r="Z454" s="186"/>
    </row>
    <row r="455" spans="1:26" ht="12.75" customHeight="1">
      <c r="A455" s="186"/>
      <c r="B455" s="189"/>
      <c r="C455" s="189"/>
      <c r="D455" s="230"/>
      <c r="E455" s="230"/>
      <c r="F455" s="231"/>
      <c r="G455" s="189"/>
      <c r="H455" s="230"/>
      <c r="I455" s="230"/>
      <c r="J455" s="232"/>
      <c r="K455" s="233"/>
      <c r="L455" s="186"/>
      <c r="M455" s="186"/>
      <c r="N455" s="186"/>
      <c r="O455" s="234"/>
      <c r="P455" s="186"/>
      <c r="Q455" s="234"/>
      <c r="R455" s="234"/>
      <c r="S455" s="186"/>
      <c r="T455" s="186"/>
      <c r="U455" s="186"/>
      <c r="V455" s="186"/>
      <c r="W455" s="186"/>
      <c r="X455" s="186"/>
      <c r="Y455" s="186"/>
      <c r="Z455" s="186"/>
    </row>
    <row r="456" spans="1:26" ht="12.75" customHeight="1">
      <c r="A456" s="186"/>
      <c r="B456" s="189"/>
      <c r="C456" s="189"/>
      <c r="D456" s="230"/>
      <c r="E456" s="230"/>
      <c r="F456" s="231"/>
      <c r="G456" s="189"/>
      <c r="H456" s="230"/>
      <c r="I456" s="230"/>
      <c r="J456" s="232"/>
      <c r="K456" s="233"/>
      <c r="L456" s="186"/>
      <c r="M456" s="186"/>
      <c r="N456" s="186"/>
      <c r="O456" s="234"/>
      <c r="P456" s="186"/>
      <c r="Q456" s="234"/>
      <c r="R456" s="234"/>
      <c r="S456" s="186"/>
      <c r="T456" s="186"/>
      <c r="U456" s="186"/>
      <c r="V456" s="186"/>
      <c r="W456" s="186"/>
      <c r="X456" s="186"/>
      <c r="Y456" s="186"/>
      <c r="Z456" s="186"/>
    </row>
    <row r="457" spans="1:26" ht="12.75" customHeight="1">
      <c r="A457" s="186"/>
      <c r="B457" s="189"/>
      <c r="C457" s="189"/>
      <c r="D457" s="230"/>
      <c r="E457" s="230"/>
      <c r="F457" s="231"/>
      <c r="G457" s="189"/>
      <c r="H457" s="230"/>
      <c r="I457" s="230"/>
      <c r="J457" s="232"/>
      <c r="K457" s="233"/>
      <c r="L457" s="186"/>
      <c r="M457" s="186"/>
      <c r="N457" s="186"/>
      <c r="O457" s="234"/>
      <c r="P457" s="186"/>
      <c r="Q457" s="234"/>
      <c r="R457" s="234"/>
      <c r="S457" s="186"/>
      <c r="T457" s="186"/>
      <c r="U457" s="186"/>
      <c r="V457" s="186"/>
      <c r="W457" s="186"/>
      <c r="X457" s="186"/>
      <c r="Y457" s="186"/>
      <c r="Z457" s="186"/>
    </row>
    <row r="458" spans="1:26" ht="12.75" customHeight="1">
      <c r="A458" s="186"/>
      <c r="B458" s="189"/>
      <c r="C458" s="189"/>
      <c r="D458" s="230"/>
      <c r="E458" s="230"/>
      <c r="F458" s="231"/>
      <c r="G458" s="189"/>
      <c r="H458" s="230"/>
      <c r="I458" s="230"/>
      <c r="J458" s="232"/>
      <c r="K458" s="233"/>
      <c r="L458" s="186"/>
      <c r="M458" s="186"/>
      <c r="N458" s="186"/>
      <c r="O458" s="234"/>
      <c r="P458" s="186"/>
      <c r="Q458" s="234"/>
      <c r="R458" s="234"/>
      <c r="S458" s="186"/>
      <c r="T458" s="186"/>
      <c r="U458" s="186"/>
      <c r="V458" s="186"/>
      <c r="W458" s="186"/>
      <c r="X458" s="186"/>
      <c r="Y458" s="186"/>
      <c r="Z458" s="186"/>
    </row>
    <row r="459" spans="1:26" ht="12.75" customHeight="1">
      <c r="A459" s="186"/>
      <c r="B459" s="189"/>
      <c r="C459" s="189"/>
      <c r="D459" s="230"/>
      <c r="E459" s="230"/>
      <c r="F459" s="231"/>
      <c r="G459" s="189"/>
      <c r="H459" s="230"/>
      <c r="I459" s="230"/>
      <c r="J459" s="232"/>
      <c r="K459" s="233"/>
      <c r="L459" s="186"/>
      <c r="M459" s="186"/>
      <c r="N459" s="186"/>
      <c r="O459" s="234"/>
      <c r="P459" s="186"/>
      <c r="Q459" s="234"/>
      <c r="R459" s="234"/>
      <c r="S459" s="186"/>
      <c r="T459" s="186"/>
      <c r="U459" s="186"/>
      <c r="V459" s="186"/>
      <c r="W459" s="186"/>
      <c r="X459" s="186"/>
      <c r="Y459" s="186"/>
      <c r="Z459" s="186"/>
    </row>
    <row r="460" spans="1:26" ht="12.75" customHeight="1">
      <c r="A460" s="186"/>
      <c r="B460" s="189"/>
      <c r="C460" s="189"/>
      <c r="D460" s="230"/>
      <c r="E460" s="230"/>
      <c r="F460" s="231"/>
      <c r="G460" s="189"/>
      <c r="H460" s="230"/>
      <c r="I460" s="230"/>
      <c r="J460" s="232"/>
      <c r="K460" s="233"/>
      <c r="L460" s="186"/>
      <c r="M460" s="186"/>
      <c r="N460" s="186"/>
      <c r="O460" s="234"/>
      <c r="P460" s="186"/>
      <c r="Q460" s="234"/>
      <c r="R460" s="234"/>
      <c r="S460" s="186"/>
      <c r="T460" s="186"/>
      <c r="U460" s="186"/>
      <c r="V460" s="186"/>
      <c r="W460" s="186"/>
      <c r="X460" s="186"/>
      <c r="Y460" s="186"/>
      <c r="Z460" s="186"/>
    </row>
    <row r="461" spans="1:26" ht="12.75" customHeight="1">
      <c r="A461" s="186"/>
      <c r="B461" s="189"/>
      <c r="C461" s="189"/>
      <c r="D461" s="230"/>
      <c r="E461" s="230"/>
      <c r="F461" s="231"/>
      <c r="G461" s="189"/>
      <c r="H461" s="230"/>
      <c r="I461" s="230"/>
      <c r="J461" s="232"/>
      <c r="K461" s="233"/>
      <c r="L461" s="186"/>
      <c r="M461" s="186"/>
      <c r="N461" s="186"/>
      <c r="O461" s="234"/>
      <c r="P461" s="186"/>
      <c r="Q461" s="234"/>
      <c r="R461" s="234"/>
      <c r="S461" s="186"/>
      <c r="T461" s="186"/>
      <c r="U461" s="186"/>
      <c r="V461" s="186"/>
      <c r="W461" s="186"/>
      <c r="X461" s="186"/>
      <c r="Y461" s="186"/>
      <c r="Z461" s="186"/>
    </row>
    <row r="462" spans="1:26" ht="12.75" customHeight="1">
      <c r="A462" s="186"/>
      <c r="B462" s="189"/>
      <c r="C462" s="189"/>
      <c r="D462" s="230"/>
      <c r="E462" s="230"/>
      <c r="F462" s="231"/>
      <c r="G462" s="189"/>
      <c r="H462" s="230"/>
      <c r="I462" s="230"/>
      <c r="J462" s="232"/>
      <c r="K462" s="233"/>
      <c r="L462" s="186"/>
      <c r="M462" s="186"/>
      <c r="N462" s="186"/>
      <c r="O462" s="234"/>
      <c r="P462" s="186"/>
      <c r="Q462" s="234"/>
      <c r="R462" s="234"/>
      <c r="S462" s="186"/>
      <c r="T462" s="186"/>
      <c r="U462" s="186"/>
      <c r="V462" s="186"/>
      <c r="W462" s="186"/>
      <c r="X462" s="186"/>
      <c r="Y462" s="186"/>
      <c r="Z462" s="186"/>
    </row>
    <row r="463" spans="1:26" ht="12.75" customHeight="1">
      <c r="A463" s="186"/>
      <c r="B463" s="189"/>
      <c r="C463" s="189"/>
      <c r="D463" s="230"/>
      <c r="E463" s="230"/>
      <c r="F463" s="231"/>
      <c r="G463" s="189"/>
      <c r="H463" s="230"/>
      <c r="I463" s="230"/>
      <c r="J463" s="232"/>
      <c r="K463" s="233"/>
      <c r="L463" s="186"/>
      <c r="M463" s="186"/>
      <c r="N463" s="186"/>
      <c r="O463" s="234"/>
      <c r="P463" s="186"/>
      <c r="Q463" s="234"/>
      <c r="R463" s="234"/>
      <c r="S463" s="186"/>
      <c r="T463" s="186"/>
      <c r="U463" s="186"/>
      <c r="V463" s="186"/>
      <c r="W463" s="186"/>
      <c r="X463" s="186"/>
      <c r="Y463" s="186"/>
      <c r="Z463" s="186"/>
    </row>
    <row r="464" spans="1:26" ht="12.75" customHeight="1">
      <c r="A464" s="186"/>
      <c r="B464" s="189"/>
      <c r="C464" s="189"/>
      <c r="D464" s="230"/>
      <c r="E464" s="230"/>
      <c r="F464" s="231"/>
      <c r="G464" s="189"/>
      <c r="H464" s="230"/>
      <c r="I464" s="230"/>
      <c r="J464" s="232"/>
      <c r="K464" s="233"/>
      <c r="L464" s="186"/>
      <c r="M464" s="186"/>
      <c r="N464" s="186"/>
      <c r="O464" s="234"/>
      <c r="P464" s="186"/>
      <c r="Q464" s="234"/>
      <c r="R464" s="234"/>
      <c r="S464" s="186"/>
      <c r="T464" s="186"/>
      <c r="U464" s="186"/>
      <c r="V464" s="186"/>
      <c r="W464" s="186"/>
      <c r="X464" s="186"/>
      <c r="Y464" s="186"/>
      <c r="Z464" s="186"/>
    </row>
    <row r="465" spans="1:26" ht="12.75" customHeight="1">
      <c r="A465" s="186"/>
      <c r="B465" s="189"/>
      <c r="C465" s="189"/>
      <c r="D465" s="230"/>
      <c r="E465" s="230"/>
      <c r="F465" s="231"/>
      <c r="G465" s="189"/>
      <c r="H465" s="230"/>
      <c r="I465" s="230"/>
      <c r="J465" s="232"/>
      <c r="K465" s="233"/>
      <c r="L465" s="186"/>
      <c r="M465" s="186"/>
      <c r="N465" s="186"/>
      <c r="O465" s="234"/>
      <c r="P465" s="186"/>
      <c r="Q465" s="234"/>
      <c r="R465" s="234"/>
      <c r="S465" s="186"/>
      <c r="T465" s="186"/>
      <c r="U465" s="186"/>
      <c r="V465" s="186"/>
      <c r="W465" s="186"/>
      <c r="X465" s="186"/>
      <c r="Y465" s="186"/>
      <c r="Z465" s="186"/>
    </row>
    <row r="466" spans="1:26" ht="12.75" customHeight="1">
      <c r="A466" s="186"/>
      <c r="B466" s="189"/>
      <c r="C466" s="189"/>
      <c r="D466" s="230"/>
      <c r="E466" s="230"/>
      <c r="F466" s="231"/>
      <c r="G466" s="189"/>
      <c r="H466" s="230"/>
      <c r="I466" s="230"/>
      <c r="J466" s="232"/>
      <c r="K466" s="233"/>
      <c r="L466" s="186"/>
      <c r="M466" s="186"/>
      <c r="N466" s="186"/>
      <c r="O466" s="234"/>
      <c r="P466" s="186"/>
      <c r="Q466" s="234"/>
      <c r="R466" s="234"/>
      <c r="S466" s="186"/>
      <c r="T466" s="186"/>
      <c r="U466" s="186"/>
      <c r="V466" s="186"/>
      <c r="W466" s="186"/>
      <c r="X466" s="186"/>
      <c r="Y466" s="186"/>
      <c r="Z466" s="186"/>
    </row>
    <row r="467" spans="1:26" ht="12.75" customHeight="1">
      <c r="A467" s="186"/>
      <c r="B467" s="189"/>
      <c r="C467" s="189"/>
      <c r="D467" s="230"/>
      <c r="E467" s="230"/>
      <c r="F467" s="231"/>
      <c r="G467" s="189"/>
      <c r="H467" s="230"/>
      <c r="I467" s="230"/>
      <c r="J467" s="232"/>
      <c r="K467" s="233"/>
      <c r="L467" s="186"/>
      <c r="M467" s="186"/>
      <c r="N467" s="186"/>
      <c r="O467" s="234"/>
      <c r="P467" s="186"/>
      <c r="Q467" s="234"/>
      <c r="R467" s="234"/>
      <c r="S467" s="186"/>
      <c r="T467" s="186"/>
      <c r="U467" s="186"/>
      <c r="V467" s="186"/>
      <c r="W467" s="186"/>
      <c r="X467" s="186"/>
      <c r="Y467" s="186"/>
      <c r="Z467" s="186"/>
    </row>
    <row r="468" spans="1:26" ht="12.75" customHeight="1">
      <c r="A468" s="186"/>
      <c r="B468" s="189"/>
      <c r="C468" s="189"/>
      <c r="D468" s="230"/>
      <c r="E468" s="230"/>
      <c r="F468" s="231"/>
      <c r="G468" s="189"/>
      <c r="H468" s="230"/>
      <c r="I468" s="230"/>
      <c r="J468" s="232"/>
      <c r="K468" s="233"/>
      <c r="L468" s="186"/>
      <c r="M468" s="186"/>
      <c r="N468" s="186"/>
      <c r="O468" s="234"/>
      <c r="P468" s="186"/>
      <c r="Q468" s="234"/>
      <c r="R468" s="234"/>
      <c r="S468" s="186"/>
      <c r="T468" s="186"/>
      <c r="U468" s="186"/>
      <c r="V468" s="186"/>
      <c r="W468" s="186"/>
      <c r="X468" s="186"/>
      <c r="Y468" s="186"/>
      <c r="Z468" s="186"/>
    </row>
    <row r="469" spans="1:26" ht="12.75" customHeight="1">
      <c r="A469" s="186"/>
      <c r="B469" s="189"/>
      <c r="C469" s="189"/>
      <c r="D469" s="230"/>
      <c r="E469" s="230"/>
      <c r="F469" s="231"/>
      <c r="G469" s="189"/>
      <c r="H469" s="230"/>
      <c r="I469" s="230"/>
      <c r="J469" s="232"/>
      <c r="K469" s="233"/>
      <c r="L469" s="186"/>
      <c r="M469" s="186"/>
      <c r="N469" s="186"/>
      <c r="O469" s="234"/>
      <c r="P469" s="186"/>
      <c r="Q469" s="234"/>
      <c r="R469" s="234"/>
      <c r="S469" s="186"/>
      <c r="T469" s="186"/>
      <c r="U469" s="186"/>
      <c r="V469" s="186"/>
      <c r="W469" s="186"/>
      <c r="X469" s="186"/>
      <c r="Y469" s="186"/>
      <c r="Z469" s="186"/>
    </row>
    <row r="470" spans="1:26" ht="12.75" customHeight="1">
      <c r="A470" s="186"/>
      <c r="B470" s="189"/>
      <c r="C470" s="189"/>
      <c r="D470" s="230"/>
      <c r="E470" s="230"/>
      <c r="F470" s="231"/>
      <c r="G470" s="189"/>
      <c r="H470" s="230"/>
      <c r="I470" s="230"/>
      <c r="J470" s="232"/>
      <c r="K470" s="233"/>
      <c r="L470" s="186"/>
      <c r="M470" s="186"/>
      <c r="N470" s="186"/>
      <c r="O470" s="234"/>
      <c r="P470" s="186"/>
      <c r="Q470" s="234"/>
      <c r="R470" s="234"/>
      <c r="S470" s="186"/>
      <c r="T470" s="186"/>
      <c r="U470" s="186"/>
      <c r="V470" s="186"/>
      <c r="W470" s="186"/>
      <c r="X470" s="186"/>
      <c r="Y470" s="186"/>
      <c r="Z470" s="186"/>
    </row>
    <row r="471" spans="1:26" ht="12.75" customHeight="1">
      <c r="A471" s="186"/>
      <c r="B471" s="189"/>
      <c r="C471" s="189"/>
      <c r="D471" s="230"/>
      <c r="E471" s="230"/>
      <c r="F471" s="231"/>
      <c r="G471" s="189"/>
      <c r="H471" s="230"/>
      <c r="I471" s="230"/>
      <c r="J471" s="232"/>
      <c r="K471" s="233"/>
      <c r="L471" s="186"/>
      <c r="M471" s="186"/>
      <c r="N471" s="186"/>
      <c r="O471" s="234"/>
      <c r="P471" s="186"/>
      <c r="Q471" s="234"/>
      <c r="R471" s="234"/>
      <c r="S471" s="186"/>
      <c r="T471" s="186"/>
      <c r="U471" s="186"/>
      <c r="V471" s="186"/>
      <c r="W471" s="186"/>
      <c r="X471" s="186"/>
      <c r="Y471" s="186"/>
      <c r="Z471" s="186"/>
    </row>
    <row r="472" spans="1:26" ht="12.75" customHeight="1">
      <c r="A472" s="186"/>
      <c r="B472" s="189"/>
      <c r="C472" s="189"/>
      <c r="D472" s="230"/>
      <c r="E472" s="230"/>
      <c r="F472" s="231"/>
      <c r="G472" s="189"/>
      <c r="H472" s="230"/>
      <c r="I472" s="230"/>
      <c r="J472" s="232"/>
      <c r="K472" s="233"/>
      <c r="L472" s="186"/>
      <c r="M472" s="186"/>
      <c r="N472" s="186"/>
      <c r="O472" s="234"/>
      <c r="P472" s="186"/>
      <c r="Q472" s="234"/>
      <c r="R472" s="234"/>
      <c r="S472" s="186"/>
      <c r="T472" s="186"/>
      <c r="U472" s="186"/>
      <c r="V472" s="186"/>
      <c r="W472" s="186"/>
      <c r="X472" s="186"/>
      <c r="Y472" s="186"/>
      <c r="Z472" s="186"/>
    </row>
    <row r="473" spans="1:26" ht="12.75" customHeight="1">
      <c r="A473" s="186"/>
      <c r="B473" s="189"/>
      <c r="C473" s="189"/>
      <c r="D473" s="230"/>
      <c r="E473" s="230"/>
      <c r="F473" s="231"/>
      <c r="G473" s="189"/>
      <c r="H473" s="230"/>
      <c r="I473" s="230"/>
      <c r="J473" s="232"/>
      <c r="K473" s="233"/>
      <c r="L473" s="186"/>
      <c r="M473" s="186"/>
      <c r="N473" s="186"/>
      <c r="O473" s="234"/>
      <c r="P473" s="186"/>
      <c r="Q473" s="234"/>
      <c r="R473" s="234"/>
      <c r="S473" s="186"/>
      <c r="T473" s="186"/>
      <c r="U473" s="186"/>
      <c r="V473" s="186"/>
      <c r="W473" s="186"/>
      <c r="X473" s="186"/>
      <c r="Y473" s="186"/>
      <c r="Z473" s="186"/>
    </row>
    <row r="474" spans="1:26" ht="12.75" customHeight="1">
      <c r="A474" s="186"/>
      <c r="B474" s="189"/>
      <c r="C474" s="189"/>
      <c r="D474" s="230"/>
      <c r="E474" s="230"/>
      <c r="F474" s="231"/>
      <c r="G474" s="189"/>
      <c r="H474" s="230"/>
      <c r="I474" s="230"/>
      <c r="J474" s="232"/>
      <c r="K474" s="233"/>
      <c r="L474" s="186"/>
      <c r="M474" s="186"/>
      <c r="N474" s="186"/>
      <c r="O474" s="234"/>
      <c r="P474" s="186"/>
      <c r="Q474" s="234"/>
      <c r="R474" s="234"/>
      <c r="S474" s="186"/>
      <c r="T474" s="186"/>
      <c r="U474" s="186"/>
      <c r="V474" s="186"/>
      <c r="W474" s="186"/>
      <c r="X474" s="186"/>
      <c r="Y474" s="186"/>
      <c r="Z474" s="186"/>
    </row>
    <row r="475" spans="1:26" ht="12.75" customHeight="1">
      <c r="A475" s="186"/>
      <c r="B475" s="189"/>
      <c r="C475" s="189"/>
      <c r="D475" s="230"/>
      <c r="E475" s="230"/>
      <c r="F475" s="231"/>
      <c r="G475" s="189"/>
      <c r="H475" s="230"/>
      <c r="I475" s="230"/>
      <c r="J475" s="232"/>
      <c r="K475" s="233"/>
      <c r="L475" s="186"/>
      <c r="M475" s="186"/>
      <c r="N475" s="186"/>
      <c r="O475" s="234"/>
      <c r="P475" s="186"/>
      <c r="Q475" s="234"/>
      <c r="R475" s="234"/>
      <c r="S475" s="186"/>
      <c r="T475" s="186"/>
      <c r="U475" s="186"/>
      <c r="V475" s="186"/>
      <c r="W475" s="186"/>
      <c r="X475" s="186"/>
      <c r="Y475" s="186"/>
      <c r="Z475" s="186"/>
    </row>
    <row r="476" spans="1:26" ht="12.75" customHeight="1">
      <c r="A476" s="186"/>
      <c r="B476" s="189"/>
      <c r="C476" s="189"/>
      <c r="D476" s="230"/>
      <c r="E476" s="230"/>
      <c r="F476" s="231"/>
      <c r="G476" s="189"/>
      <c r="H476" s="230"/>
      <c r="I476" s="230"/>
      <c r="J476" s="232"/>
      <c r="K476" s="233"/>
      <c r="L476" s="186"/>
      <c r="M476" s="186"/>
      <c r="N476" s="186"/>
      <c r="O476" s="234"/>
      <c r="P476" s="186"/>
      <c r="Q476" s="234"/>
      <c r="R476" s="234"/>
      <c r="S476" s="186"/>
      <c r="T476" s="186"/>
      <c r="U476" s="186"/>
      <c r="V476" s="186"/>
      <c r="W476" s="186"/>
      <c r="X476" s="186"/>
      <c r="Y476" s="186"/>
      <c r="Z476" s="186"/>
    </row>
    <row r="477" spans="1:26" ht="12.75" customHeight="1">
      <c r="A477" s="186"/>
      <c r="B477" s="189"/>
      <c r="C477" s="189"/>
      <c r="D477" s="230"/>
      <c r="E477" s="230"/>
      <c r="F477" s="231"/>
      <c r="G477" s="189"/>
      <c r="H477" s="230"/>
      <c r="I477" s="230"/>
      <c r="J477" s="232"/>
      <c r="K477" s="233"/>
      <c r="L477" s="186"/>
      <c r="M477" s="186"/>
      <c r="N477" s="186"/>
      <c r="O477" s="234"/>
      <c r="P477" s="186"/>
      <c r="Q477" s="234"/>
      <c r="R477" s="234"/>
      <c r="S477" s="186"/>
      <c r="T477" s="186"/>
      <c r="U477" s="186"/>
      <c r="V477" s="186"/>
      <c r="W477" s="186"/>
      <c r="X477" s="186"/>
      <c r="Y477" s="186"/>
      <c r="Z477" s="186"/>
    </row>
    <row r="478" spans="1:26" ht="12.75" customHeight="1">
      <c r="A478" s="186"/>
      <c r="B478" s="189"/>
      <c r="C478" s="189"/>
      <c r="D478" s="230"/>
      <c r="E478" s="230"/>
      <c r="F478" s="231"/>
      <c r="G478" s="189"/>
      <c r="H478" s="230"/>
      <c r="I478" s="230"/>
      <c r="J478" s="232"/>
      <c r="K478" s="233"/>
      <c r="L478" s="186"/>
      <c r="M478" s="186"/>
      <c r="N478" s="186"/>
      <c r="O478" s="234"/>
      <c r="P478" s="186"/>
      <c r="Q478" s="234"/>
      <c r="R478" s="234"/>
      <c r="S478" s="186"/>
      <c r="T478" s="186"/>
      <c r="U478" s="186"/>
      <c r="V478" s="186"/>
      <c r="W478" s="186"/>
      <c r="X478" s="186"/>
      <c r="Y478" s="186"/>
      <c r="Z478" s="186"/>
    </row>
    <row r="479" spans="1:26" ht="12.75" customHeight="1">
      <c r="A479" s="186"/>
      <c r="B479" s="189"/>
      <c r="C479" s="189"/>
      <c r="D479" s="230"/>
      <c r="E479" s="230"/>
      <c r="F479" s="231"/>
      <c r="G479" s="189"/>
      <c r="H479" s="230"/>
      <c r="I479" s="230"/>
      <c r="J479" s="232"/>
      <c r="K479" s="233"/>
      <c r="L479" s="186"/>
      <c r="M479" s="186"/>
      <c r="N479" s="186"/>
      <c r="O479" s="234"/>
      <c r="P479" s="186"/>
      <c r="Q479" s="234"/>
      <c r="R479" s="234"/>
      <c r="S479" s="186"/>
      <c r="T479" s="186"/>
      <c r="U479" s="186"/>
      <c r="V479" s="186"/>
      <c r="W479" s="186"/>
      <c r="X479" s="186"/>
      <c r="Y479" s="186"/>
      <c r="Z479" s="186"/>
    </row>
    <row r="480" spans="1:26" ht="12.75" customHeight="1">
      <c r="A480" s="186"/>
      <c r="B480" s="189"/>
      <c r="C480" s="189"/>
      <c r="D480" s="230"/>
      <c r="E480" s="230"/>
      <c r="F480" s="231"/>
      <c r="G480" s="189"/>
      <c r="H480" s="230"/>
      <c r="I480" s="230"/>
      <c r="J480" s="232"/>
      <c r="K480" s="233"/>
      <c r="L480" s="186"/>
      <c r="M480" s="186"/>
      <c r="N480" s="186"/>
      <c r="O480" s="234"/>
      <c r="P480" s="186"/>
      <c r="Q480" s="234"/>
      <c r="R480" s="234"/>
      <c r="S480" s="186"/>
      <c r="T480" s="186"/>
      <c r="U480" s="186"/>
      <c r="V480" s="186"/>
      <c r="W480" s="186"/>
      <c r="X480" s="186"/>
      <c r="Y480" s="186"/>
      <c r="Z480" s="186"/>
    </row>
    <row r="481" spans="1:26" ht="12.75" customHeight="1">
      <c r="A481" s="186"/>
      <c r="B481" s="189"/>
      <c r="C481" s="189"/>
      <c r="D481" s="230"/>
      <c r="E481" s="230"/>
      <c r="F481" s="231"/>
      <c r="G481" s="189"/>
      <c r="H481" s="230"/>
      <c r="I481" s="230"/>
      <c r="J481" s="232"/>
      <c r="K481" s="233"/>
      <c r="L481" s="186"/>
      <c r="M481" s="186"/>
      <c r="N481" s="186"/>
      <c r="O481" s="234"/>
      <c r="P481" s="186"/>
      <c r="Q481" s="234"/>
      <c r="R481" s="234"/>
      <c r="S481" s="186"/>
      <c r="T481" s="186"/>
      <c r="U481" s="186"/>
      <c r="V481" s="186"/>
      <c r="W481" s="186"/>
      <c r="X481" s="186"/>
      <c r="Y481" s="186"/>
      <c r="Z481" s="186"/>
    </row>
    <row r="482" spans="1:26" ht="12.75" customHeight="1">
      <c r="A482" s="186"/>
      <c r="B482" s="189"/>
      <c r="C482" s="189"/>
      <c r="D482" s="230"/>
      <c r="E482" s="230"/>
      <c r="F482" s="231"/>
      <c r="G482" s="189"/>
      <c r="H482" s="230"/>
      <c r="I482" s="230"/>
      <c r="J482" s="232"/>
      <c r="K482" s="233"/>
      <c r="L482" s="186"/>
      <c r="M482" s="186"/>
      <c r="N482" s="186"/>
      <c r="O482" s="234"/>
      <c r="P482" s="186"/>
      <c r="Q482" s="234"/>
      <c r="R482" s="234"/>
      <c r="S482" s="186"/>
      <c r="T482" s="186"/>
      <c r="U482" s="186"/>
      <c r="V482" s="186"/>
      <c r="W482" s="186"/>
      <c r="X482" s="186"/>
      <c r="Y482" s="186"/>
      <c r="Z482" s="186"/>
    </row>
    <row r="483" spans="1:26" ht="12.75" customHeight="1">
      <c r="A483" s="186"/>
      <c r="B483" s="189"/>
      <c r="C483" s="189"/>
      <c r="D483" s="230"/>
      <c r="E483" s="230"/>
      <c r="F483" s="231"/>
      <c r="G483" s="189"/>
      <c r="H483" s="230"/>
      <c r="I483" s="230"/>
      <c r="J483" s="232"/>
      <c r="K483" s="233"/>
      <c r="L483" s="186"/>
      <c r="M483" s="186"/>
      <c r="N483" s="186"/>
      <c r="O483" s="234"/>
      <c r="P483" s="186"/>
      <c r="Q483" s="234"/>
      <c r="R483" s="234"/>
      <c r="S483" s="186"/>
      <c r="T483" s="186"/>
      <c r="U483" s="186"/>
      <c r="V483" s="186"/>
      <c r="W483" s="186"/>
      <c r="X483" s="186"/>
      <c r="Y483" s="186"/>
      <c r="Z483" s="186"/>
    </row>
    <row r="484" spans="1:26" ht="12.75" customHeight="1">
      <c r="A484" s="186"/>
      <c r="B484" s="189"/>
      <c r="C484" s="189"/>
      <c r="D484" s="230"/>
      <c r="E484" s="230"/>
      <c r="F484" s="231"/>
      <c r="G484" s="189"/>
      <c r="H484" s="230"/>
      <c r="I484" s="230"/>
      <c r="J484" s="232"/>
      <c r="K484" s="233"/>
      <c r="L484" s="186"/>
      <c r="M484" s="186"/>
      <c r="N484" s="186"/>
      <c r="O484" s="234"/>
      <c r="P484" s="186"/>
      <c r="Q484" s="234"/>
      <c r="R484" s="234"/>
      <c r="S484" s="186"/>
      <c r="T484" s="186"/>
      <c r="U484" s="186"/>
      <c r="V484" s="186"/>
      <c r="W484" s="186"/>
      <c r="X484" s="186"/>
      <c r="Y484" s="186"/>
      <c r="Z484" s="186"/>
    </row>
    <row r="485" spans="1:26" ht="12.75" customHeight="1">
      <c r="A485" s="186"/>
      <c r="B485" s="189"/>
      <c r="C485" s="189"/>
      <c r="D485" s="230"/>
      <c r="E485" s="230"/>
      <c r="F485" s="231"/>
      <c r="G485" s="189"/>
      <c r="H485" s="230"/>
      <c r="I485" s="230"/>
      <c r="J485" s="232"/>
      <c r="K485" s="233"/>
      <c r="L485" s="186"/>
      <c r="M485" s="186"/>
      <c r="N485" s="186"/>
      <c r="O485" s="234"/>
      <c r="P485" s="186"/>
      <c r="Q485" s="234"/>
      <c r="R485" s="234"/>
      <c r="S485" s="186"/>
      <c r="T485" s="186"/>
      <c r="U485" s="186"/>
      <c r="V485" s="186"/>
      <c r="W485" s="186"/>
      <c r="X485" s="186"/>
      <c r="Y485" s="186"/>
      <c r="Z485" s="186"/>
    </row>
    <row r="486" spans="1:26" ht="12.75" customHeight="1">
      <c r="A486" s="186"/>
      <c r="B486" s="189"/>
      <c r="C486" s="189"/>
      <c r="D486" s="230"/>
      <c r="E486" s="230"/>
      <c r="F486" s="231"/>
      <c r="G486" s="189"/>
      <c r="H486" s="230"/>
      <c r="I486" s="230"/>
      <c r="J486" s="232"/>
      <c r="K486" s="233"/>
      <c r="L486" s="186"/>
      <c r="M486" s="186"/>
      <c r="N486" s="186"/>
      <c r="O486" s="234"/>
      <c r="P486" s="186"/>
      <c r="Q486" s="234"/>
      <c r="R486" s="234"/>
      <c r="S486" s="186"/>
      <c r="T486" s="186"/>
      <c r="U486" s="186"/>
      <c r="V486" s="186"/>
      <c r="W486" s="186"/>
      <c r="X486" s="186"/>
      <c r="Y486" s="186"/>
      <c r="Z486" s="186"/>
    </row>
    <row r="487" spans="1:26" ht="12.75" customHeight="1">
      <c r="A487" s="186"/>
      <c r="B487" s="189"/>
      <c r="C487" s="189"/>
      <c r="D487" s="230"/>
      <c r="E487" s="230"/>
      <c r="F487" s="231"/>
      <c r="G487" s="189"/>
      <c r="H487" s="230"/>
      <c r="I487" s="230"/>
      <c r="J487" s="232"/>
      <c r="K487" s="233"/>
      <c r="L487" s="186"/>
      <c r="M487" s="186"/>
      <c r="N487" s="186"/>
      <c r="O487" s="234"/>
      <c r="P487" s="186"/>
      <c r="Q487" s="234"/>
      <c r="R487" s="234"/>
      <c r="S487" s="186"/>
      <c r="T487" s="186"/>
      <c r="U487" s="186"/>
      <c r="V487" s="186"/>
      <c r="W487" s="186"/>
      <c r="X487" s="186"/>
      <c r="Y487" s="186"/>
      <c r="Z487" s="186"/>
    </row>
    <row r="488" spans="1:26" ht="12.75" customHeight="1">
      <c r="A488" s="186"/>
      <c r="B488" s="189"/>
      <c r="C488" s="189"/>
      <c r="D488" s="230"/>
      <c r="E488" s="230"/>
      <c r="F488" s="231"/>
      <c r="G488" s="189"/>
      <c r="H488" s="230"/>
      <c r="I488" s="230"/>
      <c r="J488" s="232"/>
      <c r="K488" s="233"/>
      <c r="L488" s="186"/>
      <c r="M488" s="186"/>
      <c r="N488" s="186"/>
      <c r="O488" s="234"/>
      <c r="P488" s="186"/>
      <c r="Q488" s="234"/>
      <c r="R488" s="234"/>
      <c r="S488" s="186"/>
      <c r="T488" s="186"/>
      <c r="U488" s="186"/>
      <c r="V488" s="186"/>
      <c r="W488" s="186"/>
      <c r="X488" s="186"/>
      <c r="Y488" s="186"/>
      <c r="Z488" s="186"/>
    </row>
    <row r="489" spans="1:26" ht="12.75" customHeight="1">
      <c r="A489" s="186"/>
      <c r="B489" s="189"/>
      <c r="C489" s="189"/>
      <c r="D489" s="230"/>
      <c r="E489" s="230"/>
      <c r="F489" s="231"/>
      <c r="G489" s="189"/>
      <c r="H489" s="230"/>
      <c r="I489" s="230"/>
      <c r="J489" s="232"/>
      <c r="K489" s="233"/>
      <c r="L489" s="186"/>
      <c r="M489" s="186"/>
      <c r="N489" s="186"/>
      <c r="O489" s="234"/>
      <c r="P489" s="186"/>
      <c r="Q489" s="234"/>
      <c r="R489" s="234"/>
      <c r="S489" s="186"/>
      <c r="T489" s="186"/>
      <c r="U489" s="186"/>
      <c r="V489" s="186"/>
      <c r="W489" s="186"/>
      <c r="X489" s="186"/>
      <c r="Y489" s="186"/>
      <c r="Z489" s="186"/>
    </row>
    <row r="490" spans="1:26" ht="12.75" customHeight="1">
      <c r="A490" s="186"/>
      <c r="B490" s="189"/>
      <c r="C490" s="189"/>
      <c r="D490" s="230"/>
      <c r="E490" s="230"/>
      <c r="F490" s="231"/>
      <c r="G490" s="189"/>
      <c r="H490" s="230"/>
      <c r="I490" s="230"/>
      <c r="J490" s="232"/>
      <c r="K490" s="233"/>
      <c r="L490" s="186"/>
      <c r="M490" s="186"/>
      <c r="N490" s="186"/>
      <c r="O490" s="234"/>
      <c r="P490" s="186"/>
      <c r="Q490" s="234"/>
      <c r="R490" s="234"/>
      <c r="S490" s="186"/>
      <c r="T490" s="186"/>
      <c r="U490" s="186"/>
      <c r="V490" s="186"/>
      <c r="W490" s="186"/>
      <c r="X490" s="186"/>
      <c r="Y490" s="186"/>
      <c r="Z490" s="186"/>
    </row>
    <row r="491" spans="1:26" ht="12.75" customHeight="1">
      <c r="A491" s="186"/>
      <c r="B491" s="189"/>
      <c r="C491" s="189"/>
      <c r="D491" s="230"/>
      <c r="E491" s="230"/>
      <c r="F491" s="231"/>
      <c r="G491" s="189"/>
      <c r="H491" s="230"/>
      <c r="I491" s="230"/>
      <c r="J491" s="232"/>
      <c r="K491" s="233"/>
      <c r="L491" s="186"/>
      <c r="M491" s="186"/>
      <c r="N491" s="186"/>
      <c r="O491" s="234"/>
      <c r="P491" s="186"/>
      <c r="Q491" s="234"/>
      <c r="R491" s="234"/>
      <c r="S491" s="186"/>
      <c r="T491" s="186"/>
      <c r="U491" s="186"/>
      <c r="V491" s="186"/>
      <c r="W491" s="186"/>
      <c r="X491" s="186"/>
      <c r="Y491" s="186"/>
      <c r="Z491" s="186"/>
    </row>
    <row r="492" spans="1:26" ht="12.75" customHeight="1">
      <c r="A492" s="186"/>
      <c r="B492" s="189"/>
      <c r="C492" s="189"/>
      <c r="D492" s="230"/>
      <c r="E492" s="230"/>
      <c r="F492" s="231"/>
      <c r="G492" s="189"/>
      <c r="H492" s="230"/>
      <c r="I492" s="230"/>
      <c r="J492" s="232"/>
      <c r="K492" s="233"/>
      <c r="L492" s="186"/>
      <c r="M492" s="186"/>
      <c r="N492" s="186"/>
      <c r="O492" s="234"/>
      <c r="P492" s="186"/>
      <c r="Q492" s="234"/>
      <c r="R492" s="234"/>
      <c r="S492" s="186"/>
      <c r="T492" s="186"/>
      <c r="U492" s="186"/>
      <c r="V492" s="186"/>
      <c r="W492" s="186"/>
      <c r="X492" s="186"/>
      <c r="Y492" s="186"/>
      <c r="Z492" s="186"/>
    </row>
    <row r="493" spans="1:26" ht="12.75" customHeight="1">
      <c r="A493" s="186"/>
      <c r="B493" s="189"/>
      <c r="C493" s="189"/>
      <c r="D493" s="230"/>
      <c r="E493" s="230"/>
      <c r="F493" s="231"/>
      <c r="G493" s="189"/>
      <c r="H493" s="230"/>
      <c r="I493" s="230"/>
      <c r="J493" s="232"/>
      <c r="K493" s="233"/>
      <c r="L493" s="186"/>
      <c r="M493" s="186"/>
      <c r="N493" s="186"/>
      <c r="O493" s="234"/>
      <c r="P493" s="186"/>
      <c r="Q493" s="234"/>
      <c r="R493" s="234"/>
      <c r="S493" s="186"/>
      <c r="T493" s="186"/>
      <c r="U493" s="186"/>
      <c r="V493" s="186"/>
      <c r="W493" s="186"/>
      <c r="X493" s="186"/>
      <c r="Y493" s="186"/>
      <c r="Z493" s="186"/>
    </row>
    <row r="494" spans="1:26" ht="12.75" customHeight="1">
      <c r="A494" s="186"/>
      <c r="B494" s="189"/>
      <c r="C494" s="189"/>
      <c r="D494" s="230"/>
      <c r="E494" s="230"/>
      <c r="F494" s="231"/>
      <c r="G494" s="189"/>
      <c r="H494" s="230"/>
      <c r="I494" s="230"/>
      <c r="J494" s="232"/>
      <c r="K494" s="233"/>
      <c r="L494" s="186"/>
      <c r="M494" s="186"/>
      <c r="N494" s="186"/>
      <c r="O494" s="234"/>
      <c r="P494" s="186"/>
      <c r="Q494" s="234"/>
      <c r="R494" s="234"/>
      <c r="S494" s="186"/>
      <c r="T494" s="186"/>
      <c r="U494" s="186"/>
      <c r="V494" s="186"/>
      <c r="W494" s="186"/>
      <c r="X494" s="186"/>
      <c r="Y494" s="186"/>
      <c r="Z494" s="186"/>
    </row>
    <row r="495" spans="1:26" ht="12.75" customHeight="1">
      <c r="A495" s="186"/>
      <c r="B495" s="189"/>
      <c r="C495" s="189"/>
      <c r="D495" s="230"/>
      <c r="E495" s="230"/>
      <c r="F495" s="231"/>
      <c r="G495" s="189"/>
      <c r="H495" s="230"/>
      <c r="I495" s="230"/>
      <c r="J495" s="232"/>
      <c r="K495" s="233"/>
      <c r="L495" s="186"/>
      <c r="M495" s="186"/>
      <c r="N495" s="186"/>
      <c r="O495" s="234"/>
      <c r="P495" s="186"/>
      <c r="Q495" s="234"/>
      <c r="R495" s="234"/>
      <c r="S495" s="186"/>
      <c r="T495" s="186"/>
      <c r="U495" s="186"/>
      <c r="V495" s="186"/>
      <c r="W495" s="186"/>
      <c r="X495" s="186"/>
      <c r="Y495" s="186"/>
      <c r="Z495" s="186"/>
    </row>
    <row r="496" spans="1:26" ht="12.75" customHeight="1">
      <c r="A496" s="186"/>
      <c r="B496" s="189"/>
      <c r="C496" s="189"/>
      <c r="D496" s="230"/>
      <c r="E496" s="230"/>
      <c r="F496" s="231"/>
      <c r="G496" s="189"/>
      <c r="H496" s="230"/>
      <c r="I496" s="230"/>
      <c r="J496" s="232"/>
      <c r="K496" s="233"/>
      <c r="L496" s="186"/>
      <c r="M496" s="186"/>
      <c r="N496" s="186"/>
      <c r="O496" s="234"/>
      <c r="P496" s="186"/>
      <c r="Q496" s="234"/>
      <c r="R496" s="234"/>
      <c r="S496" s="186"/>
      <c r="T496" s="186"/>
      <c r="U496" s="186"/>
      <c r="V496" s="186"/>
      <c r="W496" s="186"/>
      <c r="X496" s="186"/>
      <c r="Y496" s="186"/>
      <c r="Z496" s="186"/>
    </row>
    <row r="497" spans="1:26" ht="12.75" customHeight="1">
      <c r="A497" s="186"/>
      <c r="B497" s="189"/>
      <c r="C497" s="189"/>
      <c r="D497" s="230"/>
      <c r="E497" s="230"/>
      <c r="F497" s="231"/>
      <c r="G497" s="189"/>
      <c r="H497" s="230"/>
      <c r="I497" s="230"/>
      <c r="J497" s="232"/>
      <c r="K497" s="233"/>
      <c r="L497" s="186"/>
      <c r="M497" s="186"/>
      <c r="N497" s="186"/>
      <c r="O497" s="234"/>
      <c r="P497" s="186"/>
      <c r="Q497" s="234"/>
      <c r="R497" s="234"/>
      <c r="S497" s="186"/>
      <c r="T497" s="186"/>
      <c r="U497" s="186"/>
      <c r="V497" s="186"/>
      <c r="W497" s="186"/>
      <c r="X497" s="186"/>
      <c r="Y497" s="186"/>
      <c r="Z497" s="186"/>
    </row>
    <row r="498" spans="1:26" ht="12.75" customHeight="1">
      <c r="A498" s="186"/>
      <c r="B498" s="189"/>
      <c r="C498" s="189"/>
      <c r="D498" s="230"/>
      <c r="E498" s="230"/>
      <c r="F498" s="231"/>
      <c r="G498" s="189"/>
      <c r="H498" s="230"/>
      <c r="I498" s="230"/>
      <c r="J498" s="232"/>
      <c r="K498" s="233"/>
      <c r="L498" s="186"/>
      <c r="M498" s="186"/>
      <c r="N498" s="186"/>
      <c r="O498" s="234"/>
      <c r="P498" s="186"/>
      <c r="Q498" s="234"/>
      <c r="R498" s="234"/>
      <c r="S498" s="186"/>
      <c r="T498" s="186"/>
      <c r="U498" s="186"/>
      <c r="V498" s="186"/>
      <c r="W498" s="186"/>
      <c r="X498" s="186"/>
      <c r="Y498" s="186"/>
      <c r="Z498" s="186"/>
    </row>
    <row r="499" spans="1:26" ht="12.75" customHeight="1">
      <c r="A499" s="186"/>
      <c r="B499" s="189"/>
      <c r="C499" s="189"/>
      <c r="D499" s="230"/>
      <c r="E499" s="230"/>
      <c r="F499" s="231"/>
      <c r="G499" s="189"/>
      <c r="H499" s="230"/>
      <c r="I499" s="230"/>
      <c r="J499" s="232"/>
      <c r="K499" s="233"/>
      <c r="L499" s="186"/>
      <c r="M499" s="186"/>
      <c r="N499" s="186"/>
      <c r="O499" s="234"/>
      <c r="P499" s="186"/>
      <c r="Q499" s="234"/>
      <c r="R499" s="234"/>
      <c r="S499" s="186"/>
      <c r="T499" s="186"/>
      <c r="U499" s="186"/>
      <c r="V499" s="186"/>
      <c r="W499" s="186"/>
      <c r="X499" s="186"/>
      <c r="Y499" s="186"/>
      <c r="Z499" s="186"/>
    </row>
    <row r="500" spans="1:26" ht="12.75" customHeight="1">
      <c r="A500" s="186"/>
      <c r="B500" s="189"/>
      <c r="C500" s="189"/>
      <c r="D500" s="230"/>
      <c r="E500" s="230"/>
      <c r="F500" s="231"/>
      <c r="G500" s="189"/>
      <c r="H500" s="230"/>
      <c r="I500" s="230"/>
      <c r="J500" s="232"/>
      <c r="K500" s="233"/>
      <c r="L500" s="186"/>
      <c r="M500" s="186"/>
      <c r="N500" s="186"/>
      <c r="O500" s="234"/>
      <c r="P500" s="186"/>
      <c r="Q500" s="234"/>
      <c r="R500" s="234"/>
      <c r="S500" s="186"/>
      <c r="T500" s="186"/>
      <c r="U500" s="186"/>
      <c r="V500" s="186"/>
      <c r="W500" s="186"/>
      <c r="X500" s="186"/>
      <c r="Y500" s="186"/>
      <c r="Z500" s="186"/>
    </row>
    <row r="501" spans="1:26" ht="12.75" customHeight="1">
      <c r="A501" s="186"/>
      <c r="B501" s="189"/>
      <c r="C501" s="189"/>
      <c r="D501" s="230"/>
      <c r="E501" s="230"/>
      <c r="F501" s="231"/>
      <c r="G501" s="189"/>
      <c r="H501" s="230"/>
      <c r="I501" s="230"/>
      <c r="J501" s="232"/>
      <c r="K501" s="233"/>
      <c r="L501" s="186"/>
      <c r="M501" s="186"/>
      <c r="N501" s="186"/>
      <c r="O501" s="234"/>
      <c r="P501" s="186"/>
      <c r="Q501" s="234"/>
      <c r="R501" s="234"/>
      <c r="S501" s="186"/>
      <c r="T501" s="186"/>
      <c r="U501" s="186"/>
      <c r="V501" s="186"/>
      <c r="W501" s="186"/>
      <c r="X501" s="186"/>
      <c r="Y501" s="186"/>
      <c r="Z501" s="186"/>
    </row>
    <row r="502" spans="1:26" ht="12.75" customHeight="1">
      <c r="A502" s="186"/>
      <c r="B502" s="189"/>
      <c r="C502" s="189"/>
      <c r="D502" s="230"/>
      <c r="E502" s="230"/>
      <c r="F502" s="231"/>
      <c r="G502" s="189"/>
      <c r="H502" s="230"/>
      <c r="I502" s="230"/>
      <c r="J502" s="232"/>
      <c r="K502" s="233"/>
      <c r="L502" s="186"/>
      <c r="M502" s="186"/>
      <c r="N502" s="186"/>
      <c r="O502" s="234"/>
      <c r="P502" s="186"/>
      <c r="Q502" s="234"/>
      <c r="R502" s="234"/>
      <c r="S502" s="186"/>
      <c r="T502" s="186"/>
      <c r="U502" s="186"/>
      <c r="V502" s="186"/>
      <c r="W502" s="186"/>
      <c r="X502" s="186"/>
      <c r="Y502" s="186"/>
      <c r="Z502" s="186"/>
    </row>
    <row r="503" spans="1:26" ht="12.75" customHeight="1">
      <c r="A503" s="186"/>
      <c r="B503" s="189"/>
      <c r="C503" s="189"/>
      <c r="D503" s="230"/>
      <c r="E503" s="230"/>
      <c r="F503" s="231"/>
      <c r="G503" s="189"/>
      <c r="H503" s="230"/>
      <c r="I503" s="230"/>
      <c r="J503" s="232"/>
      <c r="K503" s="233"/>
      <c r="L503" s="186"/>
      <c r="M503" s="186"/>
      <c r="N503" s="186"/>
      <c r="O503" s="234"/>
      <c r="P503" s="186"/>
      <c r="Q503" s="234"/>
      <c r="R503" s="234"/>
      <c r="S503" s="186"/>
      <c r="T503" s="186"/>
      <c r="U503" s="186"/>
      <c r="V503" s="186"/>
      <c r="W503" s="186"/>
      <c r="X503" s="186"/>
      <c r="Y503" s="186"/>
      <c r="Z503" s="186"/>
    </row>
    <row r="504" spans="1:26" ht="12.75" customHeight="1">
      <c r="A504" s="186"/>
      <c r="B504" s="189"/>
      <c r="C504" s="189"/>
      <c r="D504" s="230"/>
      <c r="E504" s="230"/>
      <c r="F504" s="231"/>
      <c r="G504" s="189"/>
      <c r="H504" s="230"/>
      <c r="I504" s="230"/>
      <c r="J504" s="232"/>
      <c r="K504" s="233"/>
      <c r="L504" s="186"/>
      <c r="M504" s="186"/>
      <c r="N504" s="186"/>
      <c r="O504" s="234"/>
      <c r="P504" s="186"/>
      <c r="Q504" s="234"/>
      <c r="R504" s="234"/>
      <c r="S504" s="186"/>
      <c r="T504" s="186"/>
      <c r="U504" s="186"/>
      <c r="V504" s="186"/>
      <c r="W504" s="186"/>
      <c r="X504" s="186"/>
      <c r="Y504" s="186"/>
      <c r="Z504" s="186"/>
    </row>
    <row r="505" spans="1:26" ht="12.75" customHeight="1">
      <c r="A505" s="186"/>
      <c r="B505" s="189"/>
      <c r="C505" s="189"/>
      <c r="D505" s="230"/>
      <c r="E505" s="230"/>
      <c r="F505" s="231"/>
      <c r="G505" s="189"/>
      <c r="H505" s="230"/>
      <c r="I505" s="230"/>
      <c r="J505" s="232"/>
      <c r="K505" s="233"/>
      <c r="L505" s="186"/>
      <c r="M505" s="186"/>
      <c r="N505" s="186"/>
      <c r="O505" s="234"/>
      <c r="P505" s="186"/>
      <c r="Q505" s="234"/>
      <c r="R505" s="234"/>
      <c r="S505" s="186"/>
      <c r="T505" s="186"/>
      <c r="U505" s="186"/>
      <c r="V505" s="186"/>
      <c r="W505" s="186"/>
      <c r="X505" s="186"/>
      <c r="Y505" s="186"/>
      <c r="Z505" s="186"/>
    </row>
    <row r="506" spans="1:26" ht="12.75" customHeight="1">
      <c r="A506" s="186"/>
      <c r="B506" s="189"/>
      <c r="C506" s="189"/>
      <c r="D506" s="230"/>
      <c r="E506" s="230"/>
      <c r="F506" s="231"/>
      <c r="G506" s="189"/>
      <c r="H506" s="230"/>
      <c r="I506" s="230"/>
      <c r="J506" s="232"/>
      <c r="K506" s="233"/>
      <c r="L506" s="186"/>
      <c r="M506" s="186"/>
      <c r="N506" s="186"/>
      <c r="O506" s="234"/>
      <c r="P506" s="186"/>
      <c r="Q506" s="234"/>
      <c r="R506" s="234"/>
      <c r="S506" s="186"/>
      <c r="T506" s="186"/>
      <c r="U506" s="186"/>
      <c r="V506" s="186"/>
      <c r="W506" s="186"/>
      <c r="X506" s="186"/>
      <c r="Y506" s="186"/>
      <c r="Z506" s="186"/>
    </row>
    <row r="507" spans="1:26" ht="12.75" customHeight="1">
      <c r="A507" s="186"/>
      <c r="B507" s="189"/>
      <c r="C507" s="189"/>
      <c r="D507" s="230"/>
      <c r="E507" s="230"/>
      <c r="F507" s="231"/>
      <c r="G507" s="189"/>
      <c r="H507" s="230"/>
      <c r="I507" s="230"/>
      <c r="J507" s="232"/>
      <c r="K507" s="233"/>
      <c r="L507" s="186"/>
      <c r="M507" s="186"/>
      <c r="N507" s="186"/>
      <c r="O507" s="234"/>
      <c r="P507" s="186"/>
      <c r="Q507" s="234"/>
      <c r="R507" s="234"/>
      <c r="S507" s="186"/>
      <c r="T507" s="186"/>
      <c r="U507" s="186"/>
      <c r="V507" s="186"/>
      <c r="W507" s="186"/>
      <c r="X507" s="186"/>
      <c r="Y507" s="186"/>
      <c r="Z507" s="186"/>
    </row>
    <row r="508" spans="1:26" ht="12.75" customHeight="1">
      <c r="A508" s="186"/>
      <c r="B508" s="189"/>
      <c r="C508" s="189"/>
      <c r="D508" s="230"/>
      <c r="E508" s="230"/>
      <c r="F508" s="231"/>
      <c r="G508" s="189"/>
      <c r="H508" s="230"/>
      <c r="I508" s="230"/>
      <c r="J508" s="232"/>
      <c r="K508" s="233"/>
      <c r="L508" s="186"/>
      <c r="M508" s="186"/>
      <c r="N508" s="186"/>
      <c r="O508" s="234"/>
      <c r="P508" s="186"/>
      <c r="Q508" s="234"/>
      <c r="R508" s="234"/>
      <c r="S508" s="186"/>
      <c r="T508" s="186"/>
      <c r="U508" s="186"/>
      <c r="V508" s="186"/>
      <c r="W508" s="186"/>
      <c r="X508" s="186"/>
      <c r="Y508" s="186"/>
      <c r="Z508" s="186"/>
    </row>
    <row r="509" spans="1:26" ht="12.75" customHeight="1">
      <c r="A509" s="186"/>
      <c r="B509" s="189"/>
      <c r="C509" s="189"/>
      <c r="D509" s="230"/>
      <c r="E509" s="230"/>
      <c r="F509" s="231"/>
      <c r="G509" s="189"/>
      <c r="H509" s="230"/>
      <c r="I509" s="230"/>
      <c r="J509" s="232"/>
      <c r="K509" s="233"/>
      <c r="L509" s="186"/>
      <c r="M509" s="186"/>
      <c r="N509" s="186"/>
      <c r="O509" s="234"/>
      <c r="P509" s="186"/>
      <c r="Q509" s="234"/>
      <c r="R509" s="234"/>
      <c r="S509" s="186"/>
      <c r="T509" s="186"/>
      <c r="U509" s="186"/>
      <c r="V509" s="186"/>
      <c r="W509" s="186"/>
      <c r="X509" s="186"/>
      <c r="Y509" s="186"/>
      <c r="Z509" s="186"/>
    </row>
    <row r="510" spans="1:26" ht="12.75" customHeight="1">
      <c r="A510" s="186"/>
      <c r="B510" s="189"/>
      <c r="C510" s="189"/>
      <c r="D510" s="230"/>
      <c r="E510" s="230"/>
      <c r="F510" s="231"/>
      <c r="G510" s="189"/>
      <c r="H510" s="230"/>
      <c r="I510" s="230"/>
      <c r="J510" s="232"/>
      <c r="K510" s="233"/>
      <c r="L510" s="186"/>
      <c r="M510" s="186"/>
      <c r="N510" s="186"/>
      <c r="O510" s="234"/>
      <c r="P510" s="186"/>
      <c r="Q510" s="234"/>
      <c r="R510" s="234"/>
      <c r="S510" s="186"/>
      <c r="T510" s="186"/>
      <c r="U510" s="186"/>
      <c r="V510" s="186"/>
      <c r="W510" s="186"/>
      <c r="X510" s="186"/>
      <c r="Y510" s="186"/>
      <c r="Z510" s="186"/>
    </row>
    <row r="511" spans="1:26" ht="12.75" customHeight="1">
      <c r="A511" s="186"/>
      <c r="B511" s="189"/>
      <c r="C511" s="189"/>
      <c r="D511" s="230"/>
      <c r="E511" s="230"/>
      <c r="F511" s="231"/>
      <c r="G511" s="189"/>
      <c r="H511" s="230"/>
      <c r="I511" s="230"/>
      <c r="J511" s="232"/>
      <c r="K511" s="233"/>
      <c r="L511" s="186"/>
      <c r="M511" s="186"/>
      <c r="N511" s="186"/>
      <c r="O511" s="234"/>
      <c r="P511" s="186"/>
      <c r="Q511" s="234"/>
      <c r="R511" s="234"/>
      <c r="S511" s="186"/>
      <c r="T511" s="186"/>
      <c r="U511" s="186"/>
      <c r="V511" s="186"/>
      <c r="W511" s="186"/>
      <c r="X511" s="186"/>
      <c r="Y511" s="186"/>
      <c r="Z511" s="186"/>
    </row>
    <row r="512" spans="1:26" ht="12.75" customHeight="1">
      <c r="A512" s="186"/>
      <c r="B512" s="189"/>
      <c r="C512" s="189"/>
      <c r="D512" s="230"/>
      <c r="E512" s="230"/>
      <c r="F512" s="231"/>
      <c r="G512" s="189"/>
      <c r="H512" s="230"/>
      <c r="I512" s="230"/>
      <c r="J512" s="232"/>
      <c r="K512" s="233"/>
      <c r="L512" s="186"/>
      <c r="M512" s="186"/>
      <c r="N512" s="186"/>
      <c r="O512" s="234"/>
      <c r="P512" s="186"/>
      <c r="Q512" s="234"/>
      <c r="R512" s="234"/>
      <c r="S512" s="186"/>
      <c r="T512" s="186"/>
      <c r="U512" s="186"/>
      <c r="V512" s="186"/>
      <c r="W512" s="186"/>
      <c r="X512" s="186"/>
      <c r="Y512" s="186"/>
      <c r="Z512" s="186"/>
    </row>
    <row r="513" spans="1:26" ht="12.75" customHeight="1">
      <c r="A513" s="186"/>
      <c r="B513" s="189"/>
      <c r="C513" s="189"/>
      <c r="D513" s="230"/>
      <c r="E513" s="230"/>
      <c r="F513" s="231"/>
      <c r="G513" s="189"/>
      <c r="H513" s="230"/>
      <c r="I513" s="230"/>
      <c r="J513" s="232"/>
      <c r="K513" s="233"/>
      <c r="L513" s="186"/>
      <c r="M513" s="186"/>
      <c r="N513" s="186"/>
      <c r="O513" s="234"/>
      <c r="P513" s="186"/>
      <c r="Q513" s="234"/>
      <c r="R513" s="234"/>
      <c r="S513" s="186"/>
      <c r="T513" s="186"/>
      <c r="U513" s="186"/>
      <c r="V513" s="186"/>
      <c r="W513" s="186"/>
      <c r="X513" s="186"/>
      <c r="Y513" s="186"/>
      <c r="Z513" s="186"/>
    </row>
    <row r="514" spans="1:26" ht="12.75" customHeight="1">
      <c r="A514" s="186"/>
      <c r="B514" s="189"/>
      <c r="C514" s="189"/>
      <c r="D514" s="230"/>
      <c r="E514" s="230"/>
      <c r="F514" s="231"/>
      <c r="G514" s="189"/>
      <c r="H514" s="230"/>
      <c r="I514" s="230"/>
      <c r="J514" s="232"/>
      <c r="K514" s="233"/>
      <c r="L514" s="186"/>
      <c r="M514" s="186"/>
      <c r="N514" s="186"/>
      <c r="O514" s="234"/>
      <c r="P514" s="186"/>
      <c r="Q514" s="234"/>
      <c r="R514" s="234"/>
      <c r="S514" s="186"/>
      <c r="T514" s="186"/>
      <c r="U514" s="186"/>
      <c r="V514" s="186"/>
      <c r="W514" s="186"/>
      <c r="X514" s="186"/>
      <c r="Y514" s="186"/>
      <c r="Z514" s="186"/>
    </row>
    <row r="515" spans="1:26" ht="12.75" customHeight="1">
      <c r="A515" s="186"/>
      <c r="B515" s="189"/>
      <c r="C515" s="189"/>
      <c r="D515" s="230"/>
      <c r="E515" s="230"/>
      <c r="F515" s="231"/>
      <c r="G515" s="189"/>
      <c r="H515" s="230"/>
      <c r="I515" s="230"/>
      <c r="J515" s="232"/>
      <c r="K515" s="233"/>
      <c r="L515" s="186"/>
      <c r="M515" s="186"/>
      <c r="N515" s="186"/>
      <c r="O515" s="234"/>
      <c r="P515" s="186"/>
      <c r="Q515" s="234"/>
      <c r="R515" s="234"/>
      <c r="S515" s="186"/>
      <c r="T515" s="186"/>
      <c r="U515" s="186"/>
      <c r="V515" s="186"/>
      <c r="W515" s="186"/>
      <c r="X515" s="186"/>
      <c r="Y515" s="186"/>
      <c r="Z515" s="186"/>
    </row>
    <row r="516" spans="1:26" ht="12.75" customHeight="1">
      <c r="A516" s="186"/>
      <c r="B516" s="189"/>
      <c r="C516" s="189"/>
      <c r="D516" s="230"/>
      <c r="E516" s="230"/>
      <c r="F516" s="231"/>
      <c r="G516" s="189"/>
      <c r="H516" s="230"/>
      <c r="I516" s="230"/>
      <c r="J516" s="232"/>
      <c r="K516" s="233"/>
      <c r="L516" s="186"/>
      <c r="M516" s="186"/>
      <c r="N516" s="186"/>
      <c r="O516" s="234"/>
      <c r="P516" s="186"/>
      <c r="Q516" s="234"/>
      <c r="R516" s="234"/>
      <c r="S516" s="186"/>
      <c r="T516" s="186"/>
      <c r="U516" s="186"/>
      <c r="V516" s="186"/>
      <c r="W516" s="186"/>
      <c r="X516" s="186"/>
      <c r="Y516" s="186"/>
      <c r="Z516" s="186"/>
    </row>
    <row r="517" spans="1:26" ht="12.75" customHeight="1">
      <c r="A517" s="186"/>
      <c r="B517" s="189"/>
      <c r="C517" s="189"/>
      <c r="D517" s="230"/>
      <c r="E517" s="230"/>
      <c r="F517" s="231"/>
      <c r="G517" s="189"/>
      <c r="H517" s="230"/>
      <c r="I517" s="230"/>
      <c r="J517" s="232"/>
      <c r="K517" s="233"/>
      <c r="L517" s="186"/>
      <c r="M517" s="186"/>
      <c r="N517" s="186"/>
      <c r="O517" s="234"/>
      <c r="P517" s="186"/>
      <c r="Q517" s="234"/>
      <c r="R517" s="234"/>
      <c r="S517" s="186"/>
      <c r="T517" s="186"/>
      <c r="U517" s="186"/>
      <c r="V517" s="186"/>
      <c r="W517" s="186"/>
      <c r="X517" s="186"/>
      <c r="Y517" s="186"/>
      <c r="Z517" s="186"/>
    </row>
    <row r="518" spans="1:26" ht="12.75" customHeight="1">
      <c r="A518" s="186"/>
      <c r="B518" s="189"/>
      <c r="C518" s="189"/>
      <c r="D518" s="230"/>
      <c r="E518" s="230"/>
      <c r="F518" s="231"/>
      <c r="G518" s="189"/>
      <c r="H518" s="230"/>
      <c r="I518" s="230"/>
      <c r="J518" s="232"/>
      <c r="K518" s="233"/>
      <c r="L518" s="186"/>
      <c r="M518" s="186"/>
      <c r="N518" s="186"/>
      <c r="O518" s="234"/>
      <c r="P518" s="186"/>
      <c r="Q518" s="234"/>
      <c r="R518" s="234"/>
      <c r="S518" s="186"/>
      <c r="T518" s="186"/>
      <c r="U518" s="186"/>
      <c r="V518" s="186"/>
      <c r="W518" s="186"/>
      <c r="X518" s="186"/>
      <c r="Y518" s="186"/>
      <c r="Z518" s="186"/>
    </row>
    <row r="519" spans="1:26" ht="12.75" customHeight="1">
      <c r="A519" s="186"/>
      <c r="B519" s="189"/>
      <c r="C519" s="189"/>
      <c r="D519" s="230"/>
      <c r="E519" s="230"/>
      <c r="F519" s="231"/>
      <c r="G519" s="189"/>
      <c r="H519" s="230"/>
      <c r="I519" s="230"/>
      <c r="J519" s="232"/>
      <c r="K519" s="233"/>
      <c r="L519" s="186"/>
      <c r="M519" s="186"/>
      <c r="N519" s="186"/>
      <c r="O519" s="234"/>
      <c r="P519" s="186"/>
      <c r="Q519" s="234"/>
      <c r="R519" s="234"/>
      <c r="S519" s="186"/>
      <c r="T519" s="186"/>
      <c r="U519" s="186"/>
      <c r="V519" s="186"/>
      <c r="W519" s="186"/>
      <c r="X519" s="186"/>
      <c r="Y519" s="186"/>
      <c r="Z519" s="186"/>
    </row>
    <row r="520" spans="1:26" ht="12.75" customHeight="1">
      <c r="A520" s="186"/>
      <c r="B520" s="189"/>
      <c r="C520" s="189"/>
      <c r="D520" s="230"/>
      <c r="E520" s="230"/>
      <c r="F520" s="231"/>
      <c r="G520" s="189"/>
      <c r="H520" s="230"/>
      <c r="I520" s="230"/>
      <c r="J520" s="232"/>
      <c r="K520" s="233"/>
      <c r="L520" s="186"/>
      <c r="M520" s="186"/>
      <c r="N520" s="186"/>
      <c r="O520" s="234"/>
      <c r="P520" s="186"/>
      <c r="Q520" s="234"/>
      <c r="R520" s="234"/>
      <c r="S520" s="186"/>
      <c r="T520" s="186"/>
      <c r="U520" s="186"/>
      <c r="V520" s="186"/>
      <c r="W520" s="186"/>
      <c r="X520" s="186"/>
      <c r="Y520" s="186"/>
      <c r="Z520" s="186"/>
    </row>
    <row r="521" spans="1:26" ht="12.75" customHeight="1">
      <c r="A521" s="186"/>
      <c r="B521" s="189"/>
      <c r="C521" s="189"/>
      <c r="D521" s="230"/>
      <c r="E521" s="230"/>
      <c r="F521" s="231"/>
      <c r="G521" s="189"/>
      <c r="H521" s="230"/>
      <c r="I521" s="230"/>
      <c r="J521" s="232"/>
      <c r="K521" s="233"/>
      <c r="L521" s="186"/>
      <c r="M521" s="186"/>
      <c r="N521" s="186"/>
      <c r="O521" s="234"/>
      <c r="P521" s="186"/>
      <c r="Q521" s="234"/>
      <c r="R521" s="234"/>
      <c r="S521" s="186"/>
      <c r="T521" s="186"/>
      <c r="U521" s="186"/>
      <c r="V521" s="186"/>
      <c r="W521" s="186"/>
      <c r="X521" s="186"/>
      <c r="Y521" s="186"/>
      <c r="Z521" s="186"/>
    </row>
    <row r="522" spans="1:26" ht="12.75" customHeight="1">
      <c r="A522" s="186"/>
      <c r="B522" s="189"/>
      <c r="C522" s="189"/>
      <c r="D522" s="230"/>
      <c r="E522" s="230"/>
      <c r="F522" s="231"/>
      <c r="G522" s="189"/>
      <c r="H522" s="230"/>
      <c r="I522" s="230"/>
      <c r="J522" s="232"/>
      <c r="K522" s="233"/>
      <c r="L522" s="186"/>
      <c r="M522" s="186"/>
      <c r="N522" s="186"/>
      <c r="O522" s="234"/>
      <c r="P522" s="186"/>
      <c r="Q522" s="234"/>
      <c r="R522" s="234"/>
      <c r="S522" s="186"/>
      <c r="T522" s="186"/>
      <c r="U522" s="186"/>
      <c r="V522" s="186"/>
      <c r="W522" s="186"/>
      <c r="X522" s="186"/>
      <c r="Y522" s="186"/>
      <c r="Z522" s="186"/>
    </row>
    <row r="523" spans="1:26" ht="12.75" customHeight="1">
      <c r="A523" s="186"/>
      <c r="B523" s="189"/>
      <c r="C523" s="189"/>
      <c r="D523" s="230"/>
      <c r="E523" s="230"/>
      <c r="F523" s="231"/>
      <c r="G523" s="189"/>
      <c r="H523" s="230"/>
      <c r="I523" s="230"/>
      <c r="J523" s="232"/>
      <c r="K523" s="233"/>
      <c r="L523" s="186"/>
      <c r="M523" s="186"/>
      <c r="N523" s="186"/>
      <c r="O523" s="234"/>
      <c r="P523" s="186"/>
      <c r="Q523" s="234"/>
      <c r="R523" s="234"/>
      <c r="S523" s="186"/>
      <c r="T523" s="186"/>
      <c r="U523" s="186"/>
      <c r="V523" s="186"/>
      <c r="W523" s="186"/>
      <c r="X523" s="186"/>
      <c r="Y523" s="186"/>
      <c r="Z523" s="186"/>
    </row>
    <row r="524" spans="1:26" ht="12.75" customHeight="1">
      <c r="A524" s="186"/>
      <c r="B524" s="189"/>
      <c r="C524" s="189"/>
      <c r="D524" s="230"/>
      <c r="E524" s="230"/>
      <c r="F524" s="231"/>
      <c r="G524" s="189"/>
      <c r="H524" s="230"/>
      <c r="I524" s="230"/>
      <c r="J524" s="232"/>
      <c r="K524" s="233"/>
      <c r="L524" s="186"/>
      <c r="M524" s="186"/>
      <c r="N524" s="186"/>
      <c r="O524" s="234"/>
      <c r="P524" s="186"/>
      <c r="Q524" s="234"/>
      <c r="R524" s="234"/>
      <c r="S524" s="186"/>
      <c r="T524" s="186"/>
      <c r="U524" s="186"/>
      <c r="V524" s="186"/>
      <c r="W524" s="186"/>
      <c r="X524" s="186"/>
      <c r="Y524" s="186"/>
      <c r="Z524" s="186"/>
    </row>
    <row r="525" spans="1:26" ht="12.75" customHeight="1">
      <c r="A525" s="186"/>
      <c r="B525" s="189"/>
      <c r="C525" s="189"/>
      <c r="D525" s="230"/>
      <c r="E525" s="230"/>
      <c r="F525" s="231"/>
      <c r="G525" s="189"/>
      <c r="H525" s="230"/>
      <c r="I525" s="230"/>
      <c r="J525" s="232"/>
      <c r="K525" s="233"/>
      <c r="L525" s="186"/>
      <c r="M525" s="186"/>
      <c r="N525" s="186"/>
      <c r="O525" s="234"/>
      <c r="P525" s="186"/>
      <c r="Q525" s="234"/>
      <c r="R525" s="234"/>
      <c r="S525" s="186"/>
      <c r="T525" s="186"/>
      <c r="U525" s="186"/>
      <c r="V525" s="186"/>
      <c r="W525" s="186"/>
      <c r="X525" s="186"/>
      <c r="Y525" s="186"/>
      <c r="Z525" s="186"/>
    </row>
    <row r="526" spans="1:26" ht="12.75" customHeight="1">
      <c r="A526" s="186"/>
      <c r="B526" s="189"/>
      <c r="C526" s="189"/>
      <c r="D526" s="230"/>
      <c r="E526" s="230"/>
      <c r="F526" s="231"/>
      <c r="G526" s="189"/>
      <c r="H526" s="230"/>
      <c r="I526" s="230"/>
      <c r="J526" s="232"/>
      <c r="K526" s="233"/>
      <c r="L526" s="186"/>
      <c r="M526" s="186"/>
      <c r="N526" s="186"/>
      <c r="O526" s="234"/>
      <c r="P526" s="186"/>
      <c r="Q526" s="234"/>
      <c r="R526" s="234"/>
      <c r="S526" s="186"/>
      <c r="T526" s="186"/>
      <c r="U526" s="186"/>
      <c r="V526" s="186"/>
      <c r="W526" s="186"/>
      <c r="X526" s="186"/>
      <c r="Y526" s="186"/>
      <c r="Z526" s="186"/>
    </row>
    <row r="527" spans="1:26" ht="12.75" customHeight="1">
      <c r="A527" s="186"/>
      <c r="B527" s="189"/>
      <c r="C527" s="189"/>
      <c r="D527" s="230"/>
      <c r="E527" s="230"/>
      <c r="F527" s="231"/>
      <c r="G527" s="189"/>
      <c r="H527" s="230"/>
      <c r="I527" s="230"/>
      <c r="J527" s="232"/>
      <c r="K527" s="233"/>
      <c r="L527" s="186"/>
      <c r="M527" s="186"/>
      <c r="N527" s="186"/>
      <c r="O527" s="234"/>
      <c r="P527" s="186"/>
      <c r="Q527" s="234"/>
      <c r="R527" s="234"/>
      <c r="S527" s="186"/>
      <c r="T527" s="186"/>
      <c r="U527" s="186"/>
      <c r="V527" s="186"/>
      <c r="W527" s="186"/>
      <c r="X527" s="186"/>
      <c r="Y527" s="186"/>
      <c r="Z527" s="186"/>
    </row>
    <row r="528" spans="1:26" ht="12.75" customHeight="1">
      <c r="A528" s="186"/>
      <c r="B528" s="189"/>
      <c r="C528" s="189"/>
      <c r="D528" s="230"/>
      <c r="E528" s="230"/>
      <c r="F528" s="231"/>
      <c r="G528" s="189"/>
      <c r="H528" s="230"/>
      <c r="I528" s="230"/>
      <c r="J528" s="232"/>
      <c r="K528" s="233"/>
      <c r="L528" s="186"/>
      <c r="M528" s="186"/>
      <c r="N528" s="186"/>
      <c r="O528" s="234"/>
      <c r="P528" s="186"/>
      <c r="Q528" s="234"/>
      <c r="R528" s="234"/>
      <c r="S528" s="186"/>
      <c r="T528" s="186"/>
      <c r="U528" s="186"/>
      <c r="V528" s="186"/>
      <c r="W528" s="186"/>
      <c r="X528" s="186"/>
      <c r="Y528" s="186"/>
      <c r="Z528" s="186"/>
    </row>
    <row r="529" spans="1:26" ht="12.75" customHeight="1">
      <c r="A529" s="186"/>
      <c r="B529" s="189"/>
      <c r="C529" s="189"/>
      <c r="D529" s="230"/>
      <c r="E529" s="230"/>
      <c r="F529" s="231"/>
      <c r="G529" s="189"/>
      <c r="H529" s="230"/>
      <c r="I529" s="230"/>
      <c r="J529" s="232"/>
      <c r="K529" s="233"/>
      <c r="L529" s="186"/>
      <c r="M529" s="186"/>
      <c r="N529" s="186"/>
      <c r="O529" s="234"/>
      <c r="P529" s="186"/>
      <c r="Q529" s="234"/>
      <c r="R529" s="234"/>
      <c r="S529" s="186"/>
      <c r="T529" s="186"/>
      <c r="U529" s="186"/>
      <c r="V529" s="186"/>
      <c r="W529" s="186"/>
      <c r="X529" s="186"/>
      <c r="Y529" s="186"/>
      <c r="Z529" s="186"/>
    </row>
    <row r="530" spans="1:26" ht="12.75" customHeight="1">
      <c r="A530" s="186"/>
      <c r="B530" s="189"/>
      <c r="C530" s="189"/>
      <c r="D530" s="230"/>
      <c r="E530" s="230"/>
      <c r="F530" s="231"/>
      <c r="G530" s="189"/>
      <c r="H530" s="230"/>
      <c r="I530" s="230"/>
      <c r="J530" s="232"/>
      <c r="K530" s="233"/>
      <c r="L530" s="186"/>
      <c r="M530" s="186"/>
      <c r="N530" s="186"/>
      <c r="O530" s="234"/>
      <c r="P530" s="186"/>
      <c r="Q530" s="234"/>
      <c r="R530" s="234"/>
      <c r="S530" s="186"/>
      <c r="T530" s="186"/>
      <c r="U530" s="186"/>
      <c r="V530" s="186"/>
      <c r="W530" s="186"/>
      <c r="X530" s="186"/>
      <c r="Y530" s="186"/>
      <c r="Z530" s="186"/>
    </row>
    <row r="531" spans="1:26" ht="12.75" customHeight="1">
      <c r="A531" s="186"/>
      <c r="B531" s="189"/>
      <c r="C531" s="189"/>
      <c r="D531" s="230"/>
      <c r="E531" s="230"/>
      <c r="F531" s="231"/>
      <c r="G531" s="189"/>
      <c r="H531" s="230"/>
      <c r="I531" s="230"/>
      <c r="J531" s="232"/>
      <c r="K531" s="233"/>
      <c r="L531" s="186"/>
      <c r="M531" s="186"/>
      <c r="N531" s="186"/>
      <c r="O531" s="234"/>
      <c r="P531" s="186"/>
      <c r="Q531" s="234"/>
      <c r="R531" s="234"/>
      <c r="S531" s="186"/>
      <c r="T531" s="186"/>
      <c r="U531" s="186"/>
      <c r="V531" s="186"/>
      <c r="W531" s="186"/>
      <c r="X531" s="186"/>
      <c r="Y531" s="186"/>
      <c r="Z531" s="186"/>
    </row>
    <row r="532" spans="1:26" ht="12.75" customHeight="1">
      <c r="A532" s="186"/>
      <c r="B532" s="189"/>
      <c r="C532" s="189"/>
      <c r="D532" s="230"/>
      <c r="E532" s="230"/>
      <c r="F532" s="231"/>
      <c r="G532" s="189"/>
      <c r="H532" s="230"/>
      <c r="I532" s="230"/>
      <c r="J532" s="232"/>
      <c r="K532" s="233"/>
      <c r="L532" s="186"/>
      <c r="M532" s="186"/>
      <c r="N532" s="186"/>
      <c r="O532" s="234"/>
      <c r="P532" s="186"/>
      <c r="Q532" s="234"/>
      <c r="R532" s="234"/>
      <c r="S532" s="186"/>
      <c r="T532" s="186"/>
      <c r="U532" s="186"/>
      <c r="V532" s="186"/>
      <c r="W532" s="186"/>
      <c r="X532" s="186"/>
      <c r="Y532" s="186"/>
      <c r="Z532" s="186"/>
    </row>
    <row r="533" spans="1:26" ht="12.75" customHeight="1">
      <c r="A533" s="186"/>
      <c r="B533" s="189"/>
      <c r="C533" s="189"/>
      <c r="D533" s="230"/>
      <c r="E533" s="230"/>
      <c r="F533" s="231"/>
      <c r="G533" s="189"/>
      <c r="H533" s="230"/>
      <c r="I533" s="230"/>
      <c r="J533" s="232"/>
      <c r="K533" s="233"/>
      <c r="L533" s="186"/>
      <c r="M533" s="186"/>
      <c r="N533" s="186"/>
      <c r="O533" s="234"/>
      <c r="P533" s="186"/>
      <c r="Q533" s="234"/>
      <c r="R533" s="234"/>
      <c r="S533" s="186"/>
      <c r="T533" s="186"/>
      <c r="U533" s="186"/>
      <c r="V533" s="186"/>
      <c r="W533" s="186"/>
      <c r="X533" s="186"/>
      <c r="Y533" s="186"/>
      <c r="Z533" s="186"/>
    </row>
    <row r="534" spans="1:26" ht="12.75" customHeight="1">
      <c r="A534" s="186"/>
      <c r="B534" s="189"/>
      <c r="C534" s="189"/>
      <c r="D534" s="230"/>
      <c r="E534" s="230"/>
      <c r="F534" s="231"/>
      <c r="G534" s="189"/>
      <c r="H534" s="230"/>
      <c r="I534" s="230"/>
      <c r="J534" s="232"/>
      <c r="K534" s="233"/>
      <c r="L534" s="186"/>
      <c r="M534" s="186"/>
      <c r="N534" s="186"/>
      <c r="O534" s="234"/>
      <c r="P534" s="186"/>
      <c r="Q534" s="234"/>
      <c r="R534" s="234"/>
      <c r="S534" s="186"/>
      <c r="T534" s="186"/>
      <c r="U534" s="186"/>
      <c r="V534" s="186"/>
      <c r="W534" s="186"/>
      <c r="X534" s="186"/>
      <c r="Y534" s="186"/>
      <c r="Z534" s="186"/>
    </row>
    <row r="535" spans="1:26" ht="12.75" customHeight="1">
      <c r="A535" s="186"/>
      <c r="B535" s="189"/>
      <c r="C535" s="189"/>
      <c r="D535" s="230"/>
      <c r="E535" s="230"/>
      <c r="F535" s="231"/>
      <c r="G535" s="189"/>
      <c r="H535" s="230"/>
      <c r="I535" s="230"/>
      <c r="J535" s="232"/>
      <c r="K535" s="233"/>
      <c r="L535" s="186"/>
      <c r="M535" s="186"/>
      <c r="N535" s="186"/>
      <c r="O535" s="234"/>
      <c r="P535" s="186"/>
      <c r="Q535" s="234"/>
      <c r="R535" s="234"/>
      <c r="S535" s="186"/>
      <c r="T535" s="186"/>
      <c r="U535" s="186"/>
      <c r="V535" s="186"/>
      <c r="W535" s="186"/>
      <c r="X535" s="186"/>
      <c r="Y535" s="186"/>
      <c r="Z535" s="186"/>
    </row>
    <row r="536" spans="1:26" ht="12.75" customHeight="1">
      <c r="A536" s="186"/>
      <c r="B536" s="189"/>
      <c r="C536" s="189"/>
      <c r="D536" s="230"/>
      <c r="E536" s="230"/>
      <c r="F536" s="231"/>
      <c r="G536" s="189"/>
      <c r="H536" s="230"/>
      <c r="I536" s="230"/>
      <c r="J536" s="232"/>
      <c r="K536" s="233"/>
      <c r="L536" s="186"/>
      <c r="M536" s="186"/>
      <c r="N536" s="186"/>
      <c r="O536" s="234"/>
      <c r="P536" s="186"/>
      <c r="Q536" s="234"/>
      <c r="R536" s="234"/>
      <c r="S536" s="186"/>
      <c r="T536" s="186"/>
      <c r="U536" s="186"/>
      <c r="V536" s="186"/>
      <c r="W536" s="186"/>
      <c r="X536" s="186"/>
      <c r="Y536" s="186"/>
      <c r="Z536" s="186"/>
    </row>
    <row r="537" spans="1:26" ht="12.75" customHeight="1">
      <c r="A537" s="186"/>
      <c r="B537" s="189"/>
      <c r="C537" s="189"/>
      <c r="D537" s="230"/>
      <c r="E537" s="230"/>
      <c r="F537" s="231"/>
      <c r="G537" s="189"/>
      <c r="H537" s="230"/>
      <c r="I537" s="230"/>
      <c r="J537" s="232"/>
      <c r="K537" s="233"/>
      <c r="L537" s="186"/>
      <c r="M537" s="186"/>
      <c r="N537" s="186"/>
      <c r="O537" s="234"/>
      <c r="P537" s="186"/>
      <c r="Q537" s="234"/>
      <c r="R537" s="234"/>
      <c r="S537" s="186"/>
      <c r="T537" s="186"/>
      <c r="U537" s="186"/>
      <c r="V537" s="186"/>
      <c r="W537" s="186"/>
      <c r="X537" s="186"/>
      <c r="Y537" s="186"/>
      <c r="Z537" s="186"/>
    </row>
    <row r="538" spans="1:26" ht="12.75" customHeight="1">
      <c r="A538" s="186"/>
      <c r="B538" s="189"/>
      <c r="C538" s="189"/>
      <c r="D538" s="230"/>
      <c r="E538" s="230"/>
      <c r="F538" s="231"/>
      <c r="G538" s="189"/>
      <c r="H538" s="230"/>
      <c r="I538" s="230"/>
      <c r="J538" s="232"/>
      <c r="K538" s="233"/>
      <c r="L538" s="186"/>
      <c r="M538" s="186"/>
      <c r="N538" s="186"/>
      <c r="O538" s="234"/>
      <c r="P538" s="186"/>
      <c r="Q538" s="234"/>
      <c r="R538" s="234"/>
      <c r="S538" s="186"/>
      <c r="T538" s="186"/>
      <c r="U538" s="186"/>
      <c r="V538" s="186"/>
      <c r="W538" s="186"/>
      <c r="X538" s="186"/>
      <c r="Y538" s="186"/>
      <c r="Z538" s="186"/>
    </row>
    <row r="539" spans="1:26" ht="12.75" customHeight="1">
      <c r="A539" s="186"/>
      <c r="B539" s="189"/>
      <c r="C539" s="189"/>
      <c r="D539" s="230"/>
      <c r="E539" s="230"/>
      <c r="F539" s="231"/>
      <c r="G539" s="189"/>
      <c r="H539" s="230"/>
      <c r="I539" s="230"/>
      <c r="J539" s="232"/>
      <c r="K539" s="233"/>
      <c r="L539" s="186"/>
      <c r="M539" s="186"/>
      <c r="N539" s="186"/>
      <c r="O539" s="234"/>
      <c r="P539" s="186"/>
      <c r="Q539" s="234"/>
      <c r="R539" s="234"/>
      <c r="S539" s="186"/>
      <c r="T539" s="186"/>
      <c r="U539" s="186"/>
      <c r="V539" s="186"/>
      <c r="W539" s="186"/>
      <c r="X539" s="186"/>
      <c r="Y539" s="186"/>
      <c r="Z539" s="186"/>
    </row>
    <row r="540" spans="1:26" ht="12.75" customHeight="1">
      <c r="A540" s="186"/>
      <c r="B540" s="189"/>
      <c r="C540" s="189"/>
      <c r="D540" s="230"/>
      <c r="E540" s="230"/>
      <c r="F540" s="231"/>
      <c r="G540" s="189"/>
      <c r="H540" s="230"/>
      <c r="I540" s="230"/>
      <c r="J540" s="232"/>
      <c r="K540" s="233"/>
      <c r="L540" s="186"/>
      <c r="M540" s="186"/>
      <c r="N540" s="186"/>
      <c r="O540" s="234"/>
      <c r="P540" s="186"/>
      <c r="Q540" s="234"/>
      <c r="R540" s="234"/>
      <c r="S540" s="186"/>
      <c r="T540" s="186"/>
      <c r="U540" s="186"/>
      <c r="V540" s="186"/>
      <c r="W540" s="186"/>
      <c r="X540" s="186"/>
      <c r="Y540" s="186"/>
      <c r="Z540" s="186"/>
    </row>
    <row r="541" spans="1:26" ht="12.75" customHeight="1">
      <c r="A541" s="186"/>
      <c r="B541" s="189"/>
      <c r="C541" s="189"/>
      <c r="D541" s="230"/>
      <c r="E541" s="230"/>
      <c r="F541" s="231"/>
      <c r="G541" s="189"/>
      <c r="H541" s="230"/>
      <c r="I541" s="230"/>
      <c r="J541" s="232"/>
      <c r="K541" s="233"/>
      <c r="L541" s="186"/>
      <c r="M541" s="186"/>
      <c r="N541" s="186"/>
      <c r="O541" s="234"/>
      <c r="P541" s="186"/>
      <c r="Q541" s="234"/>
      <c r="R541" s="234"/>
      <c r="S541" s="186"/>
      <c r="T541" s="186"/>
      <c r="U541" s="186"/>
      <c r="V541" s="186"/>
      <c r="W541" s="186"/>
      <c r="X541" s="186"/>
      <c r="Y541" s="186"/>
      <c r="Z541" s="186"/>
    </row>
    <row r="542" spans="1:26" ht="12.75" customHeight="1">
      <c r="A542" s="186"/>
      <c r="B542" s="189"/>
      <c r="C542" s="189"/>
      <c r="D542" s="230"/>
      <c r="E542" s="230"/>
      <c r="F542" s="231"/>
      <c r="G542" s="189"/>
      <c r="H542" s="230"/>
      <c r="I542" s="230"/>
      <c r="J542" s="232"/>
      <c r="K542" s="233"/>
      <c r="L542" s="186"/>
      <c r="M542" s="186"/>
      <c r="N542" s="186"/>
      <c r="O542" s="234"/>
      <c r="P542" s="186"/>
      <c r="Q542" s="234"/>
      <c r="R542" s="234"/>
      <c r="S542" s="186"/>
      <c r="T542" s="186"/>
      <c r="U542" s="186"/>
      <c r="V542" s="186"/>
      <c r="W542" s="186"/>
      <c r="X542" s="186"/>
      <c r="Y542" s="186"/>
      <c r="Z542" s="186"/>
    </row>
    <row r="543" spans="1:26" ht="12.75" customHeight="1">
      <c r="A543" s="186"/>
      <c r="B543" s="189"/>
      <c r="C543" s="189"/>
      <c r="D543" s="230"/>
      <c r="E543" s="230"/>
      <c r="F543" s="231"/>
      <c r="G543" s="189"/>
      <c r="H543" s="230"/>
      <c r="I543" s="230"/>
      <c r="J543" s="232"/>
      <c r="K543" s="233"/>
      <c r="L543" s="186"/>
      <c r="M543" s="186"/>
      <c r="N543" s="186"/>
      <c r="O543" s="234"/>
      <c r="P543" s="186"/>
      <c r="Q543" s="234"/>
      <c r="R543" s="234"/>
      <c r="S543" s="186"/>
      <c r="T543" s="186"/>
      <c r="U543" s="186"/>
      <c r="V543" s="186"/>
      <c r="W543" s="186"/>
      <c r="X543" s="186"/>
      <c r="Y543" s="186"/>
      <c r="Z543" s="186"/>
    </row>
    <row r="544" spans="1:26" ht="12.75" customHeight="1">
      <c r="A544" s="186"/>
      <c r="B544" s="189"/>
      <c r="C544" s="189"/>
      <c r="D544" s="230"/>
      <c r="E544" s="230"/>
      <c r="F544" s="231"/>
      <c r="G544" s="189"/>
      <c r="H544" s="230"/>
      <c r="I544" s="230"/>
      <c r="J544" s="232"/>
      <c r="K544" s="233"/>
      <c r="L544" s="186"/>
      <c r="M544" s="186"/>
      <c r="N544" s="186"/>
      <c r="O544" s="234"/>
      <c r="P544" s="186"/>
      <c r="Q544" s="234"/>
      <c r="R544" s="234"/>
      <c r="S544" s="186"/>
      <c r="T544" s="186"/>
      <c r="U544" s="186"/>
      <c r="V544" s="186"/>
      <c r="W544" s="186"/>
      <c r="X544" s="186"/>
      <c r="Y544" s="186"/>
      <c r="Z544" s="186"/>
    </row>
    <row r="545" spans="1:26" ht="12.75" customHeight="1">
      <c r="A545" s="186"/>
      <c r="B545" s="189"/>
      <c r="C545" s="189"/>
      <c r="D545" s="230"/>
      <c r="E545" s="230"/>
      <c r="F545" s="231"/>
      <c r="G545" s="189"/>
      <c r="H545" s="230"/>
      <c r="I545" s="230"/>
      <c r="J545" s="232"/>
      <c r="K545" s="233"/>
      <c r="L545" s="186"/>
      <c r="M545" s="186"/>
      <c r="N545" s="186"/>
      <c r="O545" s="234"/>
      <c r="P545" s="186"/>
      <c r="Q545" s="234"/>
      <c r="R545" s="234"/>
      <c r="S545" s="186"/>
      <c r="T545" s="186"/>
      <c r="U545" s="186"/>
      <c r="V545" s="186"/>
      <c r="W545" s="186"/>
      <c r="X545" s="186"/>
      <c r="Y545" s="186"/>
      <c r="Z545" s="186"/>
    </row>
    <row r="546" spans="1:26" ht="12.75" customHeight="1">
      <c r="A546" s="186"/>
      <c r="B546" s="189"/>
      <c r="C546" s="189"/>
      <c r="D546" s="230"/>
      <c r="E546" s="230"/>
      <c r="F546" s="231"/>
      <c r="G546" s="189"/>
      <c r="H546" s="230"/>
      <c r="I546" s="230"/>
      <c r="J546" s="232"/>
      <c r="K546" s="233"/>
      <c r="L546" s="186"/>
      <c r="M546" s="186"/>
      <c r="N546" s="186"/>
      <c r="O546" s="234"/>
      <c r="P546" s="186"/>
      <c r="Q546" s="234"/>
      <c r="R546" s="234"/>
      <c r="S546" s="186"/>
      <c r="T546" s="186"/>
      <c r="U546" s="186"/>
      <c r="V546" s="186"/>
      <c r="W546" s="186"/>
      <c r="X546" s="186"/>
      <c r="Y546" s="186"/>
      <c r="Z546" s="186"/>
    </row>
    <row r="547" spans="1:26" ht="12.75" customHeight="1">
      <c r="A547" s="186"/>
      <c r="B547" s="189"/>
      <c r="C547" s="189"/>
      <c r="D547" s="230"/>
      <c r="E547" s="230"/>
      <c r="F547" s="231"/>
      <c r="G547" s="189"/>
      <c r="H547" s="230"/>
      <c r="I547" s="230"/>
      <c r="J547" s="232"/>
      <c r="K547" s="233"/>
      <c r="L547" s="186"/>
      <c r="M547" s="186"/>
      <c r="N547" s="186"/>
      <c r="O547" s="234"/>
      <c r="P547" s="186"/>
      <c r="Q547" s="234"/>
      <c r="R547" s="234"/>
      <c r="S547" s="186"/>
      <c r="T547" s="186"/>
      <c r="U547" s="186"/>
      <c r="V547" s="186"/>
      <c r="W547" s="186"/>
      <c r="X547" s="186"/>
      <c r="Y547" s="186"/>
      <c r="Z547" s="186"/>
    </row>
    <row r="548" spans="1:26" ht="12.75" customHeight="1">
      <c r="A548" s="186"/>
      <c r="B548" s="189"/>
      <c r="C548" s="189"/>
      <c r="D548" s="230"/>
      <c r="E548" s="230"/>
      <c r="F548" s="231"/>
      <c r="G548" s="189"/>
      <c r="H548" s="230"/>
      <c r="I548" s="230"/>
      <c r="J548" s="232"/>
      <c r="K548" s="233"/>
      <c r="L548" s="186"/>
      <c r="M548" s="186"/>
      <c r="N548" s="186"/>
      <c r="O548" s="234"/>
      <c r="P548" s="186"/>
      <c r="Q548" s="234"/>
      <c r="R548" s="234"/>
      <c r="S548" s="186"/>
      <c r="T548" s="186"/>
      <c r="U548" s="186"/>
      <c r="V548" s="186"/>
      <c r="W548" s="186"/>
      <c r="X548" s="186"/>
      <c r="Y548" s="186"/>
      <c r="Z548" s="186"/>
    </row>
    <row r="549" spans="1:26" ht="12.75" customHeight="1">
      <c r="A549" s="186"/>
      <c r="B549" s="189"/>
      <c r="C549" s="189"/>
      <c r="D549" s="230"/>
      <c r="E549" s="230"/>
      <c r="F549" s="231"/>
      <c r="G549" s="189"/>
      <c r="H549" s="230"/>
      <c r="I549" s="230"/>
      <c r="J549" s="232"/>
      <c r="K549" s="233"/>
      <c r="L549" s="186"/>
      <c r="M549" s="186"/>
      <c r="N549" s="186"/>
      <c r="O549" s="234"/>
      <c r="P549" s="186"/>
      <c r="Q549" s="234"/>
      <c r="R549" s="234"/>
      <c r="S549" s="186"/>
      <c r="T549" s="186"/>
      <c r="U549" s="186"/>
      <c r="V549" s="186"/>
      <c r="W549" s="186"/>
      <c r="X549" s="186"/>
      <c r="Y549" s="186"/>
      <c r="Z549" s="186"/>
    </row>
    <row r="550" spans="1:26" ht="12.75" customHeight="1">
      <c r="A550" s="186"/>
      <c r="B550" s="189"/>
      <c r="C550" s="189"/>
      <c r="D550" s="230"/>
      <c r="E550" s="230"/>
      <c r="F550" s="231"/>
      <c r="G550" s="189"/>
      <c r="H550" s="230"/>
      <c r="I550" s="230"/>
      <c r="J550" s="232"/>
      <c r="K550" s="233"/>
      <c r="L550" s="186"/>
      <c r="M550" s="186"/>
      <c r="N550" s="186"/>
      <c r="O550" s="234"/>
      <c r="P550" s="186"/>
      <c r="Q550" s="234"/>
      <c r="R550" s="234"/>
      <c r="S550" s="186"/>
      <c r="T550" s="186"/>
      <c r="U550" s="186"/>
      <c r="V550" s="186"/>
      <c r="W550" s="186"/>
      <c r="X550" s="186"/>
      <c r="Y550" s="186"/>
      <c r="Z550" s="186"/>
    </row>
    <row r="551" spans="1:26" ht="12.75" customHeight="1">
      <c r="A551" s="186"/>
      <c r="B551" s="189"/>
      <c r="C551" s="189"/>
      <c r="D551" s="230"/>
      <c r="E551" s="230"/>
      <c r="F551" s="231"/>
      <c r="G551" s="189"/>
      <c r="H551" s="230"/>
      <c r="I551" s="230"/>
      <c r="J551" s="232"/>
      <c r="K551" s="233"/>
      <c r="L551" s="186"/>
      <c r="M551" s="186"/>
      <c r="N551" s="186"/>
      <c r="O551" s="234"/>
      <c r="P551" s="186"/>
      <c r="Q551" s="234"/>
      <c r="R551" s="234"/>
      <c r="S551" s="186"/>
      <c r="T551" s="186"/>
      <c r="U551" s="186"/>
      <c r="V551" s="186"/>
      <c r="W551" s="186"/>
      <c r="X551" s="186"/>
      <c r="Y551" s="186"/>
      <c r="Z551" s="186"/>
    </row>
    <row r="552" spans="1:26" ht="12.75" customHeight="1">
      <c r="A552" s="186"/>
      <c r="B552" s="189"/>
      <c r="C552" s="189"/>
      <c r="D552" s="230"/>
      <c r="E552" s="230"/>
      <c r="F552" s="231"/>
      <c r="G552" s="189"/>
      <c r="H552" s="230"/>
      <c r="I552" s="230"/>
      <c r="J552" s="232"/>
      <c r="K552" s="233"/>
      <c r="L552" s="186"/>
      <c r="M552" s="186"/>
      <c r="N552" s="186"/>
      <c r="O552" s="234"/>
      <c r="P552" s="186"/>
      <c r="Q552" s="234"/>
      <c r="R552" s="234"/>
      <c r="S552" s="186"/>
      <c r="T552" s="186"/>
      <c r="U552" s="186"/>
      <c r="V552" s="186"/>
      <c r="W552" s="186"/>
      <c r="X552" s="186"/>
      <c r="Y552" s="186"/>
      <c r="Z552" s="186"/>
    </row>
    <row r="553" spans="1:26" ht="12.75" customHeight="1">
      <c r="A553" s="186"/>
      <c r="B553" s="189"/>
      <c r="C553" s="189"/>
      <c r="D553" s="230"/>
      <c r="E553" s="230"/>
      <c r="F553" s="231"/>
      <c r="G553" s="189"/>
      <c r="H553" s="230"/>
      <c r="I553" s="230"/>
      <c r="J553" s="232"/>
      <c r="K553" s="233"/>
      <c r="L553" s="186"/>
      <c r="M553" s="186"/>
      <c r="N553" s="186"/>
      <c r="O553" s="234"/>
      <c r="P553" s="186"/>
      <c r="Q553" s="234"/>
      <c r="R553" s="234"/>
      <c r="S553" s="186"/>
      <c r="T553" s="186"/>
      <c r="U553" s="186"/>
      <c r="V553" s="186"/>
      <c r="W553" s="186"/>
      <c r="X553" s="186"/>
      <c r="Y553" s="186"/>
      <c r="Z553" s="186"/>
    </row>
    <row r="554" spans="1:26" ht="12.75" customHeight="1">
      <c r="A554" s="186"/>
      <c r="B554" s="189"/>
      <c r="C554" s="189"/>
      <c r="D554" s="230"/>
      <c r="E554" s="230"/>
      <c r="F554" s="231"/>
      <c r="G554" s="189"/>
      <c r="H554" s="230"/>
      <c r="I554" s="230"/>
      <c r="J554" s="232"/>
      <c r="K554" s="233"/>
      <c r="L554" s="186"/>
      <c r="M554" s="186"/>
      <c r="N554" s="186"/>
      <c r="O554" s="234"/>
      <c r="P554" s="186"/>
      <c r="Q554" s="234"/>
      <c r="R554" s="234"/>
      <c r="S554" s="186"/>
      <c r="T554" s="186"/>
      <c r="U554" s="186"/>
      <c r="V554" s="186"/>
      <c r="W554" s="186"/>
      <c r="X554" s="186"/>
      <c r="Y554" s="186"/>
      <c r="Z554" s="186"/>
    </row>
    <row r="555" spans="1:26" ht="12.75" customHeight="1">
      <c r="A555" s="186"/>
      <c r="B555" s="189"/>
      <c r="C555" s="189"/>
      <c r="D555" s="230"/>
      <c r="E555" s="230"/>
      <c r="F555" s="231"/>
      <c r="G555" s="189"/>
      <c r="H555" s="230"/>
      <c r="I555" s="230"/>
      <c r="J555" s="232"/>
      <c r="K555" s="233"/>
      <c r="L555" s="186"/>
      <c r="M555" s="186"/>
      <c r="N555" s="186"/>
      <c r="O555" s="234"/>
      <c r="P555" s="186"/>
      <c r="Q555" s="234"/>
      <c r="R555" s="234"/>
      <c r="S555" s="186"/>
      <c r="T555" s="186"/>
      <c r="U555" s="186"/>
      <c r="V555" s="186"/>
      <c r="W555" s="186"/>
      <c r="X555" s="186"/>
      <c r="Y555" s="186"/>
      <c r="Z555" s="186"/>
    </row>
    <row r="556" spans="1:26" ht="12.75" customHeight="1">
      <c r="A556" s="186"/>
      <c r="B556" s="189"/>
      <c r="C556" s="189"/>
      <c r="D556" s="230"/>
      <c r="E556" s="230"/>
      <c r="F556" s="231"/>
      <c r="G556" s="189"/>
      <c r="H556" s="230"/>
      <c r="I556" s="230"/>
      <c r="J556" s="232"/>
      <c r="K556" s="233"/>
      <c r="L556" s="186"/>
      <c r="M556" s="186"/>
      <c r="N556" s="186"/>
      <c r="O556" s="234"/>
      <c r="P556" s="186"/>
      <c r="Q556" s="234"/>
      <c r="R556" s="234"/>
      <c r="S556" s="186"/>
      <c r="T556" s="186"/>
      <c r="U556" s="186"/>
      <c r="V556" s="186"/>
      <c r="W556" s="186"/>
      <c r="X556" s="186"/>
      <c r="Y556" s="186"/>
      <c r="Z556" s="186"/>
    </row>
    <row r="557" spans="1:26" ht="12.75" customHeight="1">
      <c r="A557" s="186"/>
      <c r="B557" s="189"/>
      <c r="C557" s="189"/>
      <c r="D557" s="230"/>
      <c r="E557" s="230"/>
      <c r="F557" s="231"/>
      <c r="G557" s="189"/>
      <c r="H557" s="230"/>
      <c r="I557" s="230"/>
      <c r="J557" s="232"/>
      <c r="K557" s="233"/>
      <c r="L557" s="186"/>
      <c r="M557" s="186"/>
      <c r="N557" s="186"/>
      <c r="O557" s="234"/>
      <c r="P557" s="186"/>
      <c r="Q557" s="234"/>
      <c r="R557" s="234"/>
      <c r="S557" s="186"/>
      <c r="T557" s="186"/>
      <c r="U557" s="186"/>
      <c r="V557" s="186"/>
      <c r="W557" s="186"/>
      <c r="X557" s="186"/>
      <c r="Y557" s="186"/>
      <c r="Z557" s="186"/>
    </row>
    <row r="558" spans="1:26" ht="12.75" customHeight="1">
      <c r="A558" s="186"/>
      <c r="B558" s="189"/>
      <c r="C558" s="189"/>
      <c r="D558" s="230"/>
      <c r="E558" s="230"/>
      <c r="F558" s="231"/>
      <c r="G558" s="189"/>
      <c r="H558" s="230"/>
      <c r="I558" s="230"/>
      <c r="J558" s="232"/>
      <c r="K558" s="233"/>
      <c r="L558" s="186"/>
      <c r="M558" s="186"/>
      <c r="N558" s="186"/>
      <c r="O558" s="234"/>
      <c r="P558" s="186"/>
      <c r="Q558" s="234"/>
      <c r="R558" s="234"/>
      <c r="S558" s="186"/>
      <c r="T558" s="186"/>
      <c r="U558" s="186"/>
      <c r="V558" s="186"/>
      <c r="W558" s="186"/>
      <c r="X558" s="186"/>
      <c r="Y558" s="186"/>
      <c r="Z558" s="186"/>
    </row>
    <row r="559" spans="1:26" ht="12.75" customHeight="1">
      <c r="A559" s="186"/>
      <c r="B559" s="189"/>
      <c r="C559" s="189"/>
      <c r="D559" s="230"/>
      <c r="E559" s="230"/>
      <c r="F559" s="231"/>
      <c r="G559" s="189"/>
      <c r="H559" s="230"/>
      <c r="I559" s="230"/>
      <c r="J559" s="232"/>
      <c r="K559" s="233"/>
      <c r="L559" s="186"/>
      <c r="M559" s="186"/>
      <c r="N559" s="186"/>
      <c r="O559" s="234"/>
      <c r="P559" s="186"/>
      <c r="Q559" s="234"/>
      <c r="R559" s="234"/>
      <c r="S559" s="186"/>
      <c r="T559" s="186"/>
      <c r="U559" s="186"/>
      <c r="V559" s="186"/>
      <c r="W559" s="186"/>
      <c r="X559" s="186"/>
      <c r="Y559" s="186"/>
      <c r="Z559" s="186"/>
    </row>
    <row r="560" spans="1:26" ht="12.75" customHeight="1">
      <c r="A560" s="186"/>
      <c r="B560" s="189"/>
      <c r="C560" s="189"/>
      <c r="D560" s="230"/>
      <c r="E560" s="230"/>
      <c r="F560" s="231"/>
      <c r="G560" s="189"/>
      <c r="H560" s="230"/>
      <c r="I560" s="230"/>
      <c r="J560" s="232"/>
      <c r="K560" s="233"/>
      <c r="L560" s="186"/>
      <c r="M560" s="186"/>
      <c r="N560" s="186"/>
      <c r="O560" s="234"/>
      <c r="P560" s="186"/>
      <c r="Q560" s="234"/>
      <c r="R560" s="234"/>
      <c r="S560" s="186"/>
      <c r="T560" s="186"/>
      <c r="U560" s="186"/>
      <c r="V560" s="186"/>
      <c r="W560" s="186"/>
      <c r="X560" s="186"/>
      <c r="Y560" s="186"/>
      <c r="Z560" s="186"/>
    </row>
    <row r="561" spans="1:26" ht="12.75" customHeight="1">
      <c r="A561" s="186"/>
      <c r="B561" s="189"/>
      <c r="C561" s="189"/>
      <c r="D561" s="230"/>
      <c r="E561" s="230"/>
      <c r="F561" s="231"/>
      <c r="G561" s="189"/>
      <c r="H561" s="230"/>
      <c r="I561" s="230"/>
      <c r="J561" s="232"/>
      <c r="K561" s="233"/>
      <c r="L561" s="186"/>
      <c r="M561" s="186"/>
      <c r="N561" s="186"/>
      <c r="O561" s="234"/>
      <c r="P561" s="186"/>
      <c r="Q561" s="234"/>
      <c r="R561" s="234"/>
      <c r="S561" s="186"/>
      <c r="T561" s="186"/>
      <c r="U561" s="186"/>
      <c r="V561" s="186"/>
      <c r="W561" s="186"/>
      <c r="X561" s="186"/>
      <c r="Y561" s="186"/>
      <c r="Z561" s="186"/>
    </row>
    <row r="562" spans="1:26" ht="12.75" customHeight="1">
      <c r="A562" s="186"/>
      <c r="B562" s="189"/>
      <c r="C562" s="189"/>
      <c r="D562" s="230"/>
      <c r="E562" s="230"/>
      <c r="F562" s="231"/>
      <c r="G562" s="189"/>
      <c r="H562" s="230"/>
      <c r="I562" s="230"/>
      <c r="J562" s="232"/>
      <c r="K562" s="233"/>
      <c r="L562" s="186"/>
      <c r="M562" s="186"/>
      <c r="N562" s="186"/>
      <c r="O562" s="234"/>
      <c r="P562" s="186"/>
      <c r="Q562" s="234"/>
      <c r="R562" s="234"/>
      <c r="S562" s="186"/>
      <c r="T562" s="186"/>
      <c r="U562" s="186"/>
      <c r="V562" s="186"/>
      <c r="W562" s="186"/>
      <c r="X562" s="186"/>
      <c r="Y562" s="186"/>
      <c r="Z562" s="186"/>
    </row>
    <row r="563" spans="1:26" ht="12.75" customHeight="1">
      <c r="A563" s="186"/>
      <c r="B563" s="189"/>
      <c r="C563" s="189"/>
      <c r="D563" s="230"/>
      <c r="E563" s="230"/>
      <c r="F563" s="231"/>
      <c r="G563" s="189"/>
      <c r="H563" s="230"/>
      <c r="I563" s="230"/>
      <c r="J563" s="232"/>
      <c r="K563" s="233"/>
      <c r="L563" s="186"/>
      <c r="M563" s="186"/>
      <c r="N563" s="186"/>
      <c r="O563" s="234"/>
      <c r="P563" s="186"/>
      <c r="Q563" s="234"/>
      <c r="R563" s="234"/>
      <c r="S563" s="186"/>
      <c r="T563" s="186"/>
      <c r="U563" s="186"/>
      <c r="V563" s="186"/>
      <c r="W563" s="186"/>
      <c r="X563" s="186"/>
      <c r="Y563" s="186"/>
      <c r="Z563" s="186"/>
    </row>
    <row r="564" spans="1:26" ht="12.75" customHeight="1">
      <c r="A564" s="186"/>
      <c r="B564" s="189"/>
      <c r="C564" s="189"/>
      <c r="D564" s="230"/>
      <c r="E564" s="230"/>
      <c r="F564" s="231"/>
      <c r="G564" s="189"/>
      <c r="H564" s="230"/>
      <c r="I564" s="230"/>
      <c r="J564" s="232"/>
      <c r="K564" s="233"/>
      <c r="L564" s="186"/>
      <c r="M564" s="186"/>
      <c r="N564" s="186"/>
      <c r="O564" s="234"/>
      <c r="P564" s="186"/>
      <c r="Q564" s="234"/>
      <c r="R564" s="234"/>
      <c r="S564" s="186"/>
      <c r="T564" s="186"/>
      <c r="U564" s="186"/>
      <c r="V564" s="186"/>
      <c r="W564" s="186"/>
      <c r="X564" s="186"/>
      <c r="Y564" s="186"/>
      <c r="Z564" s="186"/>
    </row>
    <row r="565" spans="1:26" ht="12.75" customHeight="1">
      <c r="A565" s="186"/>
      <c r="B565" s="189"/>
      <c r="C565" s="189"/>
      <c r="D565" s="230"/>
      <c r="E565" s="230"/>
      <c r="F565" s="231"/>
      <c r="G565" s="189"/>
      <c r="H565" s="230"/>
      <c r="I565" s="230"/>
      <c r="J565" s="232"/>
      <c r="K565" s="233"/>
      <c r="L565" s="186"/>
      <c r="M565" s="186"/>
      <c r="N565" s="186"/>
      <c r="O565" s="234"/>
      <c r="P565" s="186"/>
      <c r="Q565" s="234"/>
      <c r="R565" s="234"/>
      <c r="S565" s="186"/>
      <c r="T565" s="186"/>
      <c r="U565" s="186"/>
      <c r="V565" s="186"/>
      <c r="W565" s="186"/>
      <c r="X565" s="186"/>
      <c r="Y565" s="186"/>
      <c r="Z565" s="186"/>
    </row>
    <row r="566" spans="1:26" ht="12.75" customHeight="1">
      <c r="A566" s="186"/>
      <c r="B566" s="189"/>
      <c r="C566" s="189"/>
      <c r="D566" s="230"/>
      <c r="E566" s="230"/>
      <c r="F566" s="231"/>
      <c r="G566" s="189"/>
      <c r="H566" s="230"/>
      <c r="I566" s="230"/>
      <c r="J566" s="232"/>
      <c r="K566" s="233"/>
      <c r="L566" s="186"/>
      <c r="M566" s="186"/>
      <c r="N566" s="186"/>
      <c r="O566" s="234"/>
      <c r="P566" s="186"/>
      <c r="Q566" s="234"/>
      <c r="R566" s="234"/>
      <c r="S566" s="186"/>
      <c r="T566" s="186"/>
      <c r="U566" s="186"/>
      <c r="V566" s="186"/>
      <c r="W566" s="186"/>
      <c r="X566" s="186"/>
      <c r="Y566" s="186"/>
      <c r="Z566" s="186"/>
    </row>
    <row r="567" spans="1:26" ht="12.75" customHeight="1">
      <c r="A567" s="186"/>
      <c r="B567" s="189"/>
      <c r="C567" s="189"/>
      <c r="D567" s="230"/>
      <c r="E567" s="230"/>
      <c r="F567" s="231"/>
      <c r="G567" s="189"/>
      <c r="H567" s="230"/>
      <c r="I567" s="230"/>
      <c r="J567" s="232"/>
      <c r="K567" s="233"/>
      <c r="L567" s="186"/>
      <c r="M567" s="186"/>
      <c r="N567" s="186"/>
      <c r="O567" s="234"/>
      <c r="P567" s="186"/>
      <c r="Q567" s="234"/>
      <c r="R567" s="234"/>
      <c r="S567" s="186"/>
      <c r="T567" s="186"/>
      <c r="U567" s="186"/>
      <c r="V567" s="186"/>
      <c r="W567" s="186"/>
      <c r="X567" s="186"/>
      <c r="Y567" s="186"/>
      <c r="Z567" s="186"/>
    </row>
    <row r="568" spans="1:26" ht="12.75" customHeight="1">
      <c r="A568" s="186"/>
      <c r="B568" s="189"/>
      <c r="C568" s="189"/>
      <c r="D568" s="230"/>
      <c r="E568" s="230"/>
      <c r="F568" s="231"/>
      <c r="G568" s="189"/>
      <c r="H568" s="230"/>
      <c r="I568" s="230"/>
      <c r="J568" s="232"/>
      <c r="K568" s="233"/>
      <c r="L568" s="186"/>
      <c r="M568" s="186"/>
      <c r="N568" s="186"/>
      <c r="O568" s="234"/>
      <c r="P568" s="186"/>
      <c r="Q568" s="234"/>
      <c r="R568" s="234"/>
      <c r="S568" s="186"/>
      <c r="T568" s="186"/>
      <c r="U568" s="186"/>
      <c r="V568" s="186"/>
      <c r="W568" s="186"/>
      <c r="X568" s="186"/>
      <c r="Y568" s="186"/>
      <c r="Z568" s="186"/>
    </row>
    <row r="569" spans="1:26" ht="12.75" customHeight="1">
      <c r="A569" s="186"/>
      <c r="B569" s="189"/>
      <c r="C569" s="189"/>
      <c r="D569" s="230"/>
      <c r="E569" s="230"/>
      <c r="F569" s="231"/>
      <c r="G569" s="189"/>
      <c r="H569" s="230"/>
      <c r="I569" s="230"/>
      <c r="J569" s="232"/>
      <c r="K569" s="233"/>
      <c r="L569" s="186"/>
      <c r="M569" s="186"/>
      <c r="N569" s="186"/>
      <c r="O569" s="234"/>
      <c r="P569" s="186"/>
      <c r="Q569" s="234"/>
      <c r="R569" s="234"/>
      <c r="S569" s="186"/>
      <c r="T569" s="186"/>
      <c r="U569" s="186"/>
      <c r="V569" s="186"/>
      <c r="W569" s="186"/>
      <c r="X569" s="186"/>
      <c r="Y569" s="186"/>
      <c r="Z569" s="186"/>
    </row>
    <row r="570" spans="1:26" ht="12.75" customHeight="1">
      <c r="A570" s="186"/>
      <c r="B570" s="189"/>
      <c r="C570" s="189"/>
      <c r="D570" s="230"/>
      <c r="E570" s="230"/>
      <c r="F570" s="231"/>
      <c r="G570" s="189"/>
      <c r="H570" s="230"/>
      <c r="I570" s="230"/>
      <c r="J570" s="232"/>
      <c r="K570" s="233"/>
      <c r="L570" s="186"/>
      <c r="M570" s="186"/>
      <c r="N570" s="186"/>
      <c r="O570" s="234"/>
      <c r="P570" s="186"/>
      <c r="Q570" s="234"/>
      <c r="R570" s="234"/>
      <c r="S570" s="186"/>
      <c r="T570" s="186"/>
      <c r="U570" s="186"/>
      <c r="V570" s="186"/>
      <c r="W570" s="186"/>
      <c r="X570" s="186"/>
      <c r="Y570" s="186"/>
      <c r="Z570" s="186"/>
    </row>
    <row r="571" spans="1:26" ht="12.75" customHeight="1">
      <c r="A571" s="186"/>
      <c r="B571" s="189"/>
      <c r="C571" s="189"/>
      <c r="D571" s="230"/>
      <c r="E571" s="230"/>
      <c r="F571" s="231"/>
      <c r="G571" s="189"/>
      <c r="H571" s="230"/>
      <c r="I571" s="230"/>
      <c r="J571" s="232"/>
      <c r="K571" s="233"/>
      <c r="L571" s="186"/>
      <c r="M571" s="186"/>
      <c r="N571" s="186"/>
      <c r="O571" s="234"/>
      <c r="P571" s="186"/>
      <c r="Q571" s="234"/>
      <c r="R571" s="234"/>
      <c r="S571" s="186"/>
      <c r="T571" s="186"/>
      <c r="U571" s="186"/>
      <c r="V571" s="186"/>
      <c r="W571" s="186"/>
      <c r="X571" s="186"/>
      <c r="Y571" s="186"/>
      <c r="Z571" s="186"/>
    </row>
    <row r="572" spans="1:26" ht="12.75" customHeight="1">
      <c r="A572" s="186"/>
      <c r="B572" s="189"/>
      <c r="C572" s="189"/>
      <c r="D572" s="230"/>
      <c r="E572" s="230"/>
      <c r="F572" s="231"/>
      <c r="G572" s="189"/>
      <c r="H572" s="230"/>
      <c r="I572" s="230"/>
      <c r="J572" s="232"/>
      <c r="K572" s="233"/>
      <c r="L572" s="186"/>
      <c r="M572" s="186"/>
      <c r="N572" s="186"/>
      <c r="O572" s="234"/>
      <c r="P572" s="186"/>
      <c r="Q572" s="234"/>
      <c r="R572" s="234"/>
      <c r="S572" s="186"/>
      <c r="T572" s="186"/>
      <c r="U572" s="186"/>
      <c r="V572" s="186"/>
      <c r="W572" s="186"/>
      <c r="X572" s="186"/>
      <c r="Y572" s="186"/>
      <c r="Z572" s="186"/>
    </row>
    <row r="573" spans="1:26" ht="12.75" customHeight="1">
      <c r="A573" s="186"/>
      <c r="B573" s="189"/>
      <c r="C573" s="189"/>
      <c r="D573" s="230"/>
      <c r="E573" s="230"/>
      <c r="F573" s="231"/>
      <c r="G573" s="189"/>
      <c r="H573" s="230"/>
      <c r="I573" s="230"/>
      <c r="J573" s="232"/>
      <c r="K573" s="233"/>
      <c r="L573" s="186"/>
      <c r="M573" s="186"/>
      <c r="N573" s="186"/>
      <c r="O573" s="234"/>
      <c r="P573" s="186"/>
      <c r="Q573" s="234"/>
      <c r="R573" s="234"/>
      <c r="S573" s="186"/>
      <c r="T573" s="186"/>
      <c r="U573" s="186"/>
      <c r="V573" s="186"/>
      <c r="W573" s="186"/>
      <c r="X573" s="186"/>
      <c r="Y573" s="186"/>
      <c r="Z573" s="186"/>
    </row>
    <row r="574" spans="1:26" ht="12.75" customHeight="1">
      <c r="A574" s="186"/>
      <c r="B574" s="189"/>
      <c r="C574" s="189"/>
      <c r="D574" s="230"/>
      <c r="E574" s="230"/>
      <c r="F574" s="231"/>
      <c r="G574" s="189"/>
      <c r="H574" s="230"/>
      <c r="I574" s="230"/>
      <c r="J574" s="232"/>
      <c r="K574" s="233"/>
      <c r="L574" s="186"/>
      <c r="M574" s="186"/>
      <c r="N574" s="186"/>
      <c r="O574" s="234"/>
      <c r="P574" s="186"/>
      <c r="Q574" s="234"/>
      <c r="R574" s="234"/>
      <c r="S574" s="186"/>
      <c r="T574" s="186"/>
      <c r="U574" s="186"/>
      <c r="V574" s="186"/>
      <c r="W574" s="186"/>
      <c r="X574" s="186"/>
      <c r="Y574" s="186"/>
      <c r="Z574" s="186"/>
    </row>
    <row r="575" spans="1:26" ht="12.75" customHeight="1">
      <c r="A575" s="186"/>
      <c r="B575" s="189"/>
      <c r="C575" s="189"/>
      <c r="D575" s="230"/>
      <c r="E575" s="230"/>
      <c r="F575" s="231"/>
      <c r="G575" s="189"/>
      <c r="H575" s="230"/>
      <c r="I575" s="230"/>
      <c r="J575" s="232"/>
      <c r="K575" s="233"/>
      <c r="L575" s="186"/>
      <c r="M575" s="186"/>
      <c r="N575" s="186"/>
      <c r="O575" s="234"/>
      <c r="P575" s="186"/>
      <c r="Q575" s="234"/>
      <c r="R575" s="234"/>
      <c r="S575" s="186"/>
      <c r="T575" s="186"/>
      <c r="U575" s="186"/>
      <c r="V575" s="186"/>
      <c r="W575" s="186"/>
      <c r="X575" s="186"/>
      <c r="Y575" s="186"/>
      <c r="Z575" s="186"/>
    </row>
    <row r="576" spans="1:26" ht="12.75" customHeight="1">
      <c r="A576" s="186"/>
      <c r="B576" s="189"/>
      <c r="C576" s="189"/>
      <c r="D576" s="230"/>
      <c r="E576" s="230"/>
      <c r="F576" s="231"/>
      <c r="G576" s="189"/>
      <c r="H576" s="230"/>
      <c r="I576" s="230"/>
      <c r="J576" s="232"/>
      <c r="K576" s="233"/>
      <c r="L576" s="186"/>
      <c r="M576" s="186"/>
      <c r="N576" s="186"/>
      <c r="O576" s="234"/>
      <c r="P576" s="186"/>
      <c r="Q576" s="234"/>
      <c r="R576" s="234"/>
      <c r="S576" s="186"/>
      <c r="T576" s="186"/>
      <c r="U576" s="186"/>
      <c r="V576" s="186"/>
      <c r="W576" s="186"/>
      <c r="X576" s="186"/>
      <c r="Y576" s="186"/>
      <c r="Z576" s="186"/>
    </row>
    <row r="577" spans="1:26" ht="12.75" customHeight="1">
      <c r="A577" s="186"/>
      <c r="B577" s="189"/>
      <c r="C577" s="189"/>
      <c r="D577" s="230"/>
      <c r="E577" s="230"/>
      <c r="F577" s="231"/>
      <c r="G577" s="189"/>
      <c r="H577" s="230"/>
      <c r="I577" s="230"/>
      <c r="J577" s="232"/>
      <c r="K577" s="233"/>
      <c r="L577" s="186"/>
      <c r="M577" s="186"/>
      <c r="N577" s="186"/>
      <c r="O577" s="234"/>
      <c r="P577" s="186"/>
      <c r="Q577" s="234"/>
      <c r="R577" s="234"/>
      <c r="S577" s="186"/>
      <c r="T577" s="186"/>
      <c r="U577" s="186"/>
      <c r="V577" s="186"/>
      <c r="W577" s="186"/>
      <c r="X577" s="186"/>
      <c r="Y577" s="186"/>
      <c r="Z577" s="186"/>
    </row>
    <row r="578" spans="1:26" ht="12.75" customHeight="1">
      <c r="A578" s="186"/>
      <c r="B578" s="189"/>
      <c r="C578" s="189"/>
      <c r="D578" s="230"/>
      <c r="E578" s="230"/>
      <c r="F578" s="231"/>
      <c r="G578" s="189"/>
      <c r="H578" s="230"/>
      <c r="I578" s="230"/>
      <c r="J578" s="232"/>
      <c r="K578" s="233"/>
      <c r="L578" s="186"/>
      <c r="M578" s="186"/>
      <c r="N578" s="186"/>
      <c r="O578" s="234"/>
      <c r="P578" s="186"/>
      <c r="Q578" s="234"/>
      <c r="R578" s="234"/>
      <c r="S578" s="186"/>
      <c r="T578" s="186"/>
      <c r="U578" s="186"/>
      <c r="V578" s="186"/>
      <c r="W578" s="186"/>
      <c r="X578" s="186"/>
      <c r="Y578" s="186"/>
      <c r="Z578" s="186"/>
    </row>
    <row r="579" spans="1:26" ht="12.75" customHeight="1">
      <c r="A579" s="186"/>
      <c r="B579" s="189"/>
      <c r="C579" s="189"/>
      <c r="D579" s="230"/>
      <c r="E579" s="230"/>
      <c r="F579" s="231"/>
      <c r="G579" s="189"/>
      <c r="H579" s="230"/>
      <c r="I579" s="230"/>
      <c r="J579" s="232"/>
      <c r="K579" s="233"/>
      <c r="L579" s="186"/>
      <c r="M579" s="186"/>
      <c r="N579" s="186"/>
      <c r="O579" s="234"/>
      <c r="P579" s="186"/>
      <c r="Q579" s="234"/>
      <c r="R579" s="234"/>
      <c r="S579" s="186"/>
      <c r="T579" s="186"/>
      <c r="U579" s="186"/>
      <c r="V579" s="186"/>
      <c r="W579" s="186"/>
      <c r="X579" s="186"/>
      <c r="Y579" s="186"/>
      <c r="Z579" s="186"/>
    </row>
    <row r="580" spans="1:26" ht="12.75" customHeight="1">
      <c r="A580" s="186"/>
      <c r="B580" s="189"/>
      <c r="C580" s="189"/>
      <c r="D580" s="230"/>
      <c r="E580" s="230"/>
      <c r="F580" s="231"/>
      <c r="G580" s="189"/>
      <c r="H580" s="230"/>
      <c r="I580" s="230"/>
      <c r="J580" s="232"/>
      <c r="K580" s="233"/>
      <c r="L580" s="186"/>
      <c r="M580" s="186"/>
      <c r="N580" s="186"/>
      <c r="O580" s="234"/>
      <c r="P580" s="186"/>
      <c r="Q580" s="234"/>
      <c r="R580" s="234"/>
      <c r="S580" s="186"/>
      <c r="T580" s="186"/>
      <c r="U580" s="186"/>
      <c r="V580" s="186"/>
      <c r="W580" s="186"/>
      <c r="X580" s="186"/>
      <c r="Y580" s="186"/>
      <c r="Z580" s="186"/>
    </row>
    <row r="581" spans="1:26" ht="12.75" customHeight="1">
      <c r="A581" s="186"/>
      <c r="B581" s="189"/>
      <c r="C581" s="189"/>
      <c r="D581" s="230"/>
      <c r="E581" s="230"/>
      <c r="F581" s="231"/>
      <c r="G581" s="189"/>
      <c r="H581" s="230"/>
      <c r="I581" s="230"/>
      <c r="J581" s="232"/>
      <c r="K581" s="233"/>
      <c r="L581" s="186"/>
      <c r="M581" s="186"/>
      <c r="N581" s="186"/>
      <c r="O581" s="234"/>
      <c r="P581" s="186"/>
      <c r="Q581" s="234"/>
      <c r="R581" s="234"/>
      <c r="S581" s="186"/>
      <c r="T581" s="186"/>
      <c r="U581" s="186"/>
      <c r="V581" s="186"/>
      <c r="W581" s="186"/>
      <c r="X581" s="186"/>
      <c r="Y581" s="186"/>
      <c r="Z581" s="186"/>
    </row>
    <row r="582" spans="1:26" ht="12.75" customHeight="1">
      <c r="A582" s="186"/>
      <c r="B582" s="189"/>
      <c r="C582" s="189"/>
      <c r="D582" s="230"/>
      <c r="E582" s="230"/>
      <c r="F582" s="231"/>
      <c r="G582" s="189"/>
      <c r="H582" s="230"/>
      <c r="I582" s="230"/>
      <c r="J582" s="232"/>
      <c r="K582" s="233"/>
      <c r="L582" s="186"/>
      <c r="M582" s="186"/>
      <c r="N582" s="186"/>
      <c r="O582" s="234"/>
      <c r="P582" s="186"/>
      <c r="Q582" s="234"/>
      <c r="R582" s="234"/>
      <c r="S582" s="186"/>
      <c r="T582" s="186"/>
      <c r="U582" s="186"/>
      <c r="V582" s="186"/>
      <c r="W582" s="186"/>
      <c r="X582" s="186"/>
      <c r="Y582" s="186"/>
      <c r="Z582" s="186"/>
    </row>
    <row r="583" spans="1:26" ht="12.75" customHeight="1">
      <c r="A583" s="186"/>
      <c r="B583" s="189"/>
      <c r="C583" s="189"/>
      <c r="D583" s="230"/>
      <c r="E583" s="230"/>
      <c r="F583" s="231"/>
      <c r="G583" s="189"/>
      <c r="H583" s="230"/>
      <c r="I583" s="230"/>
      <c r="J583" s="232"/>
      <c r="K583" s="233"/>
      <c r="L583" s="186"/>
      <c r="M583" s="186"/>
      <c r="N583" s="186"/>
      <c r="O583" s="234"/>
      <c r="P583" s="186"/>
      <c r="Q583" s="234"/>
      <c r="R583" s="234"/>
      <c r="S583" s="186"/>
      <c r="T583" s="186"/>
      <c r="U583" s="186"/>
      <c r="V583" s="186"/>
      <c r="W583" s="186"/>
      <c r="X583" s="186"/>
      <c r="Y583" s="186"/>
      <c r="Z583" s="186"/>
    </row>
    <row r="584" spans="1:26" ht="12.75" customHeight="1">
      <c r="A584" s="186"/>
      <c r="B584" s="189"/>
      <c r="C584" s="189"/>
      <c r="D584" s="230"/>
      <c r="E584" s="230"/>
      <c r="F584" s="231"/>
      <c r="G584" s="189"/>
      <c r="H584" s="230"/>
      <c r="I584" s="230"/>
      <c r="J584" s="232"/>
      <c r="K584" s="233"/>
      <c r="L584" s="186"/>
      <c r="M584" s="186"/>
      <c r="N584" s="186"/>
      <c r="O584" s="234"/>
      <c r="P584" s="186"/>
      <c r="Q584" s="234"/>
      <c r="R584" s="234"/>
      <c r="S584" s="186"/>
      <c r="T584" s="186"/>
      <c r="U584" s="186"/>
      <c r="V584" s="186"/>
      <c r="W584" s="186"/>
      <c r="X584" s="186"/>
      <c r="Y584" s="186"/>
      <c r="Z584" s="186"/>
    </row>
    <row r="585" spans="1:26" ht="12.75" customHeight="1">
      <c r="A585" s="186"/>
      <c r="B585" s="189"/>
      <c r="C585" s="189"/>
      <c r="D585" s="230"/>
      <c r="E585" s="230"/>
      <c r="F585" s="231"/>
      <c r="G585" s="189"/>
      <c r="H585" s="230"/>
      <c r="I585" s="230"/>
      <c r="J585" s="232"/>
      <c r="K585" s="233"/>
      <c r="L585" s="186"/>
      <c r="M585" s="186"/>
      <c r="N585" s="186"/>
      <c r="O585" s="234"/>
      <c r="P585" s="186"/>
      <c r="Q585" s="234"/>
      <c r="R585" s="234"/>
      <c r="S585" s="186"/>
      <c r="T585" s="186"/>
      <c r="U585" s="186"/>
      <c r="V585" s="186"/>
      <c r="W585" s="186"/>
      <c r="X585" s="186"/>
      <c r="Y585" s="186"/>
      <c r="Z585" s="186"/>
    </row>
    <row r="586" spans="1:26" ht="12.75" customHeight="1">
      <c r="A586" s="186"/>
      <c r="B586" s="189"/>
      <c r="C586" s="189"/>
      <c r="D586" s="230"/>
      <c r="E586" s="230"/>
      <c r="F586" s="231"/>
      <c r="G586" s="189"/>
      <c r="H586" s="230"/>
      <c r="I586" s="230"/>
      <c r="J586" s="232"/>
      <c r="K586" s="233"/>
      <c r="L586" s="186"/>
      <c r="M586" s="186"/>
      <c r="N586" s="186"/>
      <c r="O586" s="234"/>
      <c r="P586" s="186"/>
      <c r="Q586" s="234"/>
      <c r="R586" s="234"/>
      <c r="S586" s="186"/>
      <c r="T586" s="186"/>
      <c r="U586" s="186"/>
      <c r="V586" s="186"/>
      <c r="W586" s="186"/>
      <c r="X586" s="186"/>
      <c r="Y586" s="186"/>
      <c r="Z586" s="186"/>
    </row>
    <row r="587" spans="1:26" ht="12.75" customHeight="1">
      <c r="A587" s="186"/>
      <c r="B587" s="189"/>
      <c r="C587" s="189"/>
      <c r="D587" s="230"/>
      <c r="E587" s="230"/>
      <c r="F587" s="231"/>
      <c r="G587" s="189"/>
      <c r="H587" s="230"/>
      <c r="I587" s="230"/>
      <c r="J587" s="232"/>
      <c r="K587" s="233"/>
      <c r="L587" s="186"/>
      <c r="M587" s="186"/>
      <c r="N587" s="186"/>
      <c r="O587" s="234"/>
      <c r="P587" s="186"/>
      <c r="Q587" s="234"/>
      <c r="R587" s="234"/>
      <c r="S587" s="186"/>
      <c r="T587" s="186"/>
      <c r="U587" s="186"/>
      <c r="V587" s="186"/>
      <c r="W587" s="186"/>
      <c r="X587" s="186"/>
      <c r="Y587" s="186"/>
      <c r="Z587" s="186"/>
    </row>
    <row r="588" spans="1:26" ht="12.75" customHeight="1">
      <c r="A588" s="186"/>
      <c r="B588" s="189"/>
      <c r="C588" s="189"/>
      <c r="D588" s="230"/>
      <c r="E588" s="230"/>
      <c r="F588" s="231"/>
      <c r="G588" s="189"/>
      <c r="H588" s="230"/>
      <c r="I588" s="230"/>
      <c r="J588" s="232"/>
      <c r="K588" s="233"/>
      <c r="L588" s="186"/>
      <c r="M588" s="186"/>
      <c r="N588" s="186"/>
      <c r="O588" s="234"/>
      <c r="P588" s="186"/>
      <c r="Q588" s="234"/>
      <c r="R588" s="234"/>
      <c r="S588" s="186"/>
      <c r="T588" s="186"/>
      <c r="U588" s="186"/>
      <c r="V588" s="186"/>
      <c r="W588" s="186"/>
      <c r="X588" s="186"/>
      <c r="Y588" s="186"/>
      <c r="Z588" s="186"/>
    </row>
    <row r="589" spans="1:26" ht="12.75" customHeight="1">
      <c r="A589" s="186"/>
      <c r="B589" s="189"/>
      <c r="C589" s="189"/>
      <c r="D589" s="230"/>
      <c r="E589" s="230"/>
      <c r="F589" s="231"/>
      <c r="G589" s="189"/>
      <c r="H589" s="230"/>
      <c r="I589" s="230"/>
      <c r="J589" s="232"/>
      <c r="K589" s="233"/>
      <c r="L589" s="186"/>
      <c r="M589" s="186"/>
      <c r="N589" s="186"/>
      <c r="O589" s="234"/>
      <c r="P589" s="186"/>
      <c r="Q589" s="234"/>
      <c r="R589" s="234"/>
      <c r="S589" s="186"/>
      <c r="T589" s="186"/>
      <c r="U589" s="186"/>
      <c r="V589" s="186"/>
      <c r="W589" s="186"/>
      <c r="X589" s="186"/>
      <c r="Y589" s="186"/>
      <c r="Z589" s="186"/>
    </row>
    <row r="590" spans="1:26" ht="12.75" customHeight="1">
      <c r="A590" s="186"/>
      <c r="B590" s="189"/>
      <c r="C590" s="189"/>
      <c r="D590" s="230"/>
      <c r="E590" s="230"/>
      <c r="F590" s="231"/>
      <c r="G590" s="189"/>
      <c r="H590" s="230"/>
      <c r="I590" s="230"/>
      <c r="J590" s="232"/>
      <c r="K590" s="233"/>
      <c r="L590" s="186"/>
      <c r="M590" s="186"/>
      <c r="N590" s="186"/>
      <c r="O590" s="234"/>
      <c r="P590" s="186"/>
      <c r="Q590" s="234"/>
      <c r="R590" s="234"/>
      <c r="S590" s="186"/>
      <c r="T590" s="186"/>
      <c r="U590" s="186"/>
      <c r="V590" s="186"/>
      <c r="W590" s="186"/>
      <c r="X590" s="186"/>
      <c r="Y590" s="186"/>
      <c r="Z590" s="186"/>
    </row>
    <row r="591" spans="1:26" ht="12.75" customHeight="1">
      <c r="A591" s="186"/>
      <c r="B591" s="189"/>
      <c r="C591" s="189"/>
      <c r="D591" s="230"/>
      <c r="E591" s="230"/>
      <c r="F591" s="231"/>
      <c r="G591" s="189"/>
      <c r="H591" s="230"/>
      <c r="I591" s="230"/>
      <c r="J591" s="232"/>
      <c r="K591" s="233"/>
      <c r="L591" s="186"/>
      <c r="M591" s="186"/>
      <c r="N591" s="186"/>
      <c r="O591" s="234"/>
      <c r="P591" s="186"/>
      <c r="Q591" s="234"/>
      <c r="R591" s="234"/>
      <c r="S591" s="186"/>
      <c r="T591" s="186"/>
      <c r="U591" s="186"/>
      <c r="V591" s="186"/>
      <c r="W591" s="186"/>
      <c r="X591" s="186"/>
      <c r="Y591" s="186"/>
      <c r="Z591" s="186"/>
    </row>
    <row r="592" spans="1:26" ht="12.75" customHeight="1">
      <c r="A592" s="186"/>
      <c r="B592" s="189"/>
      <c r="C592" s="189"/>
      <c r="D592" s="230"/>
      <c r="E592" s="230"/>
      <c r="F592" s="231"/>
      <c r="G592" s="189"/>
      <c r="H592" s="230"/>
      <c r="I592" s="230"/>
      <c r="J592" s="232"/>
      <c r="K592" s="233"/>
      <c r="L592" s="186"/>
      <c r="M592" s="186"/>
      <c r="N592" s="186"/>
      <c r="O592" s="234"/>
      <c r="P592" s="186"/>
      <c r="Q592" s="234"/>
      <c r="R592" s="234"/>
      <c r="S592" s="186"/>
      <c r="T592" s="186"/>
      <c r="U592" s="186"/>
      <c r="V592" s="186"/>
      <c r="W592" s="186"/>
      <c r="X592" s="186"/>
      <c r="Y592" s="186"/>
      <c r="Z592" s="186"/>
    </row>
    <row r="593" spans="1:26" ht="12.75" customHeight="1">
      <c r="A593" s="186"/>
      <c r="B593" s="189"/>
      <c r="C593" s="189"/>
      <c r="D593" s="230"/>
      <c r="E593" s="230"/>
      <c r="F593" s="231"/>
      <c r="G593" s="189"/>
      <c r="H593" s="230"/>
      <c r="I593" s="230"/>
      <c r="J593" s="232"/>
      <c r="K593" s="233"/>
      <c r="L593" s="186"/>
      <c r="M593" s="186"/>
      <c r="N593" s="186"/>
      <c r="O593" s="234"/>
      <c r="P593" s="186"/>
      <c r="Q593" s="234"/>
      <c r="R593" s="234"/>
      <c r="S593" s="186"/>
      <c r="T593" s="186"/>
      <c r="U593" s="186"/>
      <c r="V593" s="186"/>
      <c r="W593" s="186"/>
      <c r="X593" s="186"/>
      <c r="Y593" s="186"/>
      <c r="Z593" s="186"/>
    </row>
    <row r="594" spans="1:26" ht="12.75" customHeight="1">
      <c r="A594" s="186"/>
      <c r="B594" s="189"/>
      <c r="C594" s="189"/>
      <c r="D594" s="230"/>
      <c r="E594" s="230"/>
      <c r="F594" s="231"/>
      <c r="G594" s="189"/>
      <c r="H594" s="230"/>
      <c r="I594" s="230"/>
      <c r="J594" s="232"/>
      <c r="K594" s="233"/>
      <c r="L594" s="186"/>
      <c r="M594" s="186"/>
      <c r="N594" s="186"/>
      <c r="O594" s="234"/>
      <c r="P594" s="186"/>
      <c r="Q594" s="234"/>
      <c r="R594" s="234"/>
      <c r="S594" s="186"/>
      <c r="T594" s="186"/>
      <c r="U594" s="186"/>
      <c r="V594" s="186"/>
      <c r="W594" s="186"/>
      <c r="X594" s="186"/>
      <c r="Y594" s="186"/>
      <c r="Z594" s="186"/>
    </row>
    <row r="595" spans="1:26" ht="12.75" customHeight="1">
      <c r="A595" s="186"/>
      <c r="B595" s="189"/>
      <c r="C595" s="189"/>
      <c r="D595" s="230"/>
      <c r="E595" s="230"/>
      <c r="F595" s="231"/>
      <c r="G595" s="189"/>
      <c r="H595" s="230"/>
      <c r="I595" s="230"/>
      <c r="J595" s="232"/>
      <c r="K595" s="233"/>
      <c r="L595" s="186"/>
      <c r="M595" s="186"/>
      <c r="N595" s="186"/>
      <c r="O595" s="234"/>
      <c r="P595" s="186"/>
      <c r="Q595" s="234"/>
      <c r="R595" s="234"/>
      <c r="S595" s="186"/>
      <c r="T595" s="186"/>
      <c r="U595" s="186"/>
      <c r="V595" s="186"/>
      <c r="W595" s="186"/>
      <c r="X595" s="186"/>
      <c r="Y595" s="186"/>
      <c r="Z595" s="186"/>
    </row>
    <row r="596" spans="1:26" ht="12.75" customHeight="1">
      <c r="A596" s="186"/>
      <c r="B596" s="189"/>
      <c r="C596" s="189"/>
      <c r="D596" s="230"/>
      <c r="E596" s="230"/>
      <c r="F596" s="231"/>
      <c r="G596" s="189"/>
      <c r="H596" s="230"/>
      <c r="I596" s="230"/>
      <c r="J596" s="232"/>
      <c r="K596" s="233"/>
      <c r="L596" s="186"/>
      <c r="M596" s="186"/>
      <c r="N596" s="186"/>
      <c r="O596" s="234"/>
      <c r="P596" s="186"/>
      <c r="Q596" s="234"/>
      <c r="R596" s="234"/>
      <c r="S596" s="186"/>
      <c r="T596" s="186"/>
      <c r="U596" s="186"/>
      <c r="V596" s="186"/>
      <c r="W596" s="186"/>
      <c r="X596" s="186"/>
      <c r="Y596" s="186"/>
      <c r="Z596" s="186"/>
    </row>
    <row r="597" spans="1:26" ht="12.75" customHeight="1">
      <c r="A597" s="186"/>
      <c r="B597" s="189"/>
      <c r="C597" s="189"/>
      <c r="D597" s="230"/>
      <c r="E597" s="230"/>
      <c r="F597" s="231"/>
      <c r="G597" s="189"/>
      <c r="H597" s="230"/>
      <c r="I597" s="230"/>
      <c r="J597" s="232"/>
      <c r="K597" s="233"/>
      <c r="L597" s="186"/>
      <c r="M597" s="186"/>
      <c r="N597" s="186"/>
      <c r="O597" s="234"/>
      <c r="P597" s="186"/>
      <c r="Q597" s="234"/>
      <c r="R597" s="234"/>
      <c r="S597" s="186"/>
      <c r="T597" s="186"/>
      <c r="U597" s="186"/>
      <c r="V597" s="186"/>
      <c r="W597" s="186"/>
      <c r="X597" s="186"/>
      <c r="Y597" s="186"/>
      <c r="Z597" s="186"/>
    </row>
    <row r="598" spans="1:26" ht="12.75" customHeight="1">
      <c r="A598" s="186"/>
      <c r="B598" s="189"/>
      <c r="C598" s="189"/>
      <c r="D598" s="230"/>
      <c r="E598" s="230"/>
      <c r="F598" s="231"/>
      <c r="G598" s="189"/>
      <c r="H598" s="230"/>
      <c r="I598" s="230"/>
      <c r="J598" s="232"/>
      <c r="K598" s="233"/>
      <c r="L598" s="186"/>
      <c r="M598" s="186"/>
      <c r="N598" s="186"/>
      <c r="O598" s="234"/>
      <c r="P598" s="186"/>
      <c r="Q598" s="234"/>
      <c r="R598" s="234"/>
      <c r="S598" s="186"/>
      <c r="T598" s="186"/>
      <c r="U598" s="186"/>
      <c r="V598" s="186"/>
      <c r="W598" s="186"/>
      <c r="X598" s="186"/>
      <c r="Y598" s="186"/>
      <c r="Z598" s="186"/>
    </row>
    <row r="599" spans="1:26" ht="12.75" customHeight="1">
      <c r="A599" s="186"/>
      <c r="B599" s="189"/>
      <c r="C599" s="189"/>
      <c r="D599" s="230"/>
      <c r="E599" s="230"/>
      <c r="F599" s="231"/>
      <c r="G599" s="189"/>
      <c r="H599" s="230"/>
      <c r="I599" s="230"/>
      <c r="J599" s="232"/>
      <c r="K599" s="233"/>
      <c r="L599" s="186"/>
      <c r="M599" s="186"/>
      <c r="N599" s="186"/>
      <c r="O599" s="234"/>
      <c r="P599" s="186"/>
      <c r="Q599" s="234"/>
      <c r="R599" s="234"/>
      <c r="S599" s="186"/>
      <c r="T599" s="186"/>
      <c r="U599" s="186"/>
      <c r="V599" s="186"/>
      <c r="W599" s="186"/>
      <c r="X599" s="186"/>
      <c r="Y599" s="186"/>
      <c r="Z599" s="186"/>
    </row>
    <row r="600" spans="1:26" ht="12.75" customHeight="1">
      <c r="A600" s="186"/>
      <c r="B600" s="189"/>
      <c r="C600" s="189"/>
      <c r="D600" s="230"/>
      <c r="E600" s="230"/>
      <c r="F600" s="231"/>
      <c r="G600" s="189"/>
      <c r="H600" s="230"/>
      <c r="I600" s="230"/>
      <c r="J600" s="232"/>
      <c r="K600" s="233"/>
      <c r="L600" s="186"/>
      <c r="M600" s="186"/>
      <c r="N600" s="186"/>
      <c r="O600" s="234"/>
      <c r="P600" s="186"/>
      <c r="Q600" s="234"/>
      <c r="R600" s="234"/>
      <c r="S600" s="186"/>
      <c r="T600" s="186"/>
      <c r="U600" s="186"/>
      <c r="V600" s="186"/>
      <c r="W600" s="186"/>
      <c r="X600" s="186"/>
      <c r="Y600" s="186"/>
      <c r="Z600" s="186"/>
    </row>
    <row r="601" spans="1:26" ht="12.75" customHeight="1">
      <c r="A601" s="186"/>
      <c r="B601" s="189"/>
      <c r="C601" s="189"/>
      <c r="D601" s="230"/>
      <c r="E601" s="230"/>
      <c r="F601" s="231"/>
      <c r="G601" s="189"/>
      <c r="H601" s="230"/>
      <c r="I601" s="230"/>
      <c r="J601" s="232"/>
      <c r="K601" s="233"/>
      <c r="L601" s="186"/>
      <c r="M601" s="186"/>
      <c r="N601" s="186"/>
      <c r="O601" s="234"/>
      <c r="P601" s="186"/>
      <c r="Q601" s="234"/>
      <c r="R601" s="234"/>
      <c r="S601" s="186"/>
      <c r="T601" s="186"/>
      <c r="U601" s="186"/>
      <c r="V601" s="186"/>
      <c r="W601" s="186"/>
      <c r="X601" s="186"/>
      <c r="Y601" s="186"/>
      <c r="Z601" s="186"/>
    </row>
    <row r="602" spans="1:26" ht="12.75" customHeight="1">
      <c r="A602" s="186"/>
      <c r="B602" s="189"/>
      <c r="C602" s="189"/>
      <c r="D602" s="230"/>
      <c r="E602" s="230"/>
      <c r="F602" s="231"/>
      <c r="G602" s="189"/>
      <c r="H602" s="230"/>
      <c r="I602" s="230"/>
      <c r="J602" s="232"/>
      <c r="K602" s="233"/>
      <c r="L602" s="186"/>
      <c r="M602" s="186"/>
      <c r="N602" s="186"/>
      <c r="O602" s="234"/>
      <c r="P602" s="186"/>
      <c r="Q602" s="234"/>
      <c r="R602" s="234"/>
      <c r="S602" s="186"/>
      <c r="T602" s="186"/>
      <c r="U602" s="186"/>
      <c r="V602" s="186"/>
      <c r="W602" s="186"/>
      <c r="X602" s="186"/>
      <c r="Y602" s="186"/>
      <c r="Z602" s="186"/>
    </row>
    <row r="603" spans="1:26" ht="12.75" customHeight="1">
      <c r="A603" s="186"/>
      <c r="B603" s="189"/>
      <c r="C603" s="189"/>
      <c r="D603" s="230"/>
      <c r="E603" s="230"/>
      <c r="F603" s="231"/>
      <c r="G603" s="189"/>
      <c r="H603" s="230"/>
      <c r="I603" s="230"/>
      <c r="J603" s="232"/>
      <c r="K603" s="233"/>
      <c r="L603" s="186"/>
      <c r="M603" s="186"/>
      <c r="N603" s="186"/>
      <c r="O603" s="234"/>
      <c r="P603" s="186"/>
      <c r="Q603" s="234"/>
      <c r="R603" s="234"/>
      <c r="S603" s="186"/>
      <c r="T603" s="186"/>
      <c r="U603" s="186"/>
      <c r="V603" s="186"/>
      <c r="W603" s="186"/>
      <c r="X603" s="186"/>
      <c r="Y603" s="186"/>
      <c r="Z603" s="186"/>
    </row>
    <row r="604" spans="1:26" ht="12.75" customHeight="1">
      <c r="A604" s="186"/>
      <c r="B604" s="189"/>
      <c r="C604" s="189"/>
      <c r="D604" s="230"/>
      <c r="E604" s="230"/>
      <c r="F604" s="231"/>
      <c r="G604" s="189"/>
      <c r="H604" s="230"/>
      <c r="I604" s="230"/>
      <c r="J604" s="232"/>
      <c r="K604" s="233"/>
      <c r="L604" s="186"/>
      <c r="M604" s="186"/>
      <c r="N604" s="186"/>
      <c r="O604" s="234"/>
      <c r="P604" s="186"/>
      <c r="Q604" s="234"/>
      <c r="R604" s="234"/>
      <c r="S604" s="186"/>
      <c r="T604" s="186"/>
      <c r="U604" s="186"/>
      <c r="V604" s="186"/>
      <c r="W604" s="186"/>
      <c r="X604" s="186"/>
      <c r="Y604" s="186"/>
      <c r="Z604" s="186"/>
    </row>
    <row r="605" spans="1:26" ht="12.75" customHeight="1">
      <c r="A605" s="186"/>
      <c r="B605" s="189"/>
      <c r="C605" s="189"/>
      <c r="D605" s="230"/>
      <c r="E605" s="230"/>
      <c r="F605" s="231"/>
      <c r="G605" s="189"/>
      <c r="H605" s="230"/>
      <c r="I605" s="230"/>
      <c r="J605" s="232"/>
      <c r="K605" s="233"/>
      <c r="L605" s="186"/>
      <c r="M605" s="186"/>
      <c r="N605" s="186"/>
      <c r="O605" s="234"/>
      <c r="P605" s="186"/>
      <c r="Q605" s="234"/>
      <c r="R605" s="234"/>
      <c r="S605" s="186"/>
      <c r="T605" s="186"/>
      <c r="U605" s="186"/>
      <c r="V605" s="186"/>
      <c r="W605" s="186"/>
      <c r="X605" s="186"/>
      <c r="Y605" s="186"/>
      <c r="Z605" s="186"/>
    </row>
    <row r="606" spans="1:26" ht="12.75" customHeight="1">
      <c r="A606" s="186"/>
      <c r="B606" s="189"/>
      <c r="C606" s="189"/>
      <c r="D606" s="230"/>
      <c r="E606" s="230"/>
      <c r="F606" s="231"/>
      <c r="G606" s="189"/>
      <c r="H606" s="230"/>
      <c r="I606" s="230"/>
      <c r="J606" s="232"/>
      <c r="K606" s="233"/>
      <c r="L606" s="186"/>
      <c r="M606" s="186"/>
      <c r="N606" s="186"/>
      <c r="O606" s="234"/>
      <c r="P606" s="186"/>
      <c r="Q606" s="234"/>
      <c r="R606" s="234"/>
      <c r="S606" s="186"/>
      <c r="T606" s="186"/>
      <c r="U606" s="186"/>
      <c r="V606" s="186"/>
      <c r="W606" s="186"/>
      <c r="X606" s="186"/>
      <c r="Y606" s="186"/>
      <c r="Z606" s="186"/>
    </row>
    <row r="607" spans="1:26" ht="12.75" customHeight="1">
      <c r="A607" s="186"/>
      <c r="B607" s="189"/>
      <c r="C607" s="189"/>
      <c r="D607" s="230"/>
      <c r="E607" s="230"/>
      <c r="F607" s="231"/>
      <c r="G607" s="189"/>
      <c r="H607" s="230"/>
      <c r="I607" s="230"/>
      <c r="J607" s="232"/>
      <c r="K607" s="233"/>
      <c r="L607" s="186"/>
      <c r="M607" s="186"/>
      <c r="N607" s="186"/>
      <c r="O607" s="234"/>
      <c r="P607" s="186"/>
      <c r="Q607" s="234"/>
      <c r="R607" s="234"/>
      <c r="S607" s="186"/>
      <c r="T607" s="186"/>
      <c r="U607" s="186"/>
      <c r="V607" s="186"/>
      <c r="W607" s="186"/>
      <c r="X607" s="186"/>
      <c r="Y607" s="186"/>
      <c r="Z607" s="186"/>
    </row>
    <row r="608" spans="1:26" ht="12.75" customHeight="1">
      <c r="A608" s="186"/>
      <c r="B608" s="189"/>
      <c r="C608" s="189"/>
      <c r="D608" s="230"/>
      <c r="E608" s="230"/>
      <c r="F608" s="231"/>
      <c r="G608" s="189"/>
      <c r="H608" s="230"/>
      <c r="I608" s="230"/>
      <c r="J608" s="232"/>
      <c r="K608" s="233"/>
      <c r="L608" s="186"/>
      <c r="M608" s="186"/>
      <c r="N608" s="186"/>
      <c r="O608" s="234"/>
      <c r="P608" s="186"/>
      <c r="Q608" s="234"/>
      <c r="R608" s="234"/>
      <c r="S608" s="186"/>
      <c r="T608" s="186"/>
      <c r="U608" s="186"/>
      <c r="V608" s="186"/>
      <c r="W608" s="186"/>
      <c r="X608" s="186"/>
      <c r="Y608" s="186"/>
      <c r="Z608" s="186"/>
    </row>
    <row r="609" spans="1:26" ht="12.75" customHeight="1">
      <c r="A609" s="186"/>
      <c r="B609" s="189"/>
      <c r="C609" s="189"/>
      <c r="D609" s="230"/>
      <c r="E609" s="230"/>
      <c r="F609" s="231"/>
      <c r="G609" s="189"/>
      <c r="H609" s="230"/>
      <c r="I609" s="230"/>
      <c r="J609" s="232"/>
      <c r="K609" s="233"/>
      <c r="L609" s="186"/>
      <c r="M609" s="186"/>
      <c r="N609" s="186"/>
      <c r="O609" s="234"/>
      <c r="P609" s="186"/>
      <c r="Q609" s="234"/>
      <c r="R609" s="234"/>
      <c r="S609" s="186"/>
      <c r="T609" s="186"/>
      <c r="U609" s="186"/>
      <c r="V609" s="186"/>
      <c r="W609" s="186"/>
      <c r="X609" s="186"/>
      <c r="Y609" s="186"/>
      <c r="Z609" s="186"/>
    </row>
    <row r="610" spans="1:26" ht="12.75" customHeight="1">
      <c r="A610" s="186"/>
      <c r="B610" s="189"/>
      <c r="C610" s="189"/>
      <c r="D610" s="230"/>
      <c r="E610" s="230"/>
      <c r="F610" s="231"/>
      <c r="G610" s="189"/>
      <c r="H610" s="230"/>
      <c r="I610" s="230"/>
      <c r="J610" s="232"/>
      <c r="K610" s="233"/>
      <c r="L610" s="186"/>
      <c r="M610" s="186"/>
      <c r="N610" s="186"/>
      <c r="O610" s="234"/>
      <c r="P610" s="186"/>
      <c r="Q610" s="234"/>
      <c r="R610" s="234"/>
      <c r="S610" s="186"/>
      <c r="T610" s="186"/>
      <c r="U610" s="186"/>
      <c r="V610" s="186"/>
      <c r="W610" s="186"/>
      <c r="X610" s="186"/>
      <c r="Y610" s="186"/>
      <c r="Z610" s="186"/>
    </row>
    <row r="611" spans="1:26" ht="12.75" customHeight="1">
      <c r="A611" s="186"/>
      <c r="B611" s="189"/>
      <c r="C611" s="189"/>
      <c r="D611" s="230"/>
      <c r="E611" s="230"/>
      <c r="F611" s="231"/>
      <c r="G611" s="189"/>
      <c r="H611" s="230"/>
      <c r="I611" s="230"/>
      <c r="J611" s="232"/>
      <c r="K611" s="233"/>
      <c r="L611" s="186"/>
      <c r="M611" s="186"/>
      <c r="N611" s="186"/>
      <c r="O611" s="234"/>
      <c r="P611" s="186"/>
      <c r="Q611" s="234"/>
      <c r="R611" s="234"/>
      <c r="S611" s="186"/>
      <c r="T611" s="186"/>
      <c r="U611" s="186"/>
      <c r="V611" s="186"/>
      <c r="W611" s="186"/>
      <c r="X611" s="186"/>
      <c r="Y611" s="186"/>
      <c r="Z611" s="186"/>
    </row>
    <row r="612" spans="1:26" ht="12.75" customHeight="1">
      <c r="A612" s="186"/>
      <c r="B612" s="189"/>
      <c r="C612" s="189"/>
      <c r="D612" s="230"/>
      <c r="E612" s="230"/>
      <c r="F612" s="231"/>
      <c r="G612" s="189"/>
      <c r="H612" s="230"/>
      <c r="I612" s="230"/>
      <c r="J612" s="232"/>
      <c r="K612" s="233"/>
      <c r="L612" s="186"/>
      <c r="M612" s="186"/>
      <c r="N612" s="186"/>
      <c r="O612" s="234"/>
      <c r="P612" s="186"/>
      <c r="Q612" s="234"/>
      <c r="R612" s="234"/>
      <c r="S612" s="186"/>
      <c r="T612" s="186"/>
      <c r="U612" s="186"/>
      <c r="V612" s="186"/>
      <c r="W612" s="186"/>
      <c r="X612" s="186"/>
      <c r="Y612" s="186"/>
      <c r="Z612" s="186"/>
    </row>
    <row r="613" spans="1:26" ht="12.75" customHeight="1">
      <c r="A613" s="186"/>
      <c r="B613" s="189"/>
      <c r="C613" s="189"/>
      <c r="D613" s="230"/>
      <c r="E613" s="230"/>
      <c r="F613" s="231"/>
      <c r="G613" s="189"/>
      <c r="H613" s="230"/>
      <c r="I613" s="230"/>
      <c r="J613" s="232"/>
      <c r="K613" s="233"/>
      <c r="L613" s="186"/>
      <c r="M613" s="186"/>
      <c r="N613" s="186"/>
      <c r="O613" s="234"/>
      <c r="P613" s="186"/>
      <c r="Q613" s="234"/>
      <c r="R613" s="234"/>
      <c r="S613" s="186"/>
      <c r="T613" s="186"/>
      <c r="U613" s="186"/>
      <c r="V613" s="186"/>
      <c r="W613" s="186"/>
      <c r="X613" s="186"/>
      <c r="Y613" s="186"/>
      <c r="Z613" s="186"/>
    </row>
    <row r="614" spans="1:26" ht="12.75" customHeight="1">
      <c r="A614" s="186"/>
      <c r="B614" s="189"/>
      <c r="C614" s="189"/>
      <c r="D614" s="230"/>
      <c r="E614" s="230"/>
      <c r="F614" s="231"/>
      <c r="G614" s="189"/>
      <c r="H614" s="230"/>
      <c r="I614" s="230"/>
      <c r="J614" s="232"/>
      <c r="K614" s="233"/>
      <c r="L614" s="186"/>
      <c r="M614" s="186"/>
      <c r="N614" s="186"/>
      <c r="O614" s="234"/>
      <c r="P614" s="186"/>
      <c r="Q614" s="234"/>
      <c r="R614" s="234"/>
      <c r="S614" s="186"/>
      <c r="T614" s="186"/>
      <c r="U614" s="186"/>
      <c r="V614" s="186"/>
      <c r="W614" s="186"/>
      <c r="X614" s="186"/>
      <c r="Y614" s="186"/>
      <c r="Z614" s="186"/>
    </row>
    <row r="615" spans="1:26" ht="12.75" customHeight="1">
      <c r="A615" s="186"/>
      <c r="B615" s="189"/>
      <c r="C615" s="189"/>
      <c r="D615" s="230"/>
      <c r="E615" s="230"/>
      <c r="F615" s="231"/>
      <c r="G615" s="189"/>
      <c r="H615" s="230"/>
      <c r="I615" s="230"/>
      <c r="J615" s="232"/>
      <c r="K615" s="233"/>
      <c r="L615" s="186"/>
      <c r="M615" s="186"/>
      <c r="N615" s="186"/>
      <c r="O615" s="234"/>
      <c r="P615" s="186"/>
      <c r="Q615" s="234"/>
      <c r="R615" s="234"/>
      <c r="S615" s="186"/>
      <c r="T615" s="186"/>
      <c r="U615" s="186"/>
      <c r="V615" s="186"/>
      <c r="W615" s="186"/>
      <c r="X615" s="186"/>
      <c r="Y615" s="186"/>
      <c r="Z615" s="186"/>
    </row>
    <row r="616" spans="1:26" ht="12.75" customHeight="1">
      <c r="A616" s="186"/>
      <c r="B616" s="189"/>
      <c r="C616" s="189"/>
      <c r="D616" s="230"/>
      <c r="E616" s="230"/>
      <c r="F616" s="231"/>
      <c r="G616" s="189"/>
      <c r="H616" s="230"/>
      <c r="I616" s="230"/>
      <c r="J616" s="232"/>
      <c r="K616" s="233"/>
      <c r="L616" s="186"/>
      <c r="M616" s="186"/>
      <c r="N616" s="186"/>
      <c r="O616" s="234"/>
      <c r="P616" s="186"/>
      <c r="Q616" s="234"/>
      <c r="R616" s="234"/>
      <c r="S616" s="186"/>
      <c r="T616" s="186"/>
      <c r="U616" s="186"/>
      <c r="V616" s="186"/>
      <c r="W616" s="186"/>
      <c r="X616" s="186"/>
      <c r="Y616" s="186"/>
      <c r="Z616" s="186"/>
    </row>
    <row r="617" spans="1:26" ht="12.75" customHeight="1">
      <c r="A617" s="186"/>
      <c r="B617" s="189"/>
      <c r="C617" s="189"/>
      <c r="D617" s="230"/>
      <c r="E617" s="230"/>
      <c r="F617" s="231"/>
      <c r="G617" s="189"/>
      <c r="H617" s="230"/>
      <c r="I617" s="230"/>
      <c r="J617" s="232"/>
      <c r="K617" s="233"/>
      <c r="L617" s="186"/>
      <c r="M617" s="186"/>
      <c r="N617" s="186"/>
      <c r="O617" s="234"/>
      <c r="P617" s="186"/>
      <c r="Q617" s="234"/>
      <c r="R617" s="234"/>
      <c r="S617" s="186"/>
      <c r="T617" s="186"/>
      <c r="U617" s="186"/>
      <c r="V617" s="186"/>
      <c r="W617" s="186"/>
      <c r="X617" s="186"/>
      <c r="Y617" s="186"/>
      <c r="Z617" s="186"/>
    </row>
    <row r="618" spans="1:26" ht="12.75" customHeight="1">
      <c r="A618" s="186"/>
      <c r="B618" s="189"/>
      <c r="C618" s="189"/>
      <c r="D618" s="230"/>
      <c r="E618" s="230"/>
      <c r="F618" s="231"/>
      <c r="G618" s="189"/>
      <c r="H618" s="230"/>
      <c r="I618" s="230"/>
      <c r="J618" s="232"/>
      <c r="K618" s="233"/>
      <c r="L618" s="186"/>
      <c r="M618" s="186"/>
      <c r="N618" s="186"/>
      <c r="O618" s="234"/>
      <c r="P618" s="186"/>
      <c r="Q618" s="234"/>
      <c r="R618" s="234"/>
      <c r="S618" s="186"/>
      <c r="T618" s="186"/>
      <c r="U618" s="186"/>
      <c r="V618" s="186"/>
      <c r="W618" s="186"/>
      <c r="X618" s="186"/>
      <c r="Y618" s="186"/>
      <c r="Z618" s="186"/>
    </row>
    <row r="619" spans="1:26" ht="12.75" customHeight="1">
      <c r="A619" s="186"/>
      <c r="B619" s="189"/>
      <c r="C619" s="189"/>
      <c r="D619" s="230"/>
      <c r="E619" s="230"/>
      <c r="F619" s="231"/>
      <c r="G619" s="189"/>
      <c r="H619" s="230"/>
      <c r="I619" s="230"/>
      <c r="J619" s="232"/>
      <c r="K619" s="233"/>
      <c r="L619" s="186"/>
      <c r="M619" s="186"/>
      <c r="N619" s="186"/>
      <c r="O619" s="234"/>
      <c r="P619" s="186"/>
      <c r="Q619" s="234"/>
      <c r="R619" s="234"/>
      <c r="S619" s="186"/>
      <c r="T619" s="186"/>
      <c r="U619" s="186"/>
      <c r="V619" s="186"/>
      <c r="W619" s="186"/>
      <c r="X619" s="186"/>
      <c r="Y619" s="186"/>
      <c r="Z619" s="186"/>
    </row>
    <row r="620" spans="1:26" ht="12.75" customHeight="1">
      <c r="A620" s="186"/>
      <c r="B620" s="189"/>
      <c r="C620" s="189"/>
      <c r="D620" s="230"/>
      <c r="E620" s="230"/>
      <c r="F620" s="231"/>
      <c r="G620" s="189"/>
      <c r="H620" s="230"/>
      <c r="I620" s="230"/>
      <c r="J620" s="232"/>
      <c r="K620" s="233"/>
      <c r="L620" s="186"/>
      <c r="M620" s="186"/>
      <c r="N620" s="186"/>
      <c r="O620" s="234"/>
      <c r="P620" s="186"/>
      <c r="Q620" s="234"/>
      <c r="R620" s="234"/>
      <c r="S620" s="186"/>
      <c r="T620" s="186"/>
      <c r="U620" s="186"/>
      <c r="V620" s="186"/>
      <c r="W620" s="186"/>
      <c r="X620" s="186"/>
      <c r="Y620" s="186"/>
      <c r="Z620" s="186"/>
    </row>
    <row r="621" spans="1:26" ht="12.75" customHeight="1">
      <c r="A621" s="186"/>
      <c r="B621" s="189"/>
      <c r="C621" s="189"/>
      <c r="D621" s="230"/>
      <c r="E621" s="230"/>
      <c r="F621" s="231"/>
      <c r="G621" s="189"/>
      <c r="H621" s="230"/>
      <c r="I621" s="230"/>
      <c r="J621" s="232"/>
      <c r="K621" s="233"/>
      <c r="L621" s="186"/>
      <c r="M621" s="186"/>
      <c r="N621" s="186"/>
      <c r="O621" s="234"/>
      <c r="P621" s="186"/>
      <c r="Q621" s="234"/>
      <c r="R621" s="234"/>
      <c r="S621" s="186"/>
      <c r="T621" s="186"/>
      <c r="U621" s="186"/>
      <c r="V621" s="186"/>
      <c r="W621" s="186"/>
      <c r="X621" s="186"/>
      <c r="Y621" s="186"/>
      <c r="Z621" s="186"/>
    </row>
    <row r="622" spans="1:26" ht="12.75" customHeight="1">
      <c r="A622" s="186"/>
      <c r="B622" s="189"/>
      <c r="C622" s="189"/>
      <c r="D622" s="230"/>
      <c r="E622" s="230"/>
      <c r="F622" s="231"/>
      <c r="G622" s="189"/>
      <c r="H622" s="230"/>
      <c r="I622" s="230"/>
      <c r="J622" s="232"/>
      <c r="K622" s="233"/>
      <c r="L622" s="186"/>
      <c r="M622" s="186"/>
      <c r="N622" s="186"/>
      <c r="O622" s="234"/>
      <c r="P622" s="186"/>
      <c r="Q622" s="234"/>
      <c r="R622" s="234"/>
      <c r="S622" s="186"/>
      <c r="T622" s="186"/>
      <c r="U622" s="186"/>
      <c r="V622" s="186"/>
      <c r="W622" s="186"/>
      <c r="X622" s="186"/>
      <c r="Y622" s="186"/>
      <c r="Z622" s="186"/>
    </row>
    <row r="623" spans="1:26" ht="12.75" customHeight="1">
      <c r="A623" s="186"/>
      <c r="B623" s="189"/>
      <c r="C623" s="189"/>
      <c r="D623" s="230"/>
      <c r="E623" s="230"/>
      <c r="F623" s="231"/>
      <c r="G623" s="189"/>
      <c r="H623" s="230"/>
      <c r="I623" s="230"/>
      <c r="J623" s="232"/>
      <c r="K623" s="233"/>
      <c r="L623" s="186"/>
      <c r="M623" s="186"/>
      <c r="N623" s="186"/>
      <c r="O623" s="234"/>
      <c r="P623" s="186"/>
      <c r="Q623" s="234"/>
      <c r="R623" s="234"/>
      <c r="S623" s="186"/>
      <c r="T623" s="186"/>
      <c r="U623" s="186"/>
      <c r="V623" s="186"/>
      <c r="W623" s="186"/>
      <c r="X623" s="186"/>
      <c r="Y623" s="186"/>
      <c r="Z623" s="186"/>
    </row>
    <row r="624" spans="1:26" ht="12.75" customHeight="1">
      <c r="A624" s="186"/>
      <c r="B624" s="189"/>
      <c r="C624" s="189"/>
      <c r="D624" s="230"/>
      <c r="E624" s="230"/>
      <c r="F624" s="231"/>
      <c r="G624" s="189"/>
      <c r="H624" s="230"/>
      <c r="I624" s="230"/>
      <c r="J624" s="232"/>
      <c r="K624" s="233"/>
      <c r="L624" s="186"/>
      <c r="M624" s="186"/>
      <c r="N624" s="186"/>
      <c r="O624" s="234"/>
      <c r="P624" s="186"/>
      <c r="Q624" s="234"/>
      <c r="R624" s="234"/>
      <c r="S624" s="186"/>
      <c r="T624" s="186"/>
      <c r="U624" s="186"/>
      <c r="V624" s="186"/>
      <c r="W624" s="186"/>
      <c r="X624" s="186"/>
      <c r="Y624" s="186"/>
      <c r="Z624" s="186"/>
    </row>
    <row r="625" spans="1:26" ht="12.75" customHeight="1">
      <c r="A625" s="186"/>
      <c r="B625" s="189"/>
      <c r="C625" s="189"/>
      <c r="D625" s="230"/>
      <c r="E625" s="230"/>
      <c r="F625" s="231"/>
      <c r="G625" s="189"/>
      <c r="H625" s="230"/>
      <c r="I625" s="230"/>
      <c r="J625" s="232"/>
      <c r="K625" s="233"/>
      <c r="L625" s="186"/>
      <c r="M625" s="186"/>
      <c r="N625" s="186"/>
      <c r="O625" s="234"/>
      <c r="P625" s="186"/>
      <c r="Q625" s="234"/>
      <c r="R625" s="234"/>
      <c r="S625" s="186"/>
      <c r="T625" s="186"/>
      <c r="U625" s="186"/>
      <c r="V625" s="186"/>
      <c r="W625" s="186"/>
      <c r="X625" s="186"/>
      <c r="Y625" s="186"/>
      <c r="Z625" s="186"/>
    </row>
    <row r="626" spans="1:26" ht="12.75" customHeight="1">
      <c r="A626" s="186"/>
      <c r="B626" s="189"/>
      <c r="C626" s="189"/>
      <c r="D626" s="230"/>
      <c r="E626" s="230"/>
      <c r="F626" s="231"/>
      <c r="G626" s="189"/>
      <c r="H626" s="230"/>
      <c r="I626" s="230"/>
      <c r="J626" s="232"/>
      <c r="K626" s="233"/>
      <c r="L626" s="186"/>
      <c r="M626" s="186"/>
      <c r="N626" s="186"/>
      <c r="O626" s="234"/>
      <c r="P626" s="186"/>
      <c r="Q626" s="234"/>
      <c r="R626" s="234"/>
      <c r="S626" s="186"/>
      <c r="T626" s="186"/>
      <c r="U626" s="186"/>
      <c r="V626" s="186"/>
      <c r="W626" s="186"/>
      <c r="X626" s="186"/>
      <c r="Y626" s="186"/>
      <c r="Z626" s="186"/>
    </row>
    <row r="627" spans="1:26" ht="12.75" customHeight="1">
      <c r="A627" s="186"/>
      <c r="B627" s="189"/>
      <c r="C627" s="189"/>
      <c r="D627" s="230"/>
      <c r="E627" s="230"/>
      <c r="F627" s="231"/>
      <c r="G627" s="189"/>
      <c r="H627" s="230"/>
      <c r="I627" s="230"/>
      <c r="J627" s="232"/>
      <c r="K627" s="233"/>
      <c r="L627" s="186"/>
      <c r="M627" s="186"/>
      <c r="N627" s="186"/>
      <c r="O627" s="234"/>
      <c r="P627" s="186"/>
      <c r="Q627" s="234"/>
      <c r="R627" s="234"/>
      <c r="S627" s="186"/>
      <c r="T627" s="186"/>
      <c r="U627" s="186"/>
      <c r="V627" s="186"/>
      <c r="W627" s="186"/>
      <c r="X627" s="186"/>
      <c r="Y627" s="186"/>
      <c r="Z627" s="186"/>
    </row>
    <row r="628" spans="1:26" ht="12.75" customHeight="1">
      <c r="A628" s="186"/>
      <c r="B628" s="189"/>
      <c r="C628" s="189"/>
      <c r="D628" s="230"/>
      <c r="E628" s="230"/>
      <c r="F628" s="231"/>
      <c r="G628" s="189"/>
      <c r="H628" s="230"/>
      <c r="I628" s="230"/>
      <c r="J628" s="232"/>
      <c r="K628" s="233"/>
      <c r="L628" s="186"/>
      <c r="M628" s="186"/>
      <c r="N628" s="186"/>
      <c r="O628" s="234"/>
      <c r="P628" s="186"/>
      <c r="Q628" s="234"/>
      <c r="R628" s="234"/>
      <c r="S628" s="186"/>
      <c r="T628" s="186"/>
      <c r="U628" s="186"/>
      <c r="V628" s="186"/>
      <c r="W628" s="186"/>
      <c r="X628" s="186"/>
      <c r="Y628" s="186"/>
      <c r="Z628" s="186"/>
    </row>
    <row r="629" spans="1:26" ht="12.75" customHeight="1">
      <c r="A629" s="186"/>
      <c r="B629" s="189"/>
      <c r="C629" s="189"/>
      <c r="D629" s="230"/>
      <c r="E629" s="230"/>
      <c r="F629" s="231"/>
      <c r="G629" s="189"/>
      <c r="H629" s="230"/>
      <c r="I629" s="230"/>
      <c r="J629" s="232"/>
      <c r="K629" s="233"/>
      <c r="L629" s="186"/>
      <c r="M629" s="186"/>
      <c r="N629" s="186"/>
      <c r="O629" s="234"/>
      <c r="P629" s="186"/>
      <c r="Q629" s="234"/>
      <c r="R629" s="234"/>
      <c r="S629" s="186"/>
      <c r="T629" s="186"/>
      <c r="U629" s="186"/>
      <c r="V629" s="186"/>
      <c r="W629" s="186"/>
      <c r="X629" s="186"/>
      <c r="Y629" s="186"/>
      <c r="Z629" s="186"/>
    </row>
    <row r="630" spans="1:26" ht="12.75" customHeight="1">
      <c r="A630" s="186"/>
      <c r="B630" s="189"/>
      <c r="C630" s="189"/>
      <c r="D630" s="230"/>
      <c r="E630" s="230"/>
      <c r="F630" s="231"/>
      <c r="G630" s="189"/>
      <c r="H630" s="230"/>
      <c r="I630" s="230"/>
      <c r="J630" s="232"/>
      <c r="K630" s="233"/>
      <c r="L630" s="186"/>
      <c r="M630" s="186"/>
      <c r="N630" s="186"/>
      <c r="O630" s="234"/>
      <c r="P630" s="186"/>
      <c r="Q630" s="234"/>
      <c r="R630" s="234"/>
      <c r="S630" s="186"/>
      <c r="T630" s="186"/>
      <c r="U630" s="186"/>
      <c r="V630" s="186"/>
      <c r="W630" s="186"/>
      <c r="X630" s="186"/>
      <c r="Y630" s="186"/>
      <c r="Z630" s="186"/>
    </row>
    <row r="631" spans="1:26" ht="12.75" customHeight="1">
      <c r="A631" s="186"/>
      <c r="B631" s="189"/>
      <c r="C631" s="189"/>
      <c r="D631" s="230"/>
      <c r="E631" s="230"/>
      <c r="F631" s="231"/>
      <c r="G631" s="189"/>
      <c r="H631" s="230"/>
      <c r="I631" s="230"/>
      <c r="J631" s="232"/>
      <c r="K631" s="233"/>
      <c r="L631" s="186"/>
      <c r="M631" s="186"/>
      <c r="N631" s="186"/>
      <c r="O631" s="234"/>
      <c r="P631" s="186"/>
      <c r="Q631" s="234"/>
      <c r="R631" s="234"/>
      <c r="S631" s="186"/>
      <c r="T631" s="186"/>
      <c r="U631" s="186"/>
      <c r="V631" s="186"/>
      <c r="W631" s="186"/>
      <c r="X631" s="186"/>
      <c r="Y631" s="186"/>
      <c r="Z631" s="186"/>
    </row>
    <row r="632" spans="1:26" ht="12.75" customHeight="1">
      <c r="A632" s="186"/>
      <c r="B632" s="189"/>
      <c r="C632" s="189"/>
      <c r="D632" s="230"/>
      <c r="E632" s="230"/>
      <c r="F632" s="231"/>
      <c r="G632" s="189"/>
      <c r="H632" s="230"/>
      <c r="I632" s="230"/>
      <c r="J632" s="232"/>
      <c r="K632" s="233"/>
      <c r="L632" s="186"/>
      <c r="M632" s="186"/>
      <c r="N632" s="186"/>
      <c r="O632" s="234"/>
      <c r="P632" s="186"/>
      <c r="Q632" s="234"/>
      <c r="R632" s="234"/>
      <c r="S632" s="186"/>
      <c r="T632" s="186"/>
      <c r="U632" s="186"/>
      <c r="V632" s="186"/>
      <c r="W632" s="186"/>
      <c r="X632" s="186"/>
      <c r="Y632" s="186"/>
      <c r="Z632" s="186"/>
    </row>
    <row r="633" spans="1:26" ht="12.75" customHeight="1">
      <c r="A633" s="186"/>
      <c r="B633" s="189"/>
      <c r="C633" s="189"/>
      <c r="D633" s="230"/>
      <c r="E633" s="230"/>
      <c r="F633" s="231"/>
      <c r="G633" s="189"/>
      <c r="H633" s="230"/>
      <c r="I633" s="230"/>
      <c r="J633" s="232"/>
      <c r="K633" s="233"/>
      <c r="L633" s="186"/>
      <c r="M633" s="186"/>
      <c r="N633" s="186"/>
      <c r="O633" s="234"/>
      <c r="P633" s="186"/>
      <c r="Q633" s="234"/>
      <c r="R633" s="234"/>
      <c r="S633" s="186"/>
      <c r="T633" s="186"/>
      <c r="U633" s="186"/>
      <c r="V633" s="186"/>
      <c r="W633" s="186"/>
      <c r="X633" s="186"/>
      <c r="Y633" s="186"/>
      <c r="Z633" s="186"/>
    </row>
    <row r="634" spans="1:26" ht="12.75" customHeight="1">
      <c r="A634" s="186"/>
      <c r="B634" s="189"/>
      <c r="C634" s="189"/>
      <c r="D634" s="230"/>
      <c r="E634" s="230"/>
      <c r="F634" s="231"/>
      <c r="G634" s="189"/>
      <c r="H634" s="230"/>
      <c r="I634" s="230"/>
      <c r="J634" s="232"/>
      <c r="K634" s="233"/>
      <c r="L634" s="186"/>
      <c r="M634" s="186"/>
      <c r="N634" s="186"/>
      <c r="O634" s="234"/>
      <c r="P634" s="186"/>
      <c r="Q634" s="234"/>
      <c r="R634" s="234"/>
      <c r="S634" s="186"/>
      <c r="T634" s="186"/>
      <c r="U634" s="186"/>
      <c r="V634" s="186"/>
      <c r="W634" s="186"/>
      <c r="X634" s="186"/>
      <c r="Y634" s="186"/>
      <c r="Z634" s="186"/>
    </row>
    <row r="635" spans="1:26" ht="12.75" customHeight="1">
      <c r="A635" s="186"/>
      <c r="B635" s="189"/>
      <c r="C635" s="189"/>
      <c r="D635" s="230"/>
      <c r="E635" s="230"/>
      <c r="F635" s="231"/>
      <c r="G635" s="189"/>
      <c r="H635" s="230"/>
      <c r="I635" s="230"/>
      <c r="J635" s="232"/>
      <c r="K635" s="233"/>
      <c r="L635" s="186"/>
      <c r="M635" s="186"/>
      <c r="N635" s="186"/>
      <c r="O635" s="234"/>
      <c r="P635" s="186"/>
      <c r="Q635" s="234"/>
      <c r="R635" s="234"/>
      <c r="S635" s="186"/>
      <c r="T635" s="186"/>
      <c r="U635" s="186"/>
      <c r="V635" s="186"/>
      <c r="W635" s="186"/>
      <c r="X635" s="186"/>
      <c r="Y635" s="186"/>
      <c r="Z635" s="186"/>
    </row>
    <row r="636" spans="1:26" ht="12.75" customHeight="1">
      <c r="A636" s="186"/>
      <c r="B636" s="189"/>
      <c r="C636" s="189"/>
      <c r="D636" s="230"/>
      <c r="E636" s="230"/>
      <c r="F636" s="231"/>
      <c r="G636" s="189"/>
      <c r="H636" s="230"/>
      <c r="I636" s="230"/>
      <c r="J636" s="232"/>
      <c r="K636" s="233"/>
      <c r="L636" s="186"/>
      <c r="M636" s="186"/>
      <c r="N636" s="186"/>
      <c r="O636" s="234"/>
      <c r="P636" s="186"/>
      <c r="Q636" s="234"/>
      <c r="R636" s="234"/>
      <c r="S636" s="186"/>
      <c r="T636" s="186"/>
      <c r="U636" s="186"/>
      <c r="V636" s="186"/>
      <c r="W636" s="186"/>
      <c r="X636" s="186"/>
      <c r="Y636" s="186"/>
      <c r="Z636" s="186"/>
    </row>
    <row r="637" spans="1:26" ht="12.75" customHeight="1">
      <c r="A637" s="186"/>
      <c r="B637" s="189"/>
      <c r="C637" s="189"/>
      <c r="D637" s="230"/>
      <c r="E637" s="230"/>
      <c r="F637" s="231"/>
      <c r="G637" s="189"/>
      <c r="H637" s="230"/>
      <c r="I637" s="230"/>
      <c r="J637" s="232"/>
      <c r="K637" s="233"/>
      <c r="L637" s="186"/>
      <c r="M637" s="186"/>
      <c r="N637" s="186"/>
      <c r="O637" s="234"/>
      <c r="P637" s="186"/>
      <c r="Q637" s="234"/>
      <c r="R637" s="234"/>
      <c r="S637" s="186"/>
      <c r="T637" s="186"/>
      <c r="U637" s="186"/>
      <c r="V637" s="186"/>
      <c r="W637" s="186"/>
      <c r="X637" s="186"/>
      <c r="Y637" s="186"/>
      <c r="Z637" s="186"/>
    </row>
    <row r="638" spans="1:26" ht="12.75" customHeight="1">
      <c r="A638" s="186"/>
      <c r="B638" s="189"/>
      <c r="C638" s="189"/>
      <c r="D638" s="230"/>
      <c r="E638" s="230"/>
      <c r="F638" s="231"/>
      <c r="G638" s="189"/>
      <c r="H638" s="230"/>
      <c r="I638" s="230"/>
      <c r="J638" s="232"/>
      <c r="K638" s="233"/>
      <c r="L638" s="186"/>
      <c r="M638" s="186"/>
      <c r="N638" s="186"/>
      <c r="O638" s="234"/>
      <c r="P638" s="186"/>
      <c r="Q638" s="234"/>
      <c r="R638" s="234"/>
      <c r="S638" s="186"/>
      <c r="T638" s="186"/>
      <c r="U638" s="186"/>
      <c r="V638" s="186"/>
      <c r="W638" s="186"/>
      <c r="X638" s="186"/>
      <c r="Y638" s="186"/>
      <c r="Z638" s="186"/>
    </row>
    <row r="639" spans="1:26" ht="12.75" customHeight="1">
      <c r="A639" s="186"/>
      <c r="B639" s="189"/>
      <c r="C639" s="189"/>
      <c r="D639" s="230"/>
      <c r="E639" s="230"/>
      <c r="F639" s="231"/>
      <c r="G639" s="189"/>
      <c r="H639" s="230"/>
      <c r="I639" s="230"/>
      <c r="J639" s="232"/>
      <c r="K639" s="233"/>
      <c r="L639" s="186"/>
      <c r="M639" s="186"/>
      <c r="N639" s="186"/>
      <c r="O639" s="234"/>
      <c r="P639" s="186"/>
      <c r="Q639" s="234"/>
      <c r="R639" s="234"/>
      <c r="S639" s="186"/>
      <c r="T639" s="186"/>
      <c r="U639" s="186"/>
      <c r="V639" s="186"/>
      <c r="W639" s="186"/>
      <c r="X639" s="186"/>
      <c r="Y639" s="186"/>
      <c r="Z639" s="186"/>
    </row>
    <row r="640" spans="1:26" ht="12.75" customHeight="1">
      <c r="A640" s="186"/>
      <c r="B640" s="189"/>
      <c r="C640" s="189"/>
      <c r="D640" s="230"/>
      <c r="E640" s="230"/>
      <c r="F640" s="231"/>
      <c r="G640" s="189"/>
      <c r="H640" s="230"/>
      <c r="I640" s="230"/>
      <c r="J640" s="232"/>
      <c r="K640" s="233"/>
      <c r="L640" s="186"/>
      <c r="M640" s="186"/>
      <c r="N640" s="186"/>
      <c r="O640" s="234"/>
      <c r="P640" s="186"/>
      <c r="Q640" s="234"/>
      <c r="R640" s="234"/>
      <c r="S640" s="186"/>
      <c r="T640" s="186"/>
      <c r="U640" s="186"/>
      <c r="V640" s="186"/>
      <c r="W640" s="186"/>
      <c r="X640" s="186"/>
      <c r="Y640" s="186"/>
      <c r="Z640" s="186"/>
    </row>
    <row r="641" spans="1:26" ht="12.75" customHeight="1">
      <c r="A641" s="186"/>
      <c r="B641" s="189"/>
      <c r="C641" s="189"/>
      <c r="D641" s="230"/>
      <c r="E641" s="230"/>
      <c r="F641" s="231"/>
      <c r="G641" s="189"/>
      <c r="H641" s="230"/>
      <c r="I641" s="230"/>
      <c r="J641" s="232"/>
      <c r="K641" s="233"/>
      <c r="L641" s="186"/>
      <c r="M641" s="186"/>
      <c r="N641" s="186"/>
      <c r="O641" s="234"/>
      <c r="P641" s="186"/>
      <c r="Q641" s="234"/>
      <c r="R641" s="234"/>
      <c r="S641" s="186"/>
      <c r="T641" s="186"/>
      <c r="U641" s="186"/>
      <c r="V641" s="186"/>
      <c r="W641" s="186"/>
      <c r="X641" s="186"/>
      <c r="Y641" s="186"/>
      <c r="Z641" s="186"/>
    </row>
    <row r="642" spans="1:26" ht="12.75" customHeight="1">
      <c r="A642" s="186"/>
      <c r="B642" s="189"/>
      <c r="C642" s="189"/>
      <c r="D642" s="230"/>
      <c r="E642" s="230"/>
      <c r="F642" s="231"/>
      <c r="G642" s="189"/>
      <c r="H642" s="230"/>
      <c r="I642" s="230"/>
      <c r="J642" s="232"/>
      <c r="K642" s="233"/>
      <c r="L642" s="186"/>
      <c r="M642" s="186"/>
      <c r="N642" s="186"/>
      <c r="O642" s="234"/>
      <c r="P642" s="186"/>
      <c r="Q642" s="234"/>
      <c r="R642" s="234"/>
      <c r="S642" s="186"/>
      <c r="T642" s="186"/>
      <c r="U642" s="186"/>
      <c r="V642" s="186"/>
      <c r="W642" s="186"/>
      <c r="X642" s="186"/>
      <c r="Y642" s="186"/>
      <c r="Z642" s="186"/>
    </row>
    <row r="643" spans="1:26" ht="12.75" customHeight="1">
      <c r="A643" s="186"/>
      <c r="B643" s="189"/>
      <c r="C643" s="189"/>
      <c r="D643" s="230"/>
      <c r="E643" s="230"/>
      <c r="F643" s="231"/>
      <c r="G643" s="189"/>
      <c r="H643" s="230"/>
      <c r="I643" s="230"/>
      <c r="J643" s="232"/>
      <c r="K643" s="233"/>
      <c r="L643" s="186"/>
      <c r="M643" s="186"/>
      <c r="N643" s="186"/>
      <c r="O643" s="234"/>
      <c r="P643" s="186"/>
      <c r="Q643" s="234"/>
      <c r="R643" s="234"/>
      <c r="S643" s="186"/>
      <c r="T643" s="186"/>
      <c r="U643" s="186"/>
      <c r="V643" s="186"/>
      <c r="W643" s="186"/>
      <c r="X643" s="186"/>
      <c r="Y643" s="186"/>
      <c r="Z643" s="186"/>
    </row>
    <row r="644" spans="1:26" ht="12.75" customHeight="1">
      <c r="A644" s="186"/>
      <c r="B644" s="189"/>
      <c r="C644" s="189"/>
      <c r="D644" s="230"/>
      <c r="E644" s="230"/>
      <c r="F644" s="231"/>
      <c r="G644" s="189"/>
      <c r="H644" s="230"/>
      <c r="I644" s="230"/>
      <c r="J644" s="232"/>
      <c r="K644" s="233"/>
      <c r="L644" s="186"/>
      <c r="M644" s="186"/>
      <c r="N644" s="186"/>
      <c r="O644" s="234"/>
      <c r="P644" s="186"/>
      <c r="Q644" s="234"/>
      <c r="R644" s="234"/>
      <c r="S644" s="186"/>
      <c r="T644" s="186"/>
      <c r="U644" s="186"/>
      <c r="V644" s="186"/>
      <c r="W644" s="186"/>
      <c r="X644" s="186"/>
      <c r="Y644" s="186"/>
      <c r="Z644" s="186"/>
    </row>
    <row r="645" spans="1:26" ht="12.75" customHeight="1">
      <c r="A645" s="186"/>
      <c r="B645" s="189"/>
      <c r="C645" s="189"/>
      <c r="D645" s="230"/>
      <c r="E645" s="230"/>
      <c r="F645" s="231"/>
      <c r="G645" s="189"/>
      <c r="H645" s="230"/>
      <c r="I645" s="230"/>
      <c r="J645" s="232"/>
      <c r="K645" s="233"/>
      <c r="L645" s="186"/>
      <c r="M645" s="186"/>
      <c r="N645" s="186"/>
      <c r="O645" s="234"/>
      <c r="P645" s="186"/>
      <c r="Q645" s="234"/>
      <c r="R645" s="234"/>
      <c r="S645" s="186"/>
      <c r="T645" s="186"/>
      <c r="U645" s="186"/>
      <c r="V645" s="186"/>
      <c r="W645" s="186"/>
      <c r="X645" s="186"/>
      <c r="Y645" s="186"/>
      <c r="Z645" s="186"/>
    </row>
    <row r="646" spans="1:26" ht="12.75" customHeight="1">
      <c r="A646" s="186"/>
      <c r="B646" s="189"/>
      <c r="C646" s="189"/>
      <c r="D646" s="230"/>
      <c r="E646" s="230"/>
      <c r="F646" s="231"/>
      <c r="G646" s="189"/>
      <c r="H646" s="230"/>
      <c r="I646" s="230"/>
      <c r="J646" s="232"/>
      <c r="K646" s="233"/>
      <c r="L646" s="186"/>
      <c r="M646" s="186"/>
      <c r="N646" s="186"/>
      <c r="O646" s="234"/>
      <c r="P646" s="186"/>
      <c r="Q646" s="234"/>
      <c r="R646" s="234"/>
      <c r="S646" s="186"/>
      <c r="T646" s="186"/>
      <c r="U646" s="186"/>
      <c r="V646" s="186"/>
      <c r="W646" s="186"/>
      <c r="X646" s="186"/>
      <c r="Y646" s="186"/>
      <c r="Z646" s="186"/>
    </row>
    <row r="647" spans="1:26" ht="12.75" customHeight="1">
      <c r="A647" s="186"/>
      <c r="B647" s="189"/>
      <c r="C647" s="189"/>
      <c r="D647" s="230"/>
      <c r="E647" s="230"/>
      <c r="F647" s="231"/>
      <c r="G647" s="189"/>
      <c r="H647" s="230"/>
      <c r="I647" s="230"/>
      <c r="J647" s="232"/>
      <c r="K647" s="233"/>
      <c r="L647" s="186"/>
      <c r="M647" s="186"/>
      <c r="N647" s="186"/>
      <c r="O647" s="234"/>
      <c r="P647" s="186"/>
      <c r="Q647" s="234"/>
      <c r="R647" s="234"/>
      <c r="S647" s="186"/>
      <c r="T647" s="186"/>
      <c r="U647" s="186"/>
      <c r="V647" s="186"/>
      <c r="W647" s="186"/>
      <c r="X647" s="186"/>
      <c r="Y647" s="186"/>
      <c r="Z647" s="186"/>
    </row>
    <row r="648" spans="1:26" ht="12.75" customHeight="1">
      <c r="A648" s="186"/>
      <c r="B648" s="189"/>
      <c r="C648" s="189"/>
      <c r="D648" s="230"/>
      <c r="E648" s="230"/>
      <c r="F648" s="231"/>
      <c r="G648" s="189"/>
      <c r="H648" s="230"/>
      <c r="I648" s="230"/>
      <c r="J648" s="232"/>
      <c r="K648" s="233"/>
      <c r="L648" s="186"/>
      <c r="M648" s="186"/>
      <c r="N648" s="186"/>
      <c r="O648" s="234"/>
      <c r="P648" s="186"/>
      <c r="Q648" s="234"/>
      <c r="R648" s="234"/>
      <c r="S648" s="186"/>
      <c r="T648" s="186"/>
      <c r="U648" s="186"/>
      <c r="V648" s="186"/>
      <c r="W648" s="186"/>
      <c r="X648" s="186"/>
      <c r="Y648" s="186"/>
      <c r="Z648" s="186"/>
    </row>
    <row r="649" spans="1:26" ht="12.75" customHeight="1">
      <c r="A649" s="186"/>
      <c r="B649" s="189"/>
      <c r="C649" s="189"/>
      <c r="D649" s="230"/>
      <c r="E649" s="230"/>
      <c r="F649" s="231"/>
      <c r="G649" s="189"/>
      <c r="H649" s="230"/>
      <c r="I649" s="230"/>
      <c r="J649" s="232"/>
      <c r="K649" s="233"/>
      <c r="L649" s="186"/>
      <c r="M649" s="186"/>
      <c r="N649" s="186"/>
      <c r="O649" s="234"/>
      <c r="P649" s="186"/>
      <c r="Q649" s="234"/>
      <c r="R649" s="234"/>
      <c r="S649" s="186"/>
      <c r="T649" s="186"/>
      <c r="U649" s="186"/>
      <c r="V649" s="186"/>
      <c r="W649" s="186"/>
      <c r="X649" s="186"/>
      <c r="Y649" s="186"/>
      <c r="Z649" s="186"/>
    </row>
    <row r="650" spans="1:26" ht="12.75" customHeight="1">
      <c r="A650" s="186"/>
      <c r="B650" s="189"/>
      <c r="C650" s="189"/>
      <c r="D650" s="230"/>
      <c r="E650" s="230"/>
      <c r="F650" s="231"/>
      <c r="G650" s="189"/>
      <c r="H650" s="230"/>
      <c r="I650" s="230"/>
      <c r="J650" s="232"/>
      <c r="K650" s="233"/>
      <c r="L650" s="186"/>
      <c r="M650" s="186"/>
      <c r="N650" s="186"/>
      <c r="O650" s="234"/>
      <c r="P650" s="186"/>
      <c r="Q650" s="234"/>
      <c r="R650" s="234"/>
      <c r="S650" s="186"/>
      <c r="T650" s="186"/>
      <c r="U650" s="186"/>
      <c r="V650" s="186"/>
      <c r="W650" s="186"/>
      <c r="X650" s="186"/>
      <c r="Y650" s="186"/>
      <c r="Z650" s="186"/>
    </row>
    <row r="651" spans="1:26" ht="12.75" customHeight="1">
      <c r="A651" s="186"/>
      <c r="B651" s="189"/>
      <c r="C651" s="189"/>
      <c r="D651" s="230"/>
      <c r="E651" s="230"/>
      <c r="F651" s="231"/>
      <c r="G651" s="189"/>
      <c r="H651" s="230"/>
      <c r="I651" s="230"/>
      <c r="J651" s="232"/>
      <c r="K651" s="233"/>
      <c r="L651" s="186"/>
      <c r="M651" s="186"/>
      <c r="N651" s="186"/>
      <c r="O651" s="234"/>
      <c r="P651" s="186"/>
      <c r="Q651" s="234"/>
      <c r="R651" s="234"/>
      <c r="S651" s="186"/>
      <c r="T651" s="186"/>
      <c r="U651" s="186"/>
      <c r="V651" s="186"/>
      <c r="W651" s="186"/>
      <c r="X651" s="186"/>
      <c r="Y651" s="186"/>
      <c r="Z651" s="186"/>
    </row>
    <row r="652" spans="1:26" ht="12.75" customHeight="1">
      <c r="A652" s="186"/>
      <c r="B652" s="189"/>
      <c r="C652" s="189"/>
      <c r="D652" s="230"/>
      <c r="E652" s="230"/>
      <c r="F652" s="231"/>
      <c r="G652" s="189"/>
      <c r="H652" s="230"/>
      <c r="I652" s="230"/>
      <c r="J652" s="232"/>
      <c r="K652" s="233"/>
      <c r="L652" s="186"/>
      <c r="M652" s="186"/>
      <c r="N652" s="186"/>
      <c r="O652" s="234"/>
      <c r="P652" s="186"/>
      <c r="Q652" s="234"/>
      <c r="R652" s="234"/>
      <c r="S652" s="186"/>
      <c r="T652" s="186"/>
      <c r="U652" s="186"/>
      <c r="V652" s="186"/>
      <c r="W652" s="186"/>
      <c r="X652" s="186"/>
      <c r="Y652" s="186"/>
      <c r="Z652" s="186"/>
    </row>
    <row r="653" spans="1:26" ht="12.75" customHeight="1">
      <c r="A653" s="186"/>
      <c r="B653" s="189"/>
      <c r="C653" s="189"/>
      <c r="D653" s="230"/>
      <c r="E653" s="230"/>
      <c r="F653" s="231"/>
      <c r="G653" s="189"/>
      <c r="H653" s="230"/>
      <c r="I653" s="230"/>
      <c r="J653" s="232"/>
      <c r="K653" s="233"/>
      <c r="L653" s="186"/>
      <c r="M653" s="186"/>
      <c r="N653" s="186"/>
      <c r="O653" s="234"/>
      <c r="P653" s="186"/>
      <c r="Q653" s="234"/>
      <c r="R653" s="234"/>
      <c r="S653" s="186"/>
      <c r="T653" s="186"/>
      <c r="U653" s="186"/>
      <c r="V653" s="186"/>
      <c r="W653" s="186"/>
      <c r="X653" s="186"/>
      <c r="Y653" s="186"/>
      <c r="Z653" s="186"/>
    </row>
    <row r="654" spans="1:26" ht="12.75" customHeight="1">
      <c r="A654" s="186"/>
      <c r="B654" s="189"/>
      <c r="C654" s="189"/>
      <c r="D654" s="230"/>
      <c r="E654" s="230"/>
      <c r="F654" s="231"/>
      <c r="G654" s="189"/>
      <c r="H654" s="230"/>
      <c r="I654" s="230"/>
      <c r="J654" s="232"/>
      <c r="K654" s="233"/>
      <c r="L654" s="186"/>
      <c r="M654" s="186"/>
      <c r="N654" s="186"/>
      <c r="O654" s="234"/>
      <c r="P654" s="186"/>
      <c r="Q654" s="234"/>
      <c r="R654" s="234"/>
      <c r="S654" s="186"/>
      <c r="T654" s="186"/>
      <c r="U654" s="186"/>
      <c r="V654" s="186"/>
      <c r="W654" s="186"/>
      <c r="X654" s="186"/>
      <c r="Y654" s="186"/>
      <c r="Z654" s="186"/>
    </row>
    <row r="655" spans="1:26" ht="12.75" customHeight="1">
      <c r="A655" s="186"/>
      <c r="B655" s="189"/>
      <c r="C655" s="189"/>
      <c r="D655" s="230"/>
      <c r="E655" s="230"/>
      <c r="F655" s="231"/>
      <c r="G655" s="189"/>
      <c r="H655" s="230"/>
      <c r="I655" s="230"/>
      <c r="J655" s="232"/>
      <c r="K655" s="233"/>
      <c r="L655" s="186"/>
      <c r="M655" s="186"/>
      <c r="N655" s="186"/>
      <c r="O655" s="234"/>
      <c r="P655" s="186"/>
      <c r="Q655" s="234"/>
      <c r="R655" s="234"/>
      <c r="S655" s="186"/>
      <c r="T655" s="186"/>
      <c r="U655" s="186"/>
      <c r="V655" s="186"/>
      <c r="W655" s="186"/>
      <c r="X655" s="186"/>
      <c r="Y655" s="186"/>
      <c r="Z655" s="186"/>
    </row>
    <row r="656" spans="1:26" ht="12.75" customHeight="1">
      <c r="A656" s="186"/>
      <c r="B656" s="189"/>
      <c r="C656" s="189"/>
      <c r="D656" s="230"/>
      <c r="E656" s="230"/>
      <c r="F656" s="231"/>
      <c r="G656" s="189"/>
      <c r="H656" s="230"/>
      <c r="I656" s="230"/>
      <c r="J656" s="232"/>
      <c r="K656" s="233"/>
      <c r="L656" s="186"/>
      <c r="M656" s="186"/>
      <c r="N656" s="186"/>
      <c r="O656" s="234"/>
      <c r="P656" s="186"/>
      <c r="Q656" s="234"/>
      <c r="R656" s="234"/>
      <c r="S656" s="186"/>
      <c r="T656" s="186"/>
      <c r="U656" s="186"/>
      <c r="V656" s="186"/>
      <c r="W656" s="186"/>
      <c r="X656" s="186"/>
      <c r="Y656" s="186"/>
      <c r="Z656" s="186"/>
    </row>
    <row r="657" spans="1:26" ht="12.75" customHeight="1">
      <c r="A657" s="186"/>
      <c r="B657" s="189"/>
      <c r="C657" s="189"/>
      <c r="D657" s="230"/>
      <c r="E657" s="230"/>
      <c r="F657" s="231"/>
      <c r="G657" s="189"/>
      <c r="H657" s="230"/>
      <c r="I657" s="230"/>
      <c r="J657" s="232"/>
      <c r="K657" s="233"/>
      <c r="L657" s="186"/>
      <c r="M657" s="186"/>
      <c r="N657" s="186"/>
      <c r="O657" s="234"/>
      <c r="P657" s="186"/>
      <c r="Q657" s="234"/>
      <c r="R657" s="234"/>
      <c r="S657" s="186"/>
      <c r="T657" s="186"/>
      <c r="U657" s="186"/>
      <c r="V657" s="186"/>
      <c r="W657" s="186"/>
      <c r="X657" s="186"/>
      <c r="Y657" s="186"/>
      <c r="Z657" s="186"/>
    </row>
    <row r="658" spans="1:26" ht="12.75" customHeight="1">
      <c r="A658" s="186"/>
      <c r="B658" s="189"/>
      <c r="C658" s="189"/>
      <c r="D658" s="230"/>
      <c r="E658" s="230"/>
      <c r="F658" s="231"/>
      <c r="G658" s="189"/>
      <c r="H658" s="230"/>
      <c r="I658" s="230"/>
      <c r="J658" s="232"/>
      <c r="K658" s="233"/>
      <c r="L658" s="186"/>
      <c r="M658" s="186"/>
      <c r="N658" s="186"/>
      <c r="O658" s="234"/>
      <c r="P658" s="186"/>
      <c r="Q658" s="234"/>
      <c r="R658" s="234"/>
      <c r="S658" s="186"/>
      <c r="T658" s="186"/>
      <c r="U658" s="186"/>
      <c r="V658" s="186"/>
      <c r="W658" s="186"/>
      <c r="X658" s="186"/>
      <c r="Y658" s="186"/>
      <c r="Z658" s="186"/>
    </row>
    <row r="659" spans="1:26" ht="12.75" customHeight="1">
      <c r="A659" s="186"/>
      <c r="B659" s="189"/>
      <c r="C659" s="189"/>
      <c r="D659" s="230"/>
      <c r="E659" s="230"/>
      <c r="F659" s="231"/>
      <c r="G659" s="189"/>
      <c r="H659" s="230"/>
      <c r="I659" s="230"/>
      <c r="J659" s="232"/>
      <c r="K659" s="233"/>
      <c r="L659" s="186"/>
      <c r="M659" s="186"/>
      <c r="N659" s="186"/>
      <c r="O659" s="234"/>
      <c r="P659" s="186"/>
      <c r="Q659" s="234"/>
      <c r="R659" s="234"/>
      <c r="S659" s="186"/>
      <c r="T659" s="186"/>
      <c r="U659" s="186"/>
      <c r="V659" s="186"/>
      <c r="W659" s="186"/>
      <c r="X659" s="186"/>
      <c r="Y659" s="186"/>
      <c r="Z659" s="186"/>
    </row>
    <row r="660" spans="1:26" ht="12.75" customHeight="1">
      <c r="A660" s="186"/>
      <c r="B660" s="189"/>
      <c r="C660" s="189"/>
      <c r="D660" s="230"/>
      <c r="E660" s="230"/>
      <c r="F660" s="231"/>
      <c r="G660" s="189"/>
      <c r="H660" s="230"/>
      <c r="I660" s="230"/>
      <c r="J660" s="232"/>
      <c r="K660" s="233"/>
      <c r="L660" s="186"/>
      <c r="M660" s="186"/>
      <c r="N660" s="186"/>
      <c r="O660" s="234"/>
      <c r="P660" s="186"/>
      <c r="Q660" s="234"/>
      <c r="R660" s="234"/>
      <c r="S660" s="186"/>
      <c r="T660" s="186"/>
      <c r="U660" s="186"/>
      <c r="V660" s="186"/>
      <c r="W660" s="186"/>
      <c r="X660" s="186"/>
      <c r="Y660" s="186"/>
      <c r="Z660" s="186"/>
    </row>
    <row r="661" spans="1:26" ht="12.75" customHeight="1">
      <c r="A661" s="186"/>
      <c r="B661" s="189"/>
      <c r="C661" s="189"/>
      <c r="D661" s="230"/>
      <c r="E661" s="230"/>
      <c r="F661" s="231"/>
      <c r="G661" s="189"/>
      <c r="H661" s="230"/>
      <c r="I661" s="230"/>
      <c r="J661" s="232"/>
      <c r="K661" s="233"/>
      <c r="L661" s="186"/>
      <c r="M661" s="186"/>
      <c r="N661" s="186"/>
      <c r="O661" s="234"/>
      <c r="P661" s="186"/>
      <c r="Q661" s="234"/>
      <c r="R661" s="234"/>
      <c r="S661" s="186"/>
      <c r="T661" s="186"/>
      <c r="U661" s="186"/>
      <c r="V661" s="186"/>
      <c r="W661" s="186"/>
      <c r="X661" s="186"/>
      <c r="Y661" s="186"/>
      <c r="Z661" s="186"/>
    </row>
    <row r="662" spans="1:26" ht="12.75" customHeight="1">
      <c r="A662" s="186"/>
      <c r="B662" s="189"/>
      <c r="C662" s="189"/>
      <c r="D662" s="230"/>
      <c r="E662" s="230"/>
      <c r="F662" s="231"/>
      <c r="G662" s="189"/>
      <c r="H662" s="230"/>
      <c r="I662" s="230"/>
      <c r="J662" s="232"/>
      <c r="K662" s="233"/>
      <c r="L662" s="186"/>
      <c r="M662" s="186"/>
      <c r="N662" s="186"/>
      <c r="O662" s="234"/>
      <c r="P662" s="186"/>
      <c r="Q662" s="234"/>
      <c r="R662" s="234"/>
      <c r="S662" s="186"/>
      <c r="T662" s="186"/>
      <c r="U662" s="186"/>
      <c r="V662" s="186"/>
      <c r="W662" s="186"/>
      <c r="X662" s="186"/>
      <c r="Y662" s="186"/>
      <c r="Z662" s="186"/>
    </row>
    <row r="663" spans="1:26" ht="12.75" customHeight="1">
      <c r="A663" s="186"/>
      <c r="B663" s="189"/>
      <c r="C663" s="189"/>
      <c r="D663" s="230"/>
      <c r="E663" s="230"/>
      <c r="F663" s="231"/>
      <c r="G663" s="189"/>
      <c r="H663" s="230"/>
      <c r="I663" s="230"/>
      <c r="J663" s="232"/>
      <c r="K663" s="233"/>
      <c r="L663" s="186"/>
      <c r="M663" s="186"/>
      <c r="N663" s="186"/>
      <c r="O663" s="234"/>
      <c r="P663" s="186"/>
      <c r="Q663" s="234"/>
      <c r="R663" s="234"/>
      <c r="S663" s="186"/>
      <c r="T663" s="186"/>
      <c r="U663" s="186"/>
      <c r="V663" s="186"/>
      <c r="W663" s="186"/>
      <c r="X663" s="186"/>
      <c r="Y663" s="186"/>
      <c r="Z663" s="186"/>
    </row>
    <row r="664" spans="1:26" ht="12.75" customHeight="1">
      <c r="A664" s="186"/>
      <c r="B664" s="189"/>
      <c r="C664" s="189"/>
      <c r="D664" s="230"/>
      <c r="E664" s="230"/>
      <c r="F664" s="231"/>
      <c r="G664" s="189"/>
      <c r="H664" s="230"/>
      <c r="I664" s="230"/>
      <c r="J664" s="232"/>
      <c r="K664" s="233"/>
      <c r="L664" s="186"/>
      <c r="M664" s="186"/>
      <c r="N664" s="186"/>
      <c r="O664" s="234"/>
      <c r="P664" s="186"/>
      <c r="Q664" s="234"/>
      <c r="R664" s="234"/>
      <c r="S664" s="186"/>
      <c r="T664" s="186"/>
      <c r="U664" s="186"/>
      <c r="V664" s="186"/>
      <c r="W664" s="186"/>
      <c r="X664" s="186"/>
      <c r="Y664" s="186"/>
      <c r="Z664" s="186"/>
    </row>
    <row r="665" spans="1:26" ht="12.75" customHeight="1">
      <c r="A665" s="186"/>
      <c r="B665" s="189"/>
      <c r="C665" s="189"/>
      <c r="D665" s="230"/>
      <c r="E665" s="230"/>
      <c r="F665" s="231"/>
      <c r="G665" s="189"/>
      <c r="H665" s="230"/>
      <c r="I665" s="230"/>
      <c r="J665" s="232"/>
      <c r="K665" s="233"/>
      <c r="L665" s="186"/>
      <c r="M665" s="186"/>
      <c r="N665" s="186"/>
      <c r="O665" s="234"/>
      <c r="P665" s="186"/>
      <c r="Q665" s="234"/>
      <c r="R665" s="234"/>
      <c r="S665" s="186"/>
      <c r="T665" s="186"/>
      <c r="U665" s="186"/>
      <c r="V665" s="186"/>
      <c r="W665" s="186"/>
      <c r="X665" s="186"/>
      <c r="Y665" s="186"/>
      <c r="Z665" s="186"/>
    </row>
    <row r="666" spans="1:26" ht="12.75" customHeight="1">
      <c r="A666" s="186"/>
      <c r="B666" s="189"/>
      <c r="C666" s="189"/>
      <c r="D666" s="230"/>
      <c r="E666" s="230"/>
      <c r="F666" s="231"/>
      <c r="G666" s="189"/>
      <c r="H666" s="230"/>
      <c r="I666" s="230"/>
      <c r="J666" s="232"/>
      <c r="K666" s="233"/>
      <c r="L666" s="186"/>
      <c r="M666" s="186"/>
      <c r="N666" s="186"/>
      <c r="O666" s="234"/>
      <c r="P666" s="186"/>
      <c r="Q666" s="234"/>
      <c r="R666" s="234"/>
      <c r="S666" s="186"/>
      <c r="T666" s="186"/>
      <c r="U666" s="186"/>
      <c r="V666" s="186"/>
      <c r="W666" s="186"/>
      <c r="X666" s="186"/>
      <c r="Y666" s="186"/>
      <c r="Z666" s="186"/>
    </row>
    <row r="667" spans="1:26" ht="12.75" customHeight="1">
      <c r="A667" s="186"/>
      <c r="B667" s="189"/>
      <c r="C667" s="189"/>
      <c r="D667" s="230"/>
      <c r="E667" s="230"/>
      <c r="F667" s="231"/>
      <c r="G667" s="189"/>
      <c r="H667" s="230"/>
      <c r="I667" s="230"/>
      <c r="J667" s="232"/>
      <c r="K667" s="233"/>
      <c r="L667" s="186"/>
      <c r="M667" s="186"/>
      <c r="N667" s="186"/>
      <c r="O667" s="234"/>
      <c r="P667" s="186"/>
      <c r="Q667" s="234"/>
      <c r="R667" s="234"/>
      <c r="S667" s="186"/>
      <c r="T667" s="186"/>
      <c r="U667" s="186"/>
      <c r="V667" s="186"/>
      <c r="W667" s="186"/>
      <c r="X667" s="186"/>
      <c r="Y667" s="186"/>
      <c r="Z667" s="186"/>
    </row>
    <row r="668" spans="1:26" ht="12.75" customHeight="1">
      <c r="A668" s="186"/>
      <c r="B668" s="189"/>
      <c r="C668" s="189"/>
      <c r="D668" s="230"/>
      <c r="E668" s="230"/>
      <c r="F668" s="231"/>
      <c r="G668" s="189"/>
      <c r="H668" s="230"/>
      <c r="I668" s="230"/>
      <c r="J668" s="232"/>
      <c r="K668" s="233"/>
      <c r="L668" s="186"/>
      <c r="M668" s="186"/>
      <c r="N668" s="186"/>
      <c r="O668" s="234"/>
      <c r="P668" s="186"/>
      <c r="Q668" s="234"/>
      <c r="R668" s="234"/>
      <c r="S668" s="186"/>
      <c r="T668" s="186"/>
      <c r="U668" s="186"/>
      <c r="V668" s="186"/>
      <c r="W668" s="186"/>
      <c r="X668" s="186"/>
      <c r="Y668" s="186"/>
      <c r="Z668" s="186"/>
    </row>
    <row r="669" spans="1:26" ht="12.75" customHeight="1">
      <c r="A669" s="186"/>
      <c r="B669" s="189"/>
      <c r="C669" s="189"/>
      <c r="D669" s="230"/>
      <c r="E669" s="230"/>
      <c r="F669" s="231"/>
      <c r="G669" s="189"/>
      <c r="H669" s="230"/>
      <c r="I669" s="230"/>
      <c r="J669" s="232"/>
      <c r="K669" s="233"/>
      <c r="L669" s="186"/>
      <c r="M669" s="186"/>
      <c r="N669" s="186"/>
      <c r="O669" s="234"/>
      <c r="P669" s="186"/>
      <c r="Q669" s="234"/>
      <c r="R669" s="234"/>
      <c r="S669" s="186"/>
      <c r="T669" s="186"/>
      <c r="U669" s="186"/>
      <c r="V669" s="186"/>
      <c r="W669" s="186"/>
      <c r="X669" s="186"/>
      <c r="Y669" s="186"/>
      <c r="Z669" s="186"/>
    </row>
    <row r="670" spans="1:26" ht="12.75" customHeight="1">
      <c r="A670" s="186"/>
      <c r="B670" s="189"/>
      <c r="C670" s="189"/>
      <c r="D670" s="230"/>
      <c r="E670" s="230"/>
      <c r="F670" s="231"/>
      <c r="G670" s="189"/>
      <c r="H670" s="230"/>
      <c r="I670" s="230"/>
      <c r="J670" s="232"/>
      <c r="K670" s="233"/>
      <c r="L670" s="186"/>
      <c r="M670" s="186"/>
      <c r="N670" s="186"/>
      <c r="O670" s="234"/>
      <c r="P670" s="186"/>
      <c r="Q670" s="234"/>
      <c r="R670" s="234"/>
      <c r="S670" s="186"/>
      <c r="T670" s="186"/>
      <c r="U670" s="186"/>
      <c r="V670" s="186"/>
      <c r="W670" s="186"/>
      <c r="X670" s="186"/>
      <c r="Y670" s="186"/>
      <c r="Z670" s="186"/>
    </row>
    <row r="671" spans="1:26" ht="12.75" customHeight="1">
      <c r="A671" s="186"/>
      <c r="B671" s="189"/>
      <c r="C671" s="189"/>
      <c r="D671" s="230"/>
      <c r="E671" s="230"/>
      <c r="F671" s="231"/>
      <c r="G671" s="189"/>
      <c r="H671" s="230"/>
      <c r="I671" s="230"/>
      <c r="J671" s="232"/>
      <c r="K671" s="233"/>
      <c r="L671" s="186"/>
      <c r="M671" s="186"/>
      <c r="N671" s="186"/>
      <c r="O671" s="234"/>
      <c r="P671" s="186"/>
      <c r="Q671" s="234"/>
      <c r="R671" s="234"/>
      <c r="S671" s="186"/>
      <c r="T671" s="186"/>
      <c r="U671" s="186"/>
      <c r="V671" s="186"/>
      <c r="W671" s="186"/>
      <c r="X671" s="186"/>
      <c r="Y671" s="186"/>
      <c r="Z671" s="186"/>
    </row>
    <row r="672" spans="1:26" ht="12.75" customHeight="1">
      <c r="A672" s="186"/>
      <c r="B672" s="189"/>
      <c r="C672" s="189"/>
      <c r="D672" s="230"/>
      <c r="E672" s="230"/>
      <c r="F672" s="231"/>
      <c r="G672" s="189"/>
      <c r="H672" s="230"/>
      <c r="I672" s="230"/>
      <c r="J672" s="232"/>
      <c r="K672" s="233"/>
      <c r="L672" s="186"/>
      <c r="M672" s="186"/>
      <c r="N672" s="186"/>
      <c r="O672" s="234"/>
      <c r="P672" s="186"/>
      <c r="Q672" s="234"/>
      <c r="R672" s="234"/>
      <c r="S672" s="186"/>
      <c r="T672" s="186"/>
      <c r="U672" s="186"/>
      <c r="V672" s="186"/>
      <c r="W672" s="186"/>
      <c r="X672" s="186"/>
      <c r="Y672" s="186"/>
      <c r="Z672" s="186"/>
    </row>
    <row r="673" spans="1:26" ht="12.75" customHeight="1">
      <c r="A673" s="186"/>
      <c r="B673" s="189"/>
      <c r="C673" s="189"/>
      <c r="D673" s="230"/>
      <c r="E673" s="230"/>
      <c r="F673" s="231"/>
      <c r="G673" s="189"/>
      <c r="H673" s="230"/>
      <c r="I673" s="230"/>
      <c r="J673" s="232"/>
      <c r="K673" s="233"/>
      <c r="L673" s="186"/>
      <c r="M673" s="186"/>
      <c r="N673" s="186"/>
      <c r="O673" s="234"/>
      <c r="P673" s="186"/>
      <c r="Q673" s="234"/>
      <c r="R673" s="234"/>
      <c r="S673" s="186"/>
      <c r="T673" s="186"/>
      <c r="U673" s="186"/>
      <c r="V673" s="186"/>
      <c r="W673" s="186"/>
      <c r="X673" s="186"/>
      <c r="Y673" s="186"/>
      <c r="Z673" s="186"/>
    </row>
    <row r="674" spans="1:26" ht="12.75" customHeight="1">
      <c r="A674" s="186"/>
      <c r="B674" s="189"/>
      <c r="C674" s="189"/>
      <c r="D674" s="230"/>
      <c r="E674" s="230"/>
      <c r="F674" s="231"/>
      <c r="G674" s="189"/>
      <c r="H674" s="230"/>
      <c r="I674" s="230"/>
      <c r="J674" s="232"/>
      <c r="K674" s="233"/>
      <c r="L674" s="186"/>
      <c r="M674" s="186"/>
      <c r="N674" s="186"/>
      <c r="O674" s="234"/>
      <c r="P674" s="186"/>
      <c r="Q674" s="234"/>
      <c r="R674" s="234"/>
      <c r="S674" s="186"/>
      <c r="T674" s="186"/>
      <c r="U674" s="186"/>
      <c r="V674" s="186"/>
      <c r="W674" s="186"/>
      <c r="X674" s="186"/>
      <c r="Y674" s="186"/>
      <c r="Z674" s="186"/>
    </row>
    <row r="675" spans="1:26" ht="12.75" customHeight="1">
      <c r="A675" s="186"/>
      <c r="B675" s="189"/>
      <c r="C675" s="189"/>
      <c r="D675" s="230"/>
      <c r="E675" s="230"/>
      <c r="F675" s="231"/>
      <c r="G675" s="189"/>
      <c r="H675" s="230"/>
      <c r="I675" s="230"/>
      <c r="J675" s="232"/>
      <c r="K675" s="233"/>
      <c r="L675" s="186"/>
      <c r="M675" s="186"/>
      <c r="N675" s="186"/>
      <c r="O675" s="234"/>
      <c r="P675" s="186"/>
      <c r="Q675" s="234"/>
      <c r="R675" s="234"/>
      <c r="S675" s="186"/>
      <c r="T675" s="186"/>
      <c r="U675" s="186"/>
      <c r="V675" s="186"/>
      <c r="W675" s="186"/>
      <c r="X675" s="186"/>
      <c r="Y675" s="186"/>
      <c r="Z675" s="186"/>
    </row>
    <row r="676" spans="1:26" ht="12.75" customHeight="1">
      <c r="A676" s="186"/>
      <c r="B676" s="189"/>
      <c r="C676" s="189"/>
      <c r="D676" s="230"/>
      <c r="E676" s="230"/>
      <c r="F676" s="231"/>
      <c r="G676" s="189"/>
      <c r="H676" s="230"/>
      <c r="I676" s="230"/>
      <c r="J676" s="232"/>
      <c r="K676" s="233"/>
      <c r="L676" s="186"/>
      <c r="M676" s="186"/>
      <c r="N676" s="186"/>
      <c r="O676" s="234"/>
      <c r="P676" s="186"/>
      <c r="Q676" s="234"/>
      <c r="R676" s="234"/>
      <c r="S676" s="186"/>
      <c r="T676" s="186"/>
      <c r="U676" s="186"/>
      <c r="V676" s="186"/>
      <c r="W676" s="186"/>
      <c r="X676" s="186"/>
      <c r="Y676" s="186"/>
      <c r="Z676" s="186"/>
    </row>
    <row r="677" spans="1:26" ht="12.75" customHeight="1">
      <c r="A677" s="186"/>
      <c r="B677" s="189"/>
      <c r="C677" s="189"/>
      <c r="D677" s="230"/>
      <c r="E677" s="230"/>
      <c r="F677" s="231"/>
      <c r="G677" s="189"/>
      <c r="H677" s="230"/>
      <c r="I677" s="230"/>
      <c r="J677" s="232"/>
      <c r="K677" s="233"/>
      <c r="L677" s="186"/>
      <c r="M677" s="186"/>
      <c r="N677" s="186"/>
      <c r="O677" s="234"/>
      <c r="P677" s="186"/>
      <c r="Q677" s="234"/>
      <c r="R677" s="234"/>
      <c r="S677" s="186"/>
      <c r="T677" s="186"/>
      <c r="U677" s="186"/>
      <c r="V677" s="186"/>
      <c r="W677" s="186"/>
      <c r="X677" s="186"/>
      <c r="Y677" s="186"/>
      <c r="Z677" s="186"/>
    </row>
    <row r="678" spans="1:26" ht="12.75" customHeight="1">
      <c r="A678" s="186"/>
      <c r="B678" s="189"/>
      <c r="C678" s="189"/>
      <c r="D678" s="230"/>
      <c r="E678" s="230"/>
      <c r="F678" s="231"/>
      <c r="G678" s="189"/>
      <c r="H678" s="230"/>
      <c r="I678" s="230"/>
      <c r="J678" s="232"/>
      <c r="K678" s="233"/>
      <c r="L678" s="186"/>
      <c r="M678" s="186"/>
      <c r="N678" s="186"/>
      <c r="O678" s="234"/>
      <c r="P678" s="186"/>
      <c r="Q678" s="234"/>
      <c r="R678" s="234"/>
      <c r="S678" s="186"/>
      <c r="T678" s="186"/>
      <c r="U678" s="186"/>
      <c r="V678" s="186"/>
      <c r="W678" s="186"/>
      <c r="X678" s="186"/>
      <c r="Y678" s="186"/>
      <c r="Z678" s="186"/>
    </row>
    <row r="679" spans="1:26" ht="12.75" customHeight="1">
      <c r="A679" s="186"/>
      <c r="B679" s="189"/>
      <c r="C679" s="189"/>
      <c r="D679" s="230"/>
      <c r="E679" s="230"/>
      <c r="F679" s="231"/>
      <c r="G679" s="189"/>
      <c r="H679" s="230"/>
      <c r="I679" s="230"/>
      <c r="J679" s="232"/>
      <c r="K679" s="233"/>
      <c r="L679" s="186"/>
      <c r="M679" s="186"/>
      <c r="N679" s="186"/>
      <c r="O679" s="234"/>
      <c r="P679" s="186"/>
      <c r="Q679" s="234"/>
      <c r="R679" s="234"/>
      <c r="S679" s="186"/>
      <c r="T679" s="186"/>
      <c r="U679" s="186"/>
      <c r="V679" s="186"/>
      <c r="W679" s="186"/>
      <c r="X679" s="186"/>
      <c r="Y679" s="186"/>
      <c r="Z679" s="186"/>
    </row>
    <row r="680" spans="1:26" ht="12.75" customHeight="1">
      <c r="A680" s="186"/>
      <c r="B680" s="189"/>
      <c r="C680" s="189"/>
      <c r="D680" s="230"/>
      <c r="E680" s="230"/>
      <c r="F680" s="231"/>
      <c r="G680" s="189"/>
      <c r="H680" s="230"/>
      <c r="I680" s="230"/>
      <c r="J680" s="232"/>
      <c r="K680" s="233"/>
      <c r="L680" s="186"/>
      <c r="M680" s="186"/>
      <c r="N680" s="186"/>
      <c r="O680" s="234"/>
      <c r="P680" s="186"/>
      <c r="Q680" s="234"/>
      <c r="R680" s="234"/>
      <c r="S680" s="186"/>
      <c r="T680" s="186"/>
      <c r="U680" s="186"/>
      <c r="V680" s="186"/>
      <c r="W680" s="186"/>
      <c r="X680" s="186"/>
      <c r="Y680" s="186"/>
      <c r="Z680" s="186"/>
    </row>
    <row r="681" spans="1:26" ht="12.75" customHeight="1">
      <c r="A681" s="186"/>
      <c r="B681" s="189"/>
      <c r="C681" s="189"/>
      <c r="D681" s="230"/>
      <c r="E681" s="230"/>
      <c r="F681" s="231"/>
      <c r="G681" s="189"/>
      <c r="H681" s="230"/>
      <c r="I681" s="230"/>
      <c r="J681" s="232"/>
      <c r="K681" s="233"/>
      <c r="L681" s="186"/>
      <c r="M681" s="186"/>
      <c r="N681" s="186"/>
      <c r="O681" s="234"/>
      <c r="P681" s="186"/>
      <c r="Q681" s="234"/>
      <c r="R681" s="234"/>
      <c r="S681" s="186"/>
      <c r="T681" s="186"/>
      <c r="U681" s="186"/>
      <c r="V681" s="186"/>
      <c r="W681" s="186"/>
      <c r="X681" s="186"/>
      <c r="Y681" s="186"/>
      <c r="Z681" s="186"/>
    </row>
    <row r="682" spans="1:26" ht="12.75" customHeight="1">
      <c r="A682" s="186"/>
      <c r="B682" s="189"/>
      <c r="C682" s="189"/>
      <c r="D682" s="230"/>
      <c r="E682" s="230"/>
      <c r="F682" s="231"/>
      <c r="G682" s="189"/>
      <c r="H682" s="230"/>
      <c r="I682" s="230"/>
      <c r="J682" s="232"/>
      <c r="K682" s="233"/>
      <c r="L682" s="186"/>
      <c r="M682" s="186"/>
      <c r="N682" s="186"/>
      <c r="O682" s="234"/>
      <c r="P682" s="186"/>
      <c r="Q682" s="234"/>
      <c r="R682" s="234"/>
      <c r="S682" s="186"/>
      <c r="T682" s="186"/>
      <c r="U682" s="186"/>
      <c r="V682" s="186"/>
      <c r="W682" s="186"/>
      <c r="X682" s="186"/>
      <c r="Y682" s="186"/>
      <c r="Z682" s="186"/>
    </row>
    <row r="683" spans="1:26" ht="12.75" customHeight="1">
      <c r="A683" s="186"/>
      <c r="B683" s="189"/>
      <c r="C683" s="189"/>
      <c r="D683" s="230"/>
      <c r="E683" s="230"/>
      <c r="F683" s="231"/>
      <c r="G683" s="189"/>
      <c r="H683" s="230"/>
      <c r="I683" s="230"/>
      <c r="J683" s="232"/>
      <c r="K683" s="233"/>
      <c r="L683" s="186"/>
      <c r="M683" s="186"/>
      <c r="N683" s="186"/>
      <c r="O683" s="234"/>
      <c r="P683" s="186"/>
      <c r="Q683" s="234"/>
      <c r="R683" s="234"/>
      <c r="S683" s="186"/>
      <c r="T683" s="186"/>
      <c r="U683" s="186"/>
      <c r="V683" s="186"/>
      <c r="W683" s="186"/>
      <c r="X683" s="186"/>
      <c r="Y683" s="186"/>
      <c r="Z683" s="186"/>
    </row>
    <row r="684" spans="1:26" ht="12.75" customHeight="1">
      <c r="A684" s="186"/>
      <c r="B684" s="189"/>
      <c r="C684" s="189"/>
      <c r="D684" s="230"/>
      <c r="E684" s="230"/>
      <c r="F684" s="231"/>
      <c r="G684" s="189"/>
      <c r="H684" s="230"/>
      <c r="I684" s="230"/>
      <c r="J684" s="232"/>
      <c r="K684" s="233"/>
      <c r="L684" s="186"/>
      <c r="M684" s="186"/>
      <c r="N684" s="186"/>
      <c r="O684" s="234"/>
      <c r="P684" s="186"/>
      <c r="Q684" s="234"/>
      <c r="R684" s="234"/>
      <c r="S684" s="186"/>
      <c r="T684" s="186"/>
      <c r="U684" s="186"/>
      <c r="V684" s="186"/>
      <c r="W684" s="186"/>
      <c r="X684" s="186"/>
      <c r="Y684" s="186"/>
      <c r="Z684" s="186"/>
    </row>
    <row r="685" spans="1:26" ht="12.75" customHeight="1">
      <c r="A685" s="186"/>
      <c r="B685" s="189"/>
      <c r="C685" s="189"/>
      <c r="D685" s="230"/>
      <c r="E685" s="230"/>
      <c r="F685" s="231"/>
      <c r="G685" s="189"/>
      <c r="H685" s="230"/>
      <c r="I685" s="230"/>
      <c r="J685" s="232"/>
      <c r="K685" s="233"/>
      <c r="L685" s="186"/>
      <c r="M685" s="186"/>
      <c r="N685" s="186"/>
      <c r="O685" s="234"/>
      <c r="P685" s="186"/>
      <c r="Q685" s="234"/>
      <c r="R685" s="234"/>
      <c r="S685" s="186"/>
      <c r="T685" s="186"/>
      <c r="U685" s="186"/>
      <c r="V685" s="186"/>
      <c r="W685" s="186"/>
      <c r="X685" s="186"/>
      <c r="Y685" s="186"/>
      <c r="Z685" s="186"/>
    </row>
    <row r="686" spans="1:26" ht="12.75" customHeight="1">
      <c r="A686" s="186"/>
      <c r="B686" s="189"/>
      <c r="C686" s="189"/>
      <c r="D686" s="230"/>
      <c r="E686" s="230"/>
      <c r="F686" s="231"/>
      <c r="G686" s="189"/>
      <c r="H686" s="230"/>
      <c r="I686" s="230"/>
      <c r="J686" s="232"/>
      <c r="K686" s="233"/>
      <c r="L686" s="186"/>
      <c r="M686" s="186"/>
      <c r="N686" s="186"/>
      <c r="O686" s="234"/>
      <c r="P686" s="186"/>
      <c r="Q686" s="234"/>
      <c r="R686" s="234"/>
      <c r="S686" s="186"/>
      <c r="T686" s="186"/>
      <c r="U686" s="186"/>
      <c r="V686" s="186"/>
      <c r="W686" s="186"/>
      <c r="X686" s="186"/>
      <c r="Y686" s="186"/>
      <c r="Z686" s="186"/>
    </row>
    <row r="687" spans="1:26" ht="12.75" customHeight="1">
      <c r="A687" s="186"/>
      <c r="B687" s="189"/>
      <c r="C687" s="189"/>
      <c r="D687" s="230"/>
      <c r="E687" s="230"/>
      <c r="F687" s="231"/>
      <c r="G687" s="189"/>
      <c r="H687" s="230"/>
      <c r="I687" s="230"/>
      <c r="J687" s="232"/>
      <c r="K687" s="233"/>
      <c r="L687" s="186"/>
      <c r="M687" s="186"/>
      <c r="N687" s="186"/>
      <c r="O687" s="234"/>
      <c r="P687" s="186"/>
      <c r="Q687" s="234"/>
      <c r="R687" s="234"/>
      <c r="S687" s="186"/>
      <c r="T687" s="186"/>
      <c r="U687" s="186"/>
      <c r="V687" s="186"/>
      <c r="W687" s="186"/>
      <c r="X687" s="186"/>
      <c r="Y687" s="186"/>
      <c r="Z687" s="186"/>
    </row>
    <row r="688" spans="1:26" ht="12.75" customHeight="1">
      <c r="A688" s="186"/>
      <c r="B688" s="189"/>
      <c r="C688" s="189"/>
      <c r="D688" s="230"/>
      <c r="E688" s="230"/>
      <c r="F688" s="231"/>
      <c r="G688" s="189"/>
      <c r="H688" s="230"/>
      <c r="I688" s="230"/>
      <c r="J688" s="232"/>
      <c r="K688" s="233"/>
      <c r="L688" s="186"/>
      <c r="M688" s="186"/>
      <c r="N688" s="186"/>
      <c r="O688" s="234"/>
      <c r="P688" s="186"/>
      <c r="Q688" s="234"/>
      <c r="R688" s="234"/>
      <c r="S688" s="186"/>
      <c r="T688" s="186"/>
      <c r="U688" s="186"/>
      <c r="V688" s="186"/>
      <c r="W688" s="186"/>
      <c r="X688" s="186"/>
      <c r="Y688" s="186"/>
      <c r="Z688" s="186"/>
    </row>
    <row r="689" spans="1:26" ht="12.75" customHeight="1">
      <c r="A689" s="186"/>
      <c r="B689" s="189"/>
      <c r="C689" s="189"/>
      <c r="D689" s="230"/>
      <c r="E689" s="230"/>
      <c r="F689" s="231"/>
      <c r="G689" s="189"/>
      <c r="H689" s="230"/>
      <c r="I689" s="230"/>
      <c r="J689" s="232"/>
      <c r="K689" s="233"/>
      <c r="L689" s="186"/>
      <c r="M689" s="186"/>
      <c r="N689" s="186"/>
      <c r="O689" s="234"/>
      <c r="P689" s="186"/>
      <c r="Q689" s="234"/>
      <c r="R689" s="234"/>
      <c r="S689" s="186"/>
      <c r="T689" s="186"/>
      <c r="U689" s="186"/>
      <c r="V689" s="186"/>
      <c r="W689" s="186"/>
      <c r="X689" s="186"/>
      <c r="Y689" s="186"/>
      <c r="Z689" s="186"/>
    </row>
    <row r="690" spans="1:26" ht="12.75" customHeight="1">
      <c r="A690" s="186"/>
      <c r="B690" s="189"/>
      <c r="C690" s="189"/>
      <c r="D690" s="230"/>
      <c r="E690" s="230"/>
      <c r="F690" s="231"/>
      <c r="G690" s="189"/>
      <c r="H690" s="230"/>
      <c r="I690" s="230"/>
      <c r="J690" s="232"/>
      <c r="K690" s="233"/>
      <c r="L690" s="186"/>
      <c r="M690" s="186"/>
      <c r="N690" s="186"/>
      <c r="O690" s="234"/>
      <c r="P690" s="186"/>
      <c r="Q690" s="234"/>
      <c r="R690" s="234"/>
      <c r="S690" s="186"/>
      <c r="T690" s="186"/>
      <c r="U690" s="186"/>
      <c r="V690" s="186"/>
      <c r="W690" s="186"/>
      <c r="X690" s="186"/>
      <c r="Y690" s="186"/>
      <c r="Z690" s="186"/>
    </row>
    <row r="691" spans="1:26" ht="12.75" customHeight="1">
      <c r="A691" s="186"/>
      <c r="B691" s="189"/>
      <c r="C691" s="189"/>
      <c r="D691" s="230"/>
      <c r="E691" s="230"/>
      <c r="F691" s="231"/>
      <c r="G691" s="189"/>
      <c r="H691" s="230"/>
      <c r="I691" s="230"/>
      <c r="J691" s="232"/>
      <c r="K691" s="233"/>
      <c r="L691" s="186"/>
      <c r="M691" s="186"/>
      <c r="N691" s="186"/>
      <c r="O691" s="234"/>
      <c r="P691" s="186"/>
      <c r="Q691" s="234"/>
      <c r="R691" s="234"/>
      <c r="S691" s="186"/>
      <c r="T691" s="186"/>
      <c r="U691" s="186"/>
      <c r="V691" s="186"/>
      <c r="W691" s="186"/>
      <c r="X691" s="186"/>
      <c r="Y691" s="186"/>
      <c r="Z691" s="186"/>
    </row>
    <row r="692" spans="1:26" ht="12.75" customHeight="1">
      <c r="A692" s="186"/>
      <c r="B692" s="189"/>
      <c r="C692" s="189"/>
      <c r="D692" s="230"/>
      <c r="E692" s="230"/>
      <c r="F692" s="231"/>
      <c r="G692" s="189"/>
      <c r="H692" s="230"/>
      <c r="I692" s="230"/>
      <c r="J692" s="232"/>
      <c r="K692" s="233"/>
      <c r="L692" s="186"/>
      <c r="M692" s="186"/>
      <c r="N692" s="186"/>
      <c r="O692" s="234"/>
      <c r="P692" s="186"/>
      <c r="Q692" s="234"/>
      <c r="R692" s="234"/>
      <c r="S692" s="186"/>
      <c r="T692" s="186"/>
      <c r="U692" s="186"/>
      <c r="V692" s="186"/>
      <c r="W692" s="186"/>
      <c r="X692" s="186"/>
      <c r="Y692" s="186"/>
      <c r="Z692" s="186"/>
    </row>
    <row r="693" spans="1:26" ht="12.75" customHeight="1">
      <c r="A693" s="186"/>
      <c r="B693" s="189"/>
      <c r="C693" s="189"/>
      <c r="D693" s="230"/>
      <c r="E693" s="230"/>
      <c r="F693" s="231"/>
      <c r="G693" s="189"/>
      <c r="H693" s="230"/>
      <c r="I693" s="230"/>
      <c r="J693" s="232"/>
      <c r="K693" s="233"/>
      <c r="L693" s="186"/>
      <c r="M693" s="186"/>
      <c r="N693" s="186"/>
      <c r="O693" s="234"/>
      <c r="P693" s="186"/>
      <c r="Q693" s="234"/>
      <c r="R693" s="234"/>
      <c r="S693" s="186"/>
      <c r="T693" s="186"/>
      <c r="U693" s="186"/>
      <c r="V693" s="186"/>
      <c r="W693" s="186"/>
      <c r="X693" s="186"/>
      <c r="Y693" s="186"/>
      <c r="Z693" s="186"/>
    </row>
    <row r="694" spans="1:26" ht="12.75" customHeight="1">
      <c r="A694" s="186"/>
      <c r="B694" s="189"/>
      <c r="C694" s="189"/>
      <c r="D694" s="230"/>
      <c r="E694" s="230"/>
      <c r="F694" s="231"/>
      <c r="G694" s="189"/>
      <c r="H694" s="230"/>
      <c r="I694" s="230"/>
      <c r="J694" s="232"/>
      <c r="K694" s="233"/>
      <c r="L694" s="186"/>
      <c r="M694" s="186"/>
      <c r="N694" s="186"/>
      <c r="O694" s="234"/>
      <c r="P694" s="186"/>
      <c r="Q694" s="234"/>
      <c r="R694" s="234"/>
      <c r="S694" s="186"/>
      <c r="T694" s="186"/>
      <c r="U694" s="186"/>
      <c r="V694" s="186"/>
      <c r="W694" s="186"/>
      <c r="X694" s="186"/>
      <c r="Y694" s="186"/>
      <c r="Z694" s="186"/>
    </row>
    <row r="695" spans="1:26" ht="12.75" customHeight="1">
      <c r="A695" s="186"/>
      <c r="B695" s="189"/>
      <c r="C695" s="189"/>
      <c r="D695" s="230"/>
      <c r="E695" s="230"/>
      <c r="F695" s="231"/>
      <c r="G695" s="189"/>
      <c r="H695" s="230"/>
      <c r="I695" s="230"/>
      <c r="J695" s="232"/>
      <c r="K695" s="233"/>
      <c r="L695" s="186"/>
      <c r="M695" s="186"/>
      <c r="N695" s="186"/>
      <c r="O695" s="234"/>
      <c r="P695" s="186"/>
      <c r="Q695" s="234"/>
      <c r="R695" s="234"/>
      <c r="S695" s="186"/>
      <c r="T695" s="186"/>
      <c r="U695" s="186"/>
      <c r="V695" s="186"/>
      <c r="W695" s="186"/>
      <c r="X695" s="186"/>
      <c r="Y695" s="186"/>
      <c r="Z695" s="186"/>
    </row>
    <row r="696" spans="1:26" ht="12.75" customHeight="1">
      <c r="A696" s="186"/>
      <c r="B696" s="189"/>
      <c r="C696" s="189"/>
      <c r="D696" s="230"/>
      <c r="E696" s="230"/>
      <c r="F696" s="231"/>
      <c r="G696" s="189"/>
      <c r="H696" s="230"/>
      <c r="I696" s="230"/>
      <c r="J696" s="232"/>
      <c r="K696" s="233"/>
      <c r="L696" s="186"/>
      <c r="M696" s="186"/>
      <c r="N696" s="186"/>
      <c r="O696" s="234"/>
      <c r="P696" s="186"/>
      <c r="Q696" s="234"/>
      <c r="R696" s="234"/>
      <c r="S696" s="186"/>
      <c r="T696" s="186"/>
      <c r="U696" s="186"/>
      <c r="V696" s="186"/>
      <c r="W696" s="186"/>
      <c r="X696" s="186"/>
      <c r="Y696" s="186"/>
      <c r="Z696" s="186"/>
    </row>
    <row r="697" spans="1:26" ht="12.75" customHeight="1">
      <c r="A697" s="186"/>
      <c r="B697" s="189"/>
      <c r="C697" s="189"/>
      <c r="D697" s="230"/>
      <c r="E697" s="230"/>
      <c r="F697" s="231"/>
      <c r="G697" s="189"/>
      <c r="H697" s="230"/>
      <c r="I697" s="230"/>
      <c r="J697" s="232"/>
      <c r="K697" s="233"/>
      <c r="L697" s="186"/>
      <c r="M697" s="186"/>
      <c r="N697" s="186"/>
      <c r="O697" s="234"/>
      <c r="P697" s="186"/>
      <c r="Q697" s="234"/>
      <c r="R697" s="234"/>
      <c r="S697" s="186"/>
      <c r="T697" s="186"/>
      <c r="U697" s="186"/>
      <c r="V697" s="186"/>
      <c r="W697" s="186"/>
      <c r="X697" s="186"/>
      <c r="Y697" s="186"/>
      <c r="Z697" s="186"/>
    </row>
    <row r="698" spans="1:26" ht="12.75" customHeight="1">
      <c r="A698" s="186"/>
      <c r="B698" s="189"/>
      <c r="C698" s="189"/>
      <c r="D698" s="230"/>
      <c r="E698" s="230"/>
      <c r="F698" s="231"/>
      <c r="G698" s="189"/>
      <c r="H698" s="230"/>
      <c r="I698" s="230"/>
      <c r="J698" s="232"/>
      <c r="K698" s="233"/>
      <c r="L698" s="186"/>
      <c r="M698" s="186"/>
      <c r="N698" s="186"/>
      <c r="O698" s="234"/>
      <c r="P698" s="186"/>
      <c r="Q698" s="234"/>
      <c r="R698" s="234"/>
      <c r="S698" s="186"/>
      <c r="T698" s="186"/>
      <c r="U698" s="186"/>
      <c r="V698" s="186"/>
      <c r="W698" s="186"/>
      <c r="X698" s="186"/>
      <c r="Y698" s="186"/>
      <c r="Z698" s="186"/>
    </row>
    <row r="699" spans="1:26" ht="12.75" customHeight="1">
      <c r="A699" s="186"/>
      <c r="B699" s="189"/>
      <c r="C699" s="189"/>
      <c r="D699" s="230"/>
      <c r="E699" s="230"/>
      <c r="F699" s="231"/>
      <c r="G699" s="189"/>
      <c r="H699" s="230"/>
      <c r="I699" s="230"/>
      <c r="J699" s="232"/>
      <c r="K699" s="233"/>
      <c r="L699" s="186"/>
      <c r="M699" s="186"/>
      <c r="N699" s="186"/>
      <c r="O699" s="234"/>
      <c r="P699" s="186"/>
      <c r="Q699" s="234"/>
      <c r="R699" s="234"/>
      <c r="S699" s="186"/>
      <c r="T699" s="186"/>
      <c r="U699" s="186"/>
      <c r="V699" s="186"/>
      <c r="W699" s="186"/>
      <c r="X699" s="186"/>
      <c r="Y699" s="186"/>
      <c r="Z699" s="186"/>
    </row>
    <row r="700" spans="1:26" ht="12.75" customHeight="1">
      <c r="A700" s="186"/>
      <c r="B700" s="189"/>
      <c r="C700" s="189"/>
      <c r="D700" s="230"/>
      <c r="E700" s="230"/>
      <c r="F700" s="231"/>
      <c r="G700" s="189"/>
      <c r="H700" s="230"/>
      <c r="I700" s="230"/>
      <c r="J700" s="232"/>
      <c r="K700" s="233"/>
      <c r="L700" s="186"/>
      <c r="M700" s="186"/>
      <c r="N700" s="186"/>
      <c r="O700" s="234"/>
      <c r="P700" s="186"/>
      <c r="Q700" s="234"/>
      <c r="R700" s="234"/>
      <c r="S700" s="186"/>
      <c r="T700" s="186"/>
      <c r="U700" s="186"/>
      <c r="V700" s="186"/>
      <c r="W700" s="186"/>
      <c r="X700" s="186"/>
      <c r="Y700" s="186"/>
      <c r="Z700" s="186"/>
    </row>
    <row r="701" spans="1:26" ht="12.75" customHeight="1">
      <c r="A701" s="186"/>
      <c r="B701" s="189"/>
      <c r="C701" s="189"/>
      <c r="D701" s="230"/>
      <c r="E701" s="230"/>
      <c r="F701" s="231"/>
      <c r="G701" s="189"/>
      <c r="H701" s="230"/>
      <c r="I701" s="230"/>
      <c r="J701" s="232"/>
      <c r="K701" s="233"/>
      <c r="L701" s="186"/>
      <c r="M701" s="186"/>
      <c r="N701" s="186"/>
      <c r="O701" s="234"/>
      <c r="P701" s="186"/>
      <c r="Q701" s="234"/>
      <c r="R701" s="234"/>
      <c r="S701" s="186"/>
      <c r="T701" s="186"/>
      <c r="U701" s="186"/>
      <c r="V701" s="186"/>
      <c r="W701" s="186"/>
      <c r="X701" s="186"/>
      <c r="Y701" s="186"/>
      <c r="Z701" s="186"/>
    </row>
    <row r="702" spans="1:26" ht="12.75" customHeight="1">
      <c r="A702" s="186"/>
      <c r="B702" s="189"/>
      <c r="C702" s="189"/>
      <c r="D702" s="230"/>
      <c r="E702" s="230"/>
      <c r="F702" s="231"/>
      <c r="G702" s="189"/>
      <c r="H702" s="230"/>
      <c r="I702" s="230"/>
      <c r="J702" s="232"/>
      <c r="K702" s="233"/>
      <c r="L702" s="186"/>
      <c r="M702" s="186"/>
      <c r="N702" s="186"/>
      <c r="O702" s="234"/>
      <c r="P702" s="186"/>
      <c r="Q702" s="234"/>
      <c r="R702" s="234"/>
      <c r="S702" s="186"/>
      <c r="T702" s="186"/>
      <c r="U702" s="186"/>
      <c r="V702" s="186"/>
      <c r="W702" s="186"/>
      <c r="X702" s="186"/>
      <c r="Y702" s="186"/>
      <c r="Z702" s="186"/>
    </row>
    <row r="703" spans="1:26" ht="12.75" customHeight="1">
      <c r="A703" s="186"/>
      <c r="B703" s="189"/>
      <c r="C703" s="189"/>
      <c r="D703" s="230"/>
      <c r="E703" s="230"/>
      <c r="F703" s="231"/>
      <c r="G703" s="189"/>
      <c r="H703" s="230"/>
      <c r="I703" s="230"/>
      <c r="J703" s="232"/>
      <c r="K703" s="233"/>
      <c r="L703" s="186"/>
      <c r="M703" s="186"/>
      <c r="N703" s="186"/>
      <c r="O703" s="234"/>
      <c r="P703" s="186"/>
      <c r="Q703" s="234"/>
      <c r="R703" s="234"/>
      <c r="S703" s="186"/>
      <c r="T703" s="186"/>
      <c r="U703" s="186"/>
      <c r="V703" s="186"/>
      <c r="W703" s="186"/>
      <c r="X703" s="186"/>
      <c r="Y703" s="186"/>
      <c r="Z703" s="186"/>
    </row>
    <row r="704" spans="1:26" ht="12.75" customHeight="1">
      <c r="A704" s="186"/>
      <c r="B704" s="189"/>
      <c r="C704" s="189"/>
      <c r="D704" s="230"/>
      <c r="E704" s="230"/>
      <c r="F704" s="231"/>
      <c r="G704" s="189"/>
      <c r="H704" s="230"/>
      <c r="I704" s="230"/>
      <c r="J704" s="232"/>
      <c r="K704" s="233"/>
      <c r="L704" s="186"/>
      <c r="M704" s="186"/>
      <c r="N704" s="186"/>
      <c r="O704" s="234"/>
      <c r="P704" s="186"/>
      <c r="Q704" s="234"/>
      <c r="R704" s="234"/>
      <c r="S704" s="186"/>
      <c r="T704" s="186"/>
      <c r="U704" s="186"/>
      <c r="V704" s="186"/>
      <c r="W704" s="186"/>
      <c r="X704" s="186"/>
      <c r="Y704" s="186"/>
      <c r="Z704" s="186"/>
    </row>
    <row r="705" spans="1:26" ht="12.75" customHeight="1">
      <c r="A705" s="186"/>
      <c r="B705" s="189"/>
      <c r="C705" s="189"/>
      <c r="D705" s="230"/>
      <c r="E705" s="230"/>
      <c r="F705" s="231"/>
      <c r="G705" s="189"/>
      <c r="H705" s="230"/>
      <c r="I705" s="230"/>
      <c r="J705" s="232"/>
      <c r="K705" s="233"/>
      <c r="L705" s="186"/>
      <c r="M705" s="186"/>
      <c r="N705" s="186"/>
      <c r="O705" s="234"/>
      <c r="P705" s="186"/>
      <c r="Q705" s="234"/>
      <c r="R705" s="234"/>
      <c r="S705" s="186"/>
      <c r="T705" s="186"/>
      <c r="U705" s="186"/>
      <c r="V705" s="186"/>
      <c r="W705" s="186"/>
      <c r="X705" s="186"/>
      <c r="Y705" s="186"/>
      <c r="Z705" s="186"/>
    </row>
    <row r="706" spans="1:26" ht="12.75" customHeight="1">
      <c r="A706" s="186"/>
      <c r="B706" s="189"/>
      <c r="C706" s="189"/>
      <c r="D706" s="230"/>
      <c r="E706" s="230"/>
      <c r="F706" s="231"/>
      <c r="G706" s="189"/>
      <c r="H706" s="230"/>
      <c r="I706" s="230"/>
      <c r="J706" s="232"/>
      <c r="K706" s="233"/>
      <c r="L706" s="186"/>
      <c r="M706" s="186"/>
      <c r="N706" s="186"/>
      <c r="O706" s="234"/>
      <c r="P706" s="186"/>
      <c r="Q706" s="234"/>
      <c r="R706" s="234"/>
      <c r="S706" s="186"/>
      <c r="T706" s="186"/>
      <c r="U706" s="186"/>
      <c r="V706" s="186"/>
      <c r="W706" s="186"/>
      <c r="X706" s="186"/>
      <c r="Y706" s="186"/>
      <c r="Z706" s="186"/>
    </row>
    <row r="707" spans="1:26" ht="12.75" customHeight="1">
      <c r="A707" s="186"/>
      <c r="B707" s="189"/>
      <c r="C707" s="189"/>
      <c r="D707" s="230"/>
      <c r="E707" s="230"/>
      <c r="F707" s="231"/>
      <c r="G707" s="189"/>
      <c r="H707" s="230"/>
      <c r="I707" s="230"/>
      <c r="J707" s="232"/>
      <c r="K707" s="233"/>
      <c r="L707" s="186"/>
      <c r="M707" s="186"/>
      <c r="N707" s="186"/>
      <c r="O707" s="234"/>
      <c r="P707" s="186"/>
      <c r="Q707" s="234"/>
      <c r="R707" s="234"/>
      <c r="S707" s="186"/>
      <c r="T707" s="186"/>
      <c r="U707" s="186"/>
      <c r="V707" s="186"/>
      <c r="W707" s="186"/>
      <c r="X707" s="186"/>
      <c r="Y707" s="186"/>
      <c r="Z707" s="186"/>
    </row>
    <row r="708" spans="1:26" ht="12.75" customHeight="1">
      <c r="A708" s="186"/>
      <c r="B708" s="189"/>
      <c r="C708" s="189"/>
      <c r="D708" s="230"/>
      <c r="E708" s="230"/>
      <c r="F708" s="231"/>
      <c r="G708" s="189"/>
      <c r="H708" s="230"/>
      <c r="I708" s="230"/>
      <c r="J708" s="232"/>
      <c r="K708" s="233"/>
      <c r="L708" s="186"/>
      <c r="M708" s="186"/>
      <c r="N708" s="186"/>
      <c r="O708" s="234"/>
      <c r="P708" s="186"/>
      <c r="Q708" s="234"/>
      <c r="R708" s="234"/>
      <c r="S708" s="186"/>
      <c r="T708" s="186"/>
      <c r="U708" s="186"/>
      <c r="V708" s="186"/>
      <c r="W708" s="186"/>
      <c r="X708" s="186"/>
      <c r="Y708" s="186"/>
      <c r="Z708" s="186"/>
    </row>
    <row r="709" spans="1:26" ht="12.75" customHeight="1">
      <c r="A709" s="186"/>
      <c r="B709" s="189"/>
      <c r="C709" s="189"/>
      <c r="D709" s="230"/>
      <c r="E709" s="230"/>
      <c r="F709" s="231"/>
      <c r="G709" s="189"/>
      <c r="H709" s="230"/>
      <c r="I709" s="230"/>
      <c r="J709" s="232"/>
      <c r="K709" s="233"/>
      <c r="L709" s="186"/>
      <c r="M709" s="186"/>
      <c r="N709" s="186"/>
      <c r="O709" s="234"/>
      <c r="P709" s="186"/>
      <c r="Q709" s="234"/>
      <c r="R709" s="234"/>
      <c r="S709" s="186"/>
      <c r="T709" s="186"/>
      <c r="U709" s="186"/>
      <c r="V709" s="186"/>
      <c r="W709" s="186"/>
      <c r="X709" s="186"/>
      <c r="Y709" s="186"/>
      <c r="Z709" s="186"/>
    </row>
    <row r="710" spans="1:26" ht="12.75" customHeight="1">
      <c r="A710" s="186"/>
      <c r="B710" s="189"/>
      <c r="C710" s="189"/>
      <c r="D710" s="230"/>
      <c r="E710" s="230"/>
      <c r="F710" s="231"/>
      <c r="G710" s="189"/>
      <c r="H710" s="230"/>
      <c r="I710" s="230"/>
      <c r="J710" s="232"/>
      <c r="K710" s="233"/>
      <c r="L710" s="186"/>
      <c r="M710" s="186"/>
      <c r="N710" s="186"/>
      <c r="O710" s="234"/>
      <c r="P710" s="186"/>
      <c r="Q710" s="234"/>
      <c r="R710" s="234"/>
      <c r="S710" s="186"/>
      <c r="T710" s="186"/>
      <c r="U710" s="186"/>
      <c r="V710" s="186"/>
      <c r="W710" s="186"/>
      <c r="X710" s="186"/>
      <c r="Y710" s="186"/>
      <c r="Z710" s="186"/>
    </row>
    <row r="711" spans="1:26" ht="12.75" customHeight="1">
      <c r="A711" s="186"/>
      <c r="B711" s="189"/>
      <c r="C711" s="189"/>
      <c r="D711" s="230"/>
      <c r="E711" s="230"/>
      <c r="F711" s="231"/>
      <c r="G711" s="189"/>
      <c r="H711" s="230"/>
      <c r="I711" s="230"/>
      <c r="J711" s="232"/>
      <c r="K711" s="233"/>
      <c r="L711" s="186"/>
      <c r="M711" s="186"/>
      <c r="N711" s="186"/>
      <c r="O711" s="234"/>
      <c r="P711" s="186"/>
      <c r="Q711" s="234"/>
      <c r="R711" s="234"/>
      <c r="S711" s="186"/>
      <c r="T711" s="186"/>
      <c r="U711" s="186"/>
      <c r="V711" s="186"/>
      <c r="W711" s="186"/>
      <c r="X711" s="186"/>
      <c r="Y711" s="186"/>
      <c r="Z711" s="186"/>
    </row>
    <row r="712" spans="1:26" ht="12.75" customHeight="1">
      <c r="A712" s="186"/>
      <c r="B712" s="189"/>
      <c r="C712" s="189"/>
      <c r="D712" s="230"/>
      <c r="E712" s="230"/>
      <c r="F712" s="231"/>
      <c r="G712" s="189"/>
      <c r="H712" s="230"/>
      <c r="I712" s="230"/>
      <c r="J712" s="232"/>
      <c r="K712" s="233"/>
      <c r="L712" s="186"/>
      <c r="M712" s="186"/>
      <c r="N712" s="186"/>
      <c r="O712" s="234"/>
      <c r="P712" s="186"/>
      <c r="Q712" s="234"/>
      <c r="R712" s="234"/>
      <c r="S712" s="186"/>
      <c r="T712" s="186"/>
      <c r="U712" s="186"/>
      <c r="V712" s="186"/>
      <c r="W712" s="186"/>
      <c r="X712" s="186"/>
      <c r="Y712" s="186"/>
      <c r="Z712" s="186"/>
    </row>
    <row r="713" spans="1:26" ht="12.75" customHeight="1">
      <c r="A713" s="186"/>
      <c r="B713" s="189"/>
      <c r="C713" s="189"/>
      <c r="D713" s="230"/>
      <c r="E713" s="230"/>
      <c r="F713" s="231"/>
      <c r="G713" s="189"/>
      <c r="H713" s="230"/>
      <c r="I713" s="230"/>
      <c r="J713" s="232"/>
      <c r="K713" s="233"/>
      <c r="L713" s="186"/>
      <c r="M713" s="186"/>
      <c r="N713" s="186"/>
      <c r="O713" s="234"/>
      <c r="P713" s="186"/>
      <c r="Q713" s="234"/>
      <c r="R713" s="234"/>
      <c r="S713" s="186"/>
      <c r="T713" s="186"/>
      <c r="U713" s="186"/>
      <c r="V713" s="186"/>
      <c r="W713" s="186"/>
      <c r="X713" s="186"/>
      <c r="Y713" s="186"/>
      <c r="Z713" s="186"/>
    </row>
    <row r="714" spans="1:26" ht="12.75" customHeight="1">
      <c r="A714" s="186"/>
      <c r="B714" s="189"/>
      <c r="C714" s="189"/>
      <c r="D714" s="230"/>
      <c r="E714" s="230"/>
      <c r="F714" s="231"/>
      <c r="G714" s="189"/>
      <c r="H714" s="230"/>
      <c r="I714" s="230"/>
      <c r="J714" s="232"/>
      <c r="K714" s="233"/>
      <c r="L714" s="186"/>
      <c r="M714" s="186"/>
      <c r="N714" s="186"/>
      <c r="O714" s="234"/>
      <c r="P714" s="186"/>
      <c r="Q714" s="234"/>
      <c r="R714" s="234"/>
      <c r="S714" s="186"/>
      <c r="T714" s="186"/>
      <c r="U714" s="186"/>
      <c r="V714" s="186"/>
      <c r="W714" s="186"/>
      <c r="X714" s="186"/>
      <c r="Y714" s="186"/>
      <c r="Z714" s="186"/>
    </row>
    <row r="715" spans="1:26" ht="12.75" customHeight="1">
      <c r="A715" s="186"/>
      <c r="B715" s="189"/>
      <c r="C715" s="189"/>
      <c r="D715" s="230"/>
      <c r="E715" s="230"/>
      <c r="F715" s="231"/>
      <c r="G715" s="189"/>
      <c r="H715" s="230"/>
      <c r="I715" s="230"/>
      <c r="J715" s="232"/>
      <c r="K715" s="233"/>
      <c r="L715" s="186"/>
      <c r="M715" s="186"/>
      <c r="N715" s="186"/>
      <c r="O715" s="234"/>
      <c r="P715" s="186"/>
      <c r="Q715" s="234"/>
      <c r="R715" s="234"/>
      <c r="S715" s="186"/>
      <c r="T715" s="186"/>
      <c r="U715" s="186"/>
      <c r="V715" s="186"/>
      <c r="W715" s="186"/>
      <c r="X715" s="186"/>
      <c r="Y715" s="186"/>
      <c r="Z715" s="186"/>
    </row>
    <row r="716" spans="1:26" ht="12.75" customHeight="1">
      <c r="A716" s="186"/>
      <c r="B716" s="189"/>
      <c r="C716" s="189"/>
      <c r="D716" s="230"/>
      <c r="E716" s="230"/>
      <c r="F716" s="231"/>
      <c r="G716" s="189"/>
      <c r="H716" s="230"/>
      <c r="I716" s="230"/>
      <c r="J716" s="232"/>
      <c r="K716" s="233"/>
      <c r="L716" s="186"/>
      <c r="M716" s="186"/>
      <c r="N716" s="186"/>
      <c r="O716" s="234"/>
      <c r="P716" s="186"/>
      <c r="Q716" s="234"/>
      <c r="R716" s="234"/>
      <c r="S716" s="186"/>
      <c r="T716" s="186"/>
      <c r="U716" s="186"/>
      <c r="V716" s="186"/>
      <c r="W716" s="186"/>
      <c r="X716" s="186"/>
      <c r="Y716" s="186"/>
      <c r="Z716" s="186"/>
    </row>
    <row r="717" spans="1:26" ht="12.75" customHeight="1">
      <c r="A717" s="186"/>
      <c r="B717" s="189"/>
      <c r="C717" s="189"/>
      <c r="D717" s="230"/>
      <c r="E717" s="230"/>
      <c r="F717" s="231"/>
      <c r="G717" s="189"/>
      <c r="H717" s="230"/>
      <c r="I717" s="230"/>
      <c r="J717" s="232"/>
      <c r="K717" s="233"/>
      <c r="L717" s="186"/>
      <c r="M717" s="186"/>
      <c r="N717" s="186"/>
      <c r="O717" s="234"/>
      <c r="P717" s="186"/>
      <c r="Q717" s="234"/>
      <c r="R717" s="234"/>
      <c r="S717" s="186"/>
      <c r="T717" s="186"/>
      <c r="U717" s="186"/>
      <c r="V717" s="186"/>
      <c r="W717" s="186"/>
      <c r="X717" s="186"/>
      <c r="Y717" s="186"/>
      <c r="Z717" s="186"/>
    </row>
    <row r="718" spans="1:26" ht="12.75" customHeight="1">
      <c r="A718" s="186"/>
      <c r="B718" s="189"/>
      <c r="C718" s="189"/>
      <c r="D718" s="230"/>
      <c r="E718" s="230"/>
      <c r="F718" s="231"/>
      <c r="G718" s="189"/>
      <c r="H718" s="230"/>
      <c r="I718" s="230"/>
      <c r="J718" s="232"/>
      <c r="K718" s="233"/>
      <c r="L718" s="186"/>
      <c r="M718" s="186"/>
      <c r="N718" s="186"/>
      <c r="O718" s="234"/>
      <c r="P718" s="186"/>
      <c r="Q718" s="234"/>
      <c r="R718" s="234"/>
      <c r="S718" s="186"/>
      <c r="T718" s="186"/>
      <c r="U718" s="186"/>
      <c r="V718" s="186"/>
      <c r="W718" s="186"/>
      <c r="X718" s="186"/>
      <c r="Y718" s="186"/>
      <c r="Z718" s="186"/>
    </row>
    <row r="719" spans="1:26" ht="12.75" customHeight="1">
      <c r="A719" s="186"/>
      <c r="B719" s="189"/>
      <c r="C719" s="189"/>
      <c r="D719" s="230"/>
      <c r="E719" s="230"/>
      <c r="F719" s="231"/>
      <c r="G719" s="189"/>
      <c r="H719" s="230"/>
      <c r="I719" s="230"/>
      <c r="J719" s="232"/>
      <c r="K719" s="233"/>
      <c r="L719" s="186"/>
      <c r="M719" s="186"/>
      <c r="N719" s="186"/>
      <c r="O719" s="234"/>
      <c r="P719" s="186"/>
      <c r="Q719" s="234"/>
      <c r="R719" s="234"/>
      <c r="S719" s="186"/>
      <c r="T719" s="186"/>
      <c r="U719" s="186"/>
      <c r="V719" s="186"/>
      <c r="W719" s="186"/>
      <c r="X719" s="186"/>
      <c r="Y719" s="186"/>
      <c r="Z719" s="186"/>
    </row>
    <row r="720" spans="1:26" ht="12.75" customHeight="1">
      <c r="A720" s="186"/>
      <c r="B720" s="189"/>
      <c r="C720" s="189"/>
      <c r="D720" s="230"/>
      <c r="E720" s="230"/>
      <c r="F720" s="231"/>
      <c r="G720" s="189"/>
      <c r="H720" s="230"/>
      <c r="I720" s="230"/>
      <c r="J720" s="232"/>
      <c r="K720" s="233"/>
      <c r="L720" s="186"/>
      <c r="M720" s="186"/>
      <c r="N720" s="186"/>
      <c r="O720" s="234"/>
      <c r="P720" s="186"/>
      <c r="Q720" s="234"/>
      <c r="R720" s="234"/>
      <c r="S720" s="186"/>
      <c r="T720" s="186"/>
      <c r="U720" s="186"/>
      <c r="V720" s="186"/>
      <c r="W720" s="186"/>
      <c r="X720" s="186"/>
      <c r="Y720" s="186"/>
      <c r="Z720" s="186"/>
    </row>
    <row r="721" spans="1:26" ht="12.75" customHeight="1">
      <c r="A721" s="186"/>
      <c r="B721" s="189"/>
      <c r="C721" s="189"/>
      <c r="D721" s="230"/>
      <c r="E721" s="230"/>
      <c r="F721" s="231"/>
      <c r="G721" s="189"/>
      <c r="H721" s="230"/>
      <c r="I721" s="230"/>
      <c r="J721" s="232"/>
      <c r="K721" s="233"/>
      <c r="L721" s="186"/>
      <c r="M721" s="186"/>
      <c r="N721" s="186"/>
      <c r="O721" s="234"/>
      <c r="P721" s="186"/>
      <c r="Q721" s="234"/>
      <c r="R721" s="234"/>
      <c r="S721" s="186"/>
      <c r="T721" s="186"/>
      <c r="U721" s="186"/>
      <c r="V721" s="186"/>
      <c r="W721" s="186"/>
      <c r="X721" s="186"/>
      <c r="Y721" s="186"/>
      <c r="Z721" s="186"/>
    </row>
    <row r="722" spans="1:26" ht="12.75" customHeight="1">
      <c r="A722" s="186"/>
      <c r="B722" s="189"/>
      <c r="C722" s="189"/>
      <c r="D722" s="230"/>
      <c r="E722" s="230"/>
      <c r="F722" s="231"/>
      <c r="G722" s="189"/>
      <c r="H722" s="230"/>
      <c r="I722" s="230"/>
      <c r="J722" s="232"/>
      <c r="K722" s="233"/>
      <c r="L722" s="186"/>
      <c r="M722" s="186"/>
      <c r="N722" s="186"/>
      <c r="O722" s="234"/>
      <c r="P722" s="186"/>
      <c r="Q722" s="234"/>
      <c r="R722" s="234"/>
      <c r="S722" s="186"/>
      <c r="T722" s="186"/>
      <c r="U722" s="186"/>
      <c r="V722" s="186"/>
      <c r="W722" s="186"/>
      <c r="X722" s="186"/>
      <c r="Y722" s="186"/>
      <c r="Z722" s="186"/>
    </row>
    <row r="723" spans="1:26" ht="12.75" customHeight="1">
      <c r="A723" s="186"/>
      <c r="B723" s="189"/>
      <c r="C723" s="189"/>
      <c r="D723" s="230"/>
      <c r="E723" s="230"/>
      <c r="F723" s="231"/>
      <c r="G723" s="189"/>
      <c r="H723" s="230"/>
      <c r="I723" s="230"/>
      <c r="J723" s="232"/>
      <c r="K723" s="233"/>
      <c r="L723" s="186"/>
      <c r="M723" s="186"/>
      <c r="N723" s="186"/>
      <c r="O723" s="234"/>
      <c r="P723" s="186"/>
      <c r="Q723" s="234"/>
      <c r="R723" s="234"/>
      <c r="S723" s="186"/>
      <c r="T723" s="186"/>
      <c r="U723" s="186"/>
      <c r="V723" s="186"/>
      <c r="W723" s="186"/>
      <c r="X723" s="186"/>
      <c r="Y723" s="186"/>
      <c r="Z723" s="186"/>
    </row>
    <row r="724" spans="1:26" ht="12.75" customHeight="1">
      <c r="A724" s="186"/>
      <c r="B724" s="189"/>
      <c r="C724" s="189"/>
      <c r="D724" s="230"/>
      <c r="E724" s="230"/>
      <c r="F724" s="231"/>
      <c r="G724" s="189"/>
      <c r="H724" s="230"/>
      <c r="I724" s="230"/>
      <c r="J724" s="232"/>
      <c r="K724" s="233"/>
      <c r="L724" s="186"/>
      <c r="M724" s="186"/>
      <c r="N724" s="186"/>
      <c r="O724" s="234"/>
      <c r="P724" s="186"/>
      <c r="Q724" s="234"/>
      <c r="R724" s="234"/>
      <c r="S724" s="186"/>
      <c r="T724" s="186"/>
      <c r="U724" s="186"/>
      <c r="V724" s="186"/>
      <c r="W724" s="186"/>
      <c r="X724" s="186"/>
      <c r="Y724" s="186"/>
      <c r="Z724" s="186"/>
    </row>
    <row r="725" spans="1:26" ht="12.75" customHeight="1">
      <c r="A725" s="186"/>
      <c r="B725" s="189"/>
      <c r="C725" s="189"/>
      <c r="D725" s="230"/>
      <c r="E725" s="230"/>
      <c r="F725" s="231"/>
      <c r="G725" s="189"/>
      <c r="H725" s="230"/>
      <c r="I725" s="230"/>
      <c r="J725" s="232"/>
      <c r="K725" s="233"/>
      <c r="L725" s="186"/>
      <c r="M725" s="186"/>
      <c r="N725" s="186"/>
      <c r="O725" s="234"/>
      <c r="P725" s="186"/>
      <c r="Q725" s="234"/>
      <c r="R725" s="234"/>
      <c r="S725" s="186"/>
      <c r="T725" s="186"/>
      <c r="U725" s="186"/>
      <c r="V725" s="186"/>
      <c r="W725" s="186"/>
      <c r="X725" s="186"/>
      <c r="Y725" s="186"/>
      <c r="Z725" s="186"/>
    </row>
    <row r="726" spans="1:26" ht="12.75" customHeight="1">
      <c r="A726" s="186"/>
      <c r="B726" s="189"/>
      <c r="C726" s="189"/>
      <c r="D726" s="230"/>
      <c r="E726" s="230"/>
      <c r="F726" s="231"/>
      <c r="G726" s="189"/>
      <c r="H726" s="230"/>
      <c r="I726" s="230"/>
      <c r="J726" s="232"/>
      <c r="K726" s="233"/>
      <c r="L726" s="186"/>
      <c r="M726" s="186"/>
      <c r="N726" s="186"/>
      <c r="O726" s="234"/>
      <c r="P726" s="186"/>
      <c r="Q726" s="234"/>
      <c r="R726" s="234"/>
      <c r="S726" s="186"/>
      <c r="T726" s="186"/>
      <c r="U726" s="186"/>
      <c r="V726" s="186"/>
      <c r="W726" s="186"/>
      <c r="X726" s="186"/>
      <c r="Y726" s="186"/>
      <c r="Z726" s="186"/>
    </row>
    <row r="727" spans="1:26" ht="12.75" customHeight="1">
      <c r="A727" s="186"/>
      <c r="B727" s="189"/>
      <c r="C727" s="189"/>
      <c r="D727" s="230"/>
      <c r="E727" s="230"/>
      <c r="F727" s="231"/>
      <c r="G727" s="189"/>
      <c r="H727" s="230"/>
      <c r="I727" s="230"/>
      <c r="J727" s="232"/>
      <c r="K727" s="233"/>
      <c r="L727" s="186"/>
      <c r="M727" s="186"/>
      <c r="N727" s="186"/>
      <c r="O727" s="234"/>
      <c r="P727" s="186"/>
      <c r="Q727" s="234"/>
      <c r="R727" s="234"/>
      <c r="S727" s="186"/>
      <c r="T727" s="186"/>
      <c r="U727" s="186"/>
      <c r="V727" s="186"/>
      <c r="W727" s="186"/>
      <c r="X727" s="186"/>
      <c r="Y727" s="186"/>
      <c r="Z727" s="186"/>
    </row>
    <row r="728" spans="1:26" ht="12.75" customHeight="1">
      <c r="A728" s="186"/>
      <c r="B728" s="189"/>
      <c r="C728" s="189"/>
      <c r="D728" s="230"/>
      <c r="E728" s="230"/>
      <c r="F728" s="231"/>
      <c r="G728" s="189"/>
      <c r="H728" s="230"/>
      <c r="I728" s="230"/>
      <c r="J728" s="232"/>
      <c r="K728" s="233"/>
      <c r="L728" s="186"/>
      <c r="M728" s="186"/>
      <c r="N728" s="186"/>
      <c r="O728" s="234"/>
      <c r="P728" s="186"/>
      <c r="Q728" s="234"/>
      <c r="R728" s="234"/>
      <c r="S728" s="186"/>
      <c r="T728" s="186"/>
      <c r="U728" s="186"/>
      <c r="V728" s="186"/>
      <c r="W728" s="186"/>
      <c r="X728" s="186"/>
      <c r="Y728" s="186"/>
      <c r="Z728" s="186"/>
    </row>
    <row r="729" spans="1:26" ht="12.75" customHeight="1">
      <c r="A729" s="186"/>
      <c r="B729" s="189"/>
      <c r="C729" s="189"/>
      <c r="D729" s="230"/>
      <c r="E729" s="230"/>
      <c r="F729" s="231"/>
      <c r="G729" s="189"/>
      <c r="H729" s="230"/>
      <c r="I729" s="230"/>
      <c r="J729" s="232"/>
      <c r="K729" s="233"/>
      <c r="L729" s="186"/>
      <c r="M729" s="186"/>
      <c r="N729" s="186"/>
      <c r="O729" s="234"/>
      <c r="P729" s="186"/>
      <c r="Q729" s="234"/>
      <c r="R729" s="234"/>
      <c r="S729" s="186"/>
      <c r="T729" s="186"/>
      <c r="U729" s="186"/>
      <c r="V729" s="186"/>
      <c r="W729" s="186"/>
      <c r="X729" s="186"/>
      <c r="Y729" s="186"/>
      <c r="Z729" s="186"/>
    </row>
    <row r="730" spans="1:26" ht="12.75" customHeight="1">
      <c r="A730" s="186"/>
      <c r="B730" s="189"/>
      <c r="C730" s="189"/>
      <c r="D730" s="230"/>
      <c r="E730" s="230"/>
      <c r="F730" s="231"/>
      <c r="G730" s="189"/>
      <c r="H730" s="230"/>
      <c r="I730" s="230"/>
      <c r="J730" s="232"/>
      <c r="K730" s="233"/>
      <c r="L730" s="186"/>
      <c r="M730" s="186"/>
      <c r="N730" s="186"/>
      <c r="O730" s="234"/>
      <c r="P730" s="186"/>
      <c r="Q730" s="234"/>
      <c r="R730" s="234"/>
      <c r="S730" s="186"/>
      <c r="T730" s="186"/>
      <c r="U730" s="186"/>
      <c r="V730" s="186"/>
      <c r="W730" s="186"/>
      <c r="X730" s="186"/>
      <c r="Y730" s="186"/>
      <c r="Z730" s="186"/>
    </row>
    <row r="731" spans="1:26" ht="12.75" customHeight="1">
      <c r="A731" s="186"/>
      <c r="B731" s="189"/>
      <c r="C731" s="189"/>
      <c r="D731" s="230"/>
      <c r="E731" s="230"/>
      <c r="F731" s="231"/>
      <c r="G731" s="189"/>
      <c r="H731" s="230"/>
      <c r="I731" s="230"/>
      <c r="J731" s="232"/>
      <c r="K731" s="233"/>
      <c r="L731" s="186"/>
      <c r="M731" s="186"/>
      <c r="N731" s="186"/>
      <c r="O731" s="234"/>
      <c r="P731" s="186"/>
      <c r="Q731" s="234"/>
      <c r="R731" s="234"/>
      <c r="S731" s="186"/>
      <c r="T731" s="186"/>
      <c r="U731" s="186"/>
      <c r="V731" s="186"/>
      <c r="W731" s="186"/>
      <c r="X731" s="186"/>
      <c r="Y731" s="186"/>
      <c r="Z731" s="186"/>
    </row>
    <row r="732" spans="1:26" ht="12.75" customHeight="1">
      <c r="A732" s="186"/>
      <c r="B732" s="189"/>
      <c r="C732" s="189"/>
      <c r="D732" s="230"/>
      <c r="E732" s="230"/>
      <c r="F732" s="231"/>
      <c r="G732" s="189"/>
      <c r="H732" s="230"/>
      <c r="I732" s="230"/>
      <c r="J732" s="232"/>
      <c r="K732" s="233"/>
      <c r="L732" s="186"/>
      <c r="M732" s="186"/>
      <c r="N732" s="186"/>
      <c r="O732" s="234"/>
      <c r="P732" s="186"/>
      <c r="Q732" s="234"/>
      <c r="R732" s="234"/>
      <c r="S732" s="186"/>
      <c r="T732" s="186"/>
      <c r="U732" s="186"/>
      <c r="V732" s="186"/>
      <c r="W732" s="186"/>
      <c r="X732" s="186"/>
      <c r="Y732" s="186"/>
      <c r="Z732" s="186"/>
    </row>
    <row r="733" spans="1:26" ht="12.75" customHeight="1">
      <c r="A733" s="186"/>
      <c r="B733" s="189"/>
      <c r="C733" s="189"/>
      <c r="D733" s="230"/>
      <c r="E733" s="230"/>
      <c r="F733" s="231"/>
      <c r="G733" s="189"/>
      <c r="H733" s="230"/>
      <c r="I733" s="230"/>
      <c r="J733" s="232"/>
      <c r="K733" s="233"/>
      <c r="L733" s="186"/>
      <c r="M733" s="186"/>
      <c r="N733" s="186"/>
      <c r="O733" s="234"/>
      <c r="P733" s="186"/>
      <c r="Q733" s="234"/>
      <c r="R733" s="234"/>
      <c r="S733" s="186"/>
      <c r="T733" s="186"/>
      <c r="U733" s="186"/>
      <c r="V733" s="186"/>
      <c r="W733" s="186"/>
      <c r="X733" s="186"/>
      <c r="Y733" s="186"/>
      <c r="Z733" s="186"/>
    </row>
    <row r="734" spans="1:26" ht="12.75" customHeight="1">
      <c r="A734" s="186"/>
      <c r="B734" s="189"/>
      <c r="C734" s="189"/>
      <c r="D734" s="230"/>
      <c r="E734" s="230"/>
      <c r="F734" s="231"/>
      <c r="G734" s="189"/>
      <c r="H734" s="230"/>
      <c r="I734" s="230"/>
      <c r="J734" s="232"/>
      <c r="K734" s="233"/>
      <c r="L734" s="186"/>
      <c r="M734" s="186"/>
      <c r="N734" s="186"/>
      <c r="O734" s="234"/>
      <c r="P734" s="186"/>
      <c r="Q734" s="234"/>
      <c r="R734" s="234"/>
      <c r="S734" s="186"/>
      <c r="T734" s="186"/>
      <c r="U734" s="186"/>
      <c r="V734" s="186"/>
      <c r="W734" s="186"/>
      <c r="X734" s="186"/>
      <c r="Y734" s="186"/>
      <c r="Z734" s="186"/>
    </row>
    <row r="735" spans="1:26" ht="12.75" customHeight="1">
      <c r="A735" s="186"/>
      <c r="B735" s="189"/>
      <c r="C735" s="189"/>
      <c r="D735" s="230"/>
      <c r="E735" s="230"/>
      <c r="F735" s="231"/>
      <c r="G735" s="189"/>
      <c r="H735" s="230"/>
      <c r="I735" s="230"/>
      <c r="J735" s="232"/>
      <c r="K735" s="233"/>
      <c r="L735" s="186"/>
      <c r="M735" s="186"/>
      <c r="N735" s="186"/>
      <c r="O735" s="234"/>
      <c r="P735" s="186"/>
      <c r="Q735" s="234"/>
      <c r="R735" s="234"/>
      <c r="S735" s="186"/>
      <c r="T735" s="186"/>
      <c r="U735" s="186"/>
      <c r="V735" s="186"/>
      <c r="W735" s="186"/>
      <c r="X735" s="186"/>
      <c r="Y735" s="186"/>
      <c r="Z735" s="186"/>
    </row>
    <row r="736" spans="1:26" ht="12.75" customHeight="1">
      <c r="A736" s="186"/>
      <c r="B736" s="189"/>
      <c r="C736" s="189"/>
      <c r="D736" s="230"/>
      <c r="E736" s="230"/>
      <c r="F736" s="231"/>
      <c r="G736" s="189"/>
      <c r="H736" s="230"/>
      <c r="I736" s="230"/>
      <c r="J736" s="232"/>
      <c r="K736" s="233"/>
      <c r="L736" s="186"/>
      <c r="M736" s="186"/>
      <c r="N736" s="186"/>
      <c r="O736" s="234"/>
      <c r="P736" s="186"/>
      <c r="Q736" s="234"/>
      <c r="R736" s="234"/>
      <c r="S736" s="186"/>
      <c r="T736" s="186"/>
      <c r="U736" s="186"/>
      <c r="V736" s="186"/>
      <c r="W736" s="186"/>
      <c r="X736" s="186"/>
      <c r="Y736" s="186"/>
      <c r="Z736" s="186"/>
    </row>
    <row r="737" spans="1:26" ht="12.75" customHeight="1">
      <c r="A737" s="186"/>
      <c r="B737" s="189"/>
      <c r="C737" s="189"/>
      <c r="D737" s="230"/>
      <c r="E737" s="230"/>
      <c r="F737" s="231"/>
      <c r="G737" s="189"/>
      <c r="H737" s="230"/>
      <c r="I737" s="230"/>
      <c r="J737" s="232"/>
      <c r="K737" s="233"/>
      <c r="L737" s="186"/>
      <c r="M737" s="186"/>
      <c r="N737" s="186"/>
      <c r="O737" s="234"/>
      <c r="P737" s="186"/>
      <c r="Q737" s="234"/>
      <c r="R737" s="234"/>
      <c r="S737" s="186"/>
      <c r="T737" s="186"/>
      <c r="U737" s="186"/>
      <c r="V737" s="186"/>
      <c r="W737" s="186"/>
      <c r="X737" s="186"/>
      <c r="Y737" s="186"/>
      <c r="Z737" s="186"/>
    </row>
    <row r="738" spans="1:26" ht="12.75" customHeight="1">
      <c r="A738" s="186"/>
      <c r="B738" s="189"/>
      <c r="C738" s="189"/>
      <c r="D738" s="230"/>
      <c r="E738" s="230"/>
      <c r="F738" s="231"/>
      <c r="G738" s="189"/>
      <c r="H738" s="230"/>
      <c r="I738" s="230"/>
      <c r="J738" s="232"/>
      <c r="K738" s="233"/>
      <c r="L738" s="186"/>
      <c r="M738" s="186"/>
      <c r="N738" s="186"/>
      <c r="O738" s="234"/>
      <c r="P738" s="186"/>
      <c r="Q738" s="234"/>
      <c r="R738" s="234"/>
      <c r="S738" s="186"/>
      <c r="T738" s="186"/>
      <c r="U738" s="186"/>
      <c r="V738" s="186"/>
      <c r="W738" s="186"/>
      <c r="X738" s="186"/>
      <c r="Y738" s="186"/>
      <c r="Z738" s="186"/>
    </row>
    <row r="739" spans="1:26" ht="12.75" customHeight="1">
      <c r="A739" s="186"/>
      <c r="B739" s="189"/>
      <c r="C739" s="189"/>
      <c r="D739" s="230"/>
      <c r="E739" s="230"/>
      <c r="F739" s="231"/>
      <c r="G739" s="189"/>
      <c r="H739" s="230"/>
      <c r="I739" s="230"/>
      <c r="J739" s="232"/>
      <c r="K739" s="233"/>
      <c r="L739" s="186"/>
      <c r="M739" s="186"/>
      <c r="N739" s="186"/>
      <c r="O739" s="234"/>
      <c r="P739" s="186"/>
      <c r="Q739" s="234"/>
      <c r="R739" s="234"/>
      <c r="S739" s="186"/>
      <c r="T739" s="186"/>
      <c r="U739" s="186"/>
      <c r="V739" s="186"/>
      <c r="W739" s="186"/>
      <c r="X739" s="186"/>
      <c r="Y739" s="186"/>
      <c r="Z739" s="186"/>
    </row>
    <row r="740" spans="1:26" ht="12.75" customHeight="1">
      <c r="A740" s="186"/>
      <c r="B740" s="189"/>
      <c r="C740" s="189"/>
      <c r="D740" s="230"/>
      <c r="E740" s="230"/>
      <c r="F740" s="231"/>
      <c r="G740" s="189"/>
      <c r="H740" s="230"/>
      <c r="I740" s="230"/>
      <c r="J740" s="232"/>
      <c r="K740" s="233"/>
      <c r="L740" s="186"/>
      <c r="M740" s="186"/>
      <c r="N740" s="186"/>
      <c r="O740" s="234"/>
      <c r="P740" s="186"/>
      <c r="Q740" s="234"/>
      <c r="R740" s="234"/>
      <c r="S740" s="186"/>
      <c r="T740" s="186"/>
      <c r="U740" s="186"/>
      <c r="V740" s="186"/>
      <c r="W740" s="186"/>
      <c r="X740" s="186"/>
      <c r="Y740" s="186"/>
      <c r="Z740" s="186"/>
    </row>
    <row r="741" spans="1:26" ht="12.75" customHeight="1">
      <c r="A741" s="186"/>
      <c r="B741" s="189"/>
      <c r="C741" s="189"/>
      <c r="D741" s="230"/>
      <c r="E741" s="230"/>
      <c r="F741" s="231"/>
      <c r="G741" s="189"/>
      <c r="H741" s="230"/>
      <c r="I741" s="230"/>
      <c r="J741" s="232"/>
      <c r="K741" s="233"/>
      <c r="L741" s="186"/>
      <c r="M741" s="186"/>
      <c r="N741" s="186"/>
      <c r="O741" s="234"/>
      <c r="P741" s="186"/>
      <c r="Q741" s="234"/>
      <c r="R741" s="234"/>
      <c r="S741" s="186"/>
      <c r="T741" s="186"/>
      <c r="U741" s="186"/>
      <c r="V741" s="186"/>
      <c r="W741" s="186"/>
      <c r="X741" s="186"/>
      <c r="Y741" s="186"/>
      <c r="Z741" s="186"/>
    </row>
    <row r="742" spans="1:26" ht="12.75" customHeight="1">
      <c r="A742" s="186"/>
      <c r="B742" s="189"/>
      <c r="C742" s="189"/>
      <c r="D742" s="230"/>
      <c r="E742" s="230"/>
      <c r="F742" s="231"/>
      <c r="G742" s="189"/>
      <c r="H742" s="230"/>
      <c r="I742" s="230"/>
      <c r="J742" s="232"/>
      <c r="K742" s="233"/>
      <c r="L742" s="186"/>
      <c r="M742" s="186"/>
      <c r="N742" s="186"/>
      <c r="O742" s="234"/>
      <c r="P742" s="186"/>
      <c r="Q742" s="234"/>
      <c r="R742" s="234"/>
      <c r="S742" s="186"/>
      <c r="T742" s="186"/>
      <c r="U742" s="186"/>
      <c r="V742" s="186"/>
      <c r="W742" s="186"/>
      <c r="X742" s="186"/>
      <c r="Y742" s="186"/>
      <c r="Z742" s="186"/>
    </row>
    <row r="743" spans="1:26" ht="12.75" customHeight="1">
      <c r="A743" s="186"/>
      <c r="B743" s="189"/>
      <c r="C743" s="189"/>
      <c r="D743" s="230"/>
      <c r="E743" s="230"/>
      <c r="F743" s="231"/>
      <c r="G743" s="189"/>
      <c r="H743" s="230"/>
      <c r="I743" s="230"/>
      <c r="J743" s="232"/>
      <c r="K743" s="233"/>
      <c r="L743" s="186"/>
      <c r="M743" s="186"/>
      <c r="N743" s="186"/>
      <c r="O743" s="234"/>
      <c r="P743" s="186"/>
      <c r="Q743" s="234"/>
      <c r="R743" s="234"/>
      <c r="S743" s="186"/>
      <c r="T743" s="186"/>
      <c r="U743" s="186"/>
      <c r="V743" s="186"/>
      <c r="W743" s="186"/>
      <c r="X743" s="186"/>
      <c r="Y743" s="186"/>
      <c r="Z743" s="186"/>
    </row>
    <row r="744" spans="1:26" ht="12.75" customHeight="1">
      <c r="A744" s="186"/>
      <c r="B744" s="189"/>
      <c r="C744" s="189"/>
      <c r="D744" s="230"/>
      <c r="E744" s="230"/>
      <c r="F744" s="231"/>
      <c r="G744" s="189"/>
      <c r="H744" s="230"/>
      <c r="I744" s="230"/>
      <c r="J744" s="232"/>
      <c r="K744" s="233"/>
      <c r="L744" s="186"/>
      <c r="M744" s="186"/>
      <c r="N744" s="186"/>
      <c r="O744" s="234"/>
      <c r="P744" s="186"/>
      <c r="Q744" s="234"/>
      <c r="R744" s="234"/>
      <c r="S744" s="186"/>
      <c r="T744" s="186"/>
      <c r="U744" s="186"/>
      <c r="V744" s="186"/>
      <c r="W744" s="186"/>
      <c r="X744" s="186"/>
      <c r="Y744" s="186"/>
      <c r="Z744" s="186"/>
    </row>
    <row r="745" spans="1:26" ht="12.75" customHeight="1">
      <c r="A745" s="186"/>
      <c r="B745" s="189"/>
      <c r="C745" s="189"/>
      <c r="D745" s="230"/>
      <c r="E745" s="230"/>
      <c r="F745" s="231"/>
      <c r="G745" s="189"/>
      <c r="H745" s="230"/>
      <c r="I745" s="230"/>
      <c r="J745" s="232"/>
      <c r="K745" s="233"/>
      <c r="L745" s="186"/>
      <c r="M745" s="186"/>
      <c r="N745" s="186"/>
      <c r="O745" s="234"/>
      <c r="P745" s="186"/>
      <c r="Q745" s="234"/>
      <c r="R745" s="234"/>
      <c r="S745" s="186"/>
      <c r="T745" s="186"/>
      <c r="U745" s="186"/>
      <c r="V745" s="186"/>
      <c r="W745" s="186"/>
      <c r="X745" s="186"/>
      <c r="Y745" s="186"/>
      <c r="Z745" s="186"/>
    </row>
    <row r="746" spans="1:26" ht="12.75" customHeight="1">
      <c r="A746" s="186"/>
      <c r="B746" s="189"/>
      <c r="C746" s="189"/>
      <c r="D746" s="230"/>
      <c r="E746" s="230"/>
      <c r="F746" s="231"/>
      <c r="G746" s="189"/>
      <c r="H746" s="230"/>
      <c r="I746" s="230"/>
      <c r="J746" s="232"/>
      <c r="K746" s="233"/>
      <c r="L746" s="186"/>
      <c r="M746" s="186"/>
      <c r="N746" s="186"/>
      <c r="O746" s="234"/>
      <c r="P746" s="186"/>
      <c r="Q746" s="234"/>
      <c r="R746" s="234"/>
      <c r="S746" s="186"/>
      <c r="T746" s="186"/>
      <c r="U746" s="186"/>
      <c r="V746" s="186"/>
      <c r="W746" s="186"/>
      <c r="X746" s="186"/>
      <c r="Y746" s="186"/>
      <c r="Z746" s="186"/>
    </row>
    <row r="747" spans="1:26" ht="12.75" customHeight="1">
      <c r="A747" s="186"/>
      <c r="B747" s="189"/>
      <c r="C747" s="189"/>
      <c r="D747" s="230"/>
      <c r="E747" s="230"/>
      <c r="F747" s="231"/>
      <c r="G747" s="189"/>
      <c r="H747" s="230"/>
      <c r="I747" s="230"/>
      <c r="J747" s="232"/>
      <c r="K747" s="233"/>
      <c r="L747" s="186"/>
      <c r="M747" s="186"/>
      <c r="N747" s="186"/>
      <c r="O747" s="234"/>
      <c r="P747" s="186"/>
      <c r="Q747" s="234"/>
      <c r="R747" s="234"/>
      <c r="S747" s="186"/>
      <c r="T747" s="186"/>
      <c r="U747" s="186"/>
      <c r="V747" s="186"/>
      <c r="W747" s="186"/>
      <c r="X747" s="186"/>
      <c r="Y747" s="186"/>
      <c r="Z747" s="186"/>
    </row>
    <row r="748" spans="1:26" ht="12.75" customHeight="1">
      <c r="A748" s="186"/>
      <c r="B748" s="189"/>
      <c r="C748" s="189"/>
      <c r="D748" s="230"/>
      <c r="E748" s="230"/>
      <c r="F748" s="231"/>
      <c r="G748" s="189"/>
      <c r="H748" s="230"/>
      <c r="I748" s="230"/>
      <c r="J748" s="232"/>
      <c r="K748" s="233"/>
      <c r="L748" s="186"/>
      <c r="M748" s="186"/>
      <c r="N748" s="186"/>
      <c r="O748" s="234"/>
      <c r="P748" s="186"/>
      <c r="Q748" s="234"/>
      <c r="R748" s="234"/>
      <c r="S748" s="186"/>
      <c r="T748" s="186"/>
      <c r="U748" s="186"/>
      <c r="V748" s="186"/>
      <c r="W748" s="186"/>
      <c r="X748" s="186"/>
      <c r="Y748" s="186"/>
      <c r="Z748" s="186"/>
    </row>
    <row r="749" spans="1:26" ht="12.75" customHeight="1">
      <c r="A749" s="186"/>
      <c r="B749" s="189"/>
      <c r="C749" s="189"/>
      <c r="D749" s="230"/>
      <c r="E749" s="230"/>
      <c r="F749" s="231"/>
      <c r="G749" s="189"/>
      <c r="H749" s="230"/>
      <c r="I749" s="230"/>
      <c r="J749" s="232"/>
      <c r="K749" s="233"/>
      <c r="L749" s="186"/>
      <c r="M749" s="186"/>
      <c r="N749" s="186"/>
      <c r="O749" s="234"/>
      <c r="P749" s="186"/>
      <c r="Q749" s="234"/>
      <c r="R749" s="234"/>
      <c r="S749" s="186"/>
      <c r="T749" s="186"/>
      <c r="U749" s="186"/>
      <c r="V749" s="186"/>
      <c r="W749" s="186"/>
      <c r="X749" s="186"/>
      <c r="Y749" s="186"/>
      <c r="Z749" s="186"/>
    </row>
    <row r="750" spans="1:26" ht="12.75" customHeight="1">
      <c r="A750" s="186"/>
      <c r="B750" s="189"/>
      <c r="C750" s="189"/>
      <c r="D750" s="230"/>
      <c r="E750" s="230"/>
      <c r="F750" s="231"/>
      <c r="G750" s="189"/>
      <c r="H750" s="230"/>
      <c r="I750" s="230"/>
      <c r="J750" s="232"/>
      <c r="K750" s="233"/>
      <c r="L750" s="186"/>
      <c r="M750" s="186"/>
      <c r="N750" s="186"/>
      <c r="O750" s="234"/>
      <c r="P750" s="186"/>
      <c r="Q750" s="234"/>
      <c r="R750" s="234"/>
      <c r="S750" s="186"/>
      <c r="T750" s="186"/>
      <c r="U750" s="186"/>
      <c r="V750" s="186"/>
      <c r="W750" s="186"/>
      <c r="X750" s="186"/>
      <c r="Y750" s="186"/>
      <c r="Z750" s="186"/>
    </row>
    <row r="751" spans="1:26" ht="12.75" customHeight="1">
      <c r="A751" s="186"/>
      <c r="B751" s="189"/>
      <c r="C751" s="189"/>
      <c r="D751" s="230"/>
      <c r="E751" s="230"/>
      <c r="F751" s="231"/>
      <c r="G751" s="189"/>
      <c r="H751" s="230"/>
      <c r="I751" s="230"/>
      <c r="J751" s="232"/>
      <c r="K751" s="233"/>
      <c r="L751" s="186"/>
      <c r="M751" s="186"/>
      <c r="N751" s="186"/>
      <c r="O751" s="234"/>
      <c r="P751" s="186"/>
      <c r="Q751" s="234"/>
      <c r="R751" s="234"/>
      <c r="S751" s="186"/>
      <c r="T751" s="186"/>
      <c r="U751" s="186"/>
      <c r="V751" s="186"/>
      <c r="W751" s="186"/>
      <c r="X751" s="186"/>
      <c r="Y751" s="186"/>
      <c r="Z751" s="186"/>
    </row>
    <row r="752" spans="1:26" ht="12.75" customHeight="1">
      <c r="A752" s="186"/>
      <c r="B752" s="189"/>
      <c r="C752" s="189"/>
      <c r="D752" s="230"/>
      <c r="E752" s="230"/>
      <c r="F752" s="231"/>
      <c r="G752" s="189"/>
      <c r="H752" s="230"/>
      <c r="I752" s="230"/>
      <c r="J752" s="232"/>
      <c r="K752" s="233"/>
      <c r="L752" s="186"/>
      <c r="M752" s="186"/>
      <c r="N752" s="186"/>
      <c r="O752" s="234"/>
      <c r="P752" s="186"/>
      <c r="Q752" s="234"/>
      <c r="R752" s="234"/>
      <c r="S752" s="186"/>
      <c r="T752" s="186"/>
      <c r="U752" s="186"/>
      <c r="V752" s="186"/>
      <c r="W752" s="186"/>
      <c r="X752" s="186"/>
      <c r="Y752" s="186"/>
      <c r="Z752" s="186"/>
    </row>
    <row r="753" spans="1:26" ht="12.75" customHeight="1">
      <c r="A753" s="186"/>
      <c r="B753" s="189"/>
      <c r="C753" s="189"/>
      <c r="D753" s="230"/>
      <c r="E753" s="230"/>
      <c r="F753" s="231"/>
      <c r="G753" s="189"/>
      <c r="H753" s="230"/>
      <c r="I753" s="230"/>
      <c r="J753" s="232"/>
      <c r="K753" s="233"/>
      <c r="L753" s="186"/>
      <c r="M753" s="186"/>
      <c r="N753" s="186"/>
      <c r="O753" s="234"/>
      <c r="P753" s="186"/>
      <c r="Q753" s="234"/>
      <c r="R753" s="234"/>
      <c r="S753" s="186"/>
      <c r="T753" s="186"/>
      <c r="U753" s="186"/>
      <c r="V753" s="186"/>
      <c r="W753" s="186"/>
      <c r="X753" s="186"/>
      <c r="Y753" s="186"/>
      <c r="Z753" s="186"/>
    </row>
    <row r="754" spans="1:26" ht="12.75" customHeight="1">
      <c r="A754" s="186"/>
      <c r="B754" s="189"/>
      <c r="C754" s="189"/>
      <c r="D754" s="230"/>
      <c r="E754" s="230"/>
      <c r="F754" s="231"/>
      <c r="G754" s="189"/>
      <c r="H754" s="230"/>
      <c r="I754" s="230"/>
      <c r="J754" s="232"/>
      <c r="K754" s="233"/>
      <c r="L754" s="186"/>
      <c r="M754" s="186"/>
      <c r="N754" s="186"/>
      <c r="O754" s="234"/>
      <c r="P754" s="186"/>
      <c r="Q754" s="234"/>
      <c r="R754" s="234"/>
      <c r="S754" s="186"/>
      <c r="T754" s="186"/>
      <c r="U754" s="186"/>
      <c r="V754" s="186"/>
      <c r="W754" s="186"/>
      <c r="X754" s="186"/>
      <c r="Y754" s="186"/>
      <c r="Z754" s="186"/>
    </row>
    <row r="755" spans="1:26" ht="12.75" customHeight="1">
      <c r="A755" s="186"/>
      <c r="B755" s="189"/>
      <c r="C755" s="189"/>
      <c r="D755" s="230"/>
      <c r="E755" s="230"/>
      <c r="F755" s="231"/>
      <c r="G755" s="189"/>
      <c r="H755" s="230"/>
      <c r="I755" s="230"/>
      <c r="J755" s="232"/>
      <c r="K755" s="233"/>
      <c r="L755" s="186"/>
      <c r="M755" s="186"/>
      <c r="N755" s="186"/>
      <c r="O755" s="234"/>
      <c r="P755" s="186"/>
      <c r="Q755" s="234"/>
      <c r="R755" s="234"/>
      <c r="S755" s="186"/>
      <c r="T755" s="186"/>
      <c r="U755" s="186"/>
      <c r="V755" s="186"/>
      <c r="W755" s="186"/>
      <c r="X755" s="186"/>
      <c r="Y755" s="186"/>
      <c r="Z755" s="186"/>
    </row>
    <row r="756" spans="1:26" ht="12.75" customHeight="1">
      <c r="A756" s="186"/>
      <c r="B756" s="189"/>
      <c r="C756" s="189"/>
      <c r="D756" s="230"/>
      <c r="E756" s="230"/>
      <c r="F756" s="231"/>
      <c r="G756" s="189"/>
      <c r="H756" s="230"/>
      <c r="I756" s="230"/>
      <c r="J756" s="232"/>
      <c r="K756" s="233"/>
      <c r="L756" s="186"/>
      <c r="M756" s="186"/>
      <c r="N756" s="186"/>
      <c r="O756" s="234"/>
      <c r="P756" s="186"/>
      <c r="Q756" s="234"/>
      <c r="R756" s="234"/>
      <c r="S756" s="186"/>
      <c r="T756" s="186"/>
      <c r="U756" s="186"/>
      <c r="V756" s="186"/>
      <c r="W756" s="186"/>
      <c r="X756" s="186"/>
      <c r="Y756" s="186"/>
      <c r="Z756" s="186"/>
    </row>
    <row r="757" spans="1:26" ht="12.75" customHeight="1">
      <c r="A757" s="186"/>
      <c r="B757" s="189"/>
      <c r="C757" s="189"/>
      <c r="D757" s="230"/>
      <c r="E757" s="230"/>
      <c r="F757" s="231"/>
      <c r="G757" s="189"/>
      <c r="H757" s="230"/>
      <c r="I757" s="230"/>
      <c r="J757" s="232"/>
      <c r="K757" s="233"/>
      <c r="L757" s="186"/>
      <c r="M757" s="186"/>
      <c r="N757" s="186"/>
      <c r="O757" s="234"/>
      <c r="P757" s="186"/>
      <c r="Q757" s="234"/>
      <c r="R757" s="234"/>
      <c r="S757" s="186"/>
      <c r="T757" s="186"/>
      <c r="U757" s="186"/>
      <c r="V757" s="186"/>
      <c r="W757" s="186"/>
      <c r="X757" s="186"/>
      <c r="Y757" s="186"/>
      <c r="Z757" s="186"/>
    </row>
    <row r="758" spans="1:26" ht="12.75" customHeight="1">
      <c r="A758" s="186"/>
      <c r="B758" s="189"/>
      <c r="C758" s="189"/>
      <c r="D758" s="230"/>
      <c r="E758" s="230"/>
      <c r="F758" s="231"/>
      <c r="G758" s="189"/>
      <c r="H758" s="230"/>
      <c r="I758" s="230"/>
      <c r="J758" s="232"/>
      <c r="K758" s="233"/>
      <c r="L758" s="186"/>
      <c r="M758" s="186"/>
      <c r="N758" s="186"/>
      <c r="O758" s="234"/>
      <c r="P758" s="186"/>
      <c r="Q758" s="234"/>
      <c r="R758" s="234"/>
      <c r="S758" s="186"/>
      <c r="T758" s="186"/>
      <c r="U758" s="186"/>
      <c r="V758" s="186"/>
      <c r="W758" s="186"/>
      <c r="X758" s="186"/>
      <c r="Y758" s="186"/>
      <c r="Z758" s="186"/>
    </row>
    <row r="759" spans="1:26" ht="12.75" customHeight="1">
      <c r="A759" s="186"/>
      <c r="B759" s="189"/>
      <c r="C759" s="189"/>
      <c r="D759" s="230"/>
      <c r="E759" s="230"/>
      <c r="F759" s="231"/>
      <c r="G759" s="189"/>
      <c r="H759" s="230"/>
      <c r="I759" s="230"/>
      <c r="J759" s="232"/>
      <c r="K759" s="233"/>
      <c r="L759" s="186"/>
      <c r="M759" s="186"/>
      <c r="N759" s="186"/>
      <c r="O759" s="234"/>
      <c r="P759" s="186"/>
      <c r="Q759" s="234"/>
      <c r="R759" s="234"/>
      <c r="S759" s="186"/>
      <c r="T759" s="186"/>
      <c r="U759" s="186"/>
      <c r="V759" s="186"/>
      <c r="W759" s="186"/>
      <c r="X759" s="186"/>
      <c r="Y759" s="186"/>
      <c r="Z759" s="186"/>
    </row>
    <row r="760" spans="1:26" ht="12.75" customHeight="1">
      <c r="A760" s="186"/>
      <c r="B760" s="189"/>
      <c r="C760" s="189"/>
      <c r="D760" s="230"/>
      <c r="E760" s="230"/>
      <c r="F760" s="231"/>
      <c r="G760" s="189"/>
      <c r="H760" s="230"/>
      <c r="I760" s="230"/>
      <c r="J760" s="232"/>
      <c r="K760" s="233"/>
      <c r="L760" s="186"/>
      <c r="M760" s="186"/>
      <c r="N760" s="186"/>
      <c r="O760" s="234"/>
      <c r="P760" s="186"/>
      <c r="Q760" s="234"/>
      <c r="R760" s="234"/>
      <c r="S760" s="186"/>
      <c r="T760" s="186"/>
      <c r="U760" s="186"/>
      <c r="V760" s="186"/>
      <c r="W760" s="186"/>
      <c r="X760" s="186"/>
      <c r="Y760" s="186"/>
      <c r="Z760" s="186"/>
    </row>
    <row r="761" spans="1:26" ht="12.75" customHeight="1">
      <c r="A761" s="186"/>
      <c r="B761" s="189"/>
      <c r="C761" s="189"/>
      <c r="D761" s="230"/>
      <c r="E761" s="230"/>
      <c r="F761" s="231"/>
      <c r="G761" s="189"/>
      <c r="H761" s="230"/>
      <c r="I761" s="230"/>
      <c r="J761" s="232"/>
      <c r="K761" s="233"/>
      <c r="L761" s="186"/>
      <c r="M761" s="186"/>
      <c r="N761" s="186"/>
      <c r="O761" s="234"/>
      <c r="P761" s="186"/>
      <c r="Q761" s="234"/>
      <c r="R761" s="234"/>
      <c r="S761" s="186"/>
      <c r="T761" s="186"/>
      <c r="U761" s="186"/>
      <c r="V761" s="186"/>
      <c r="W761" s="186"/>
      <c r="X761" s="186"/>
      <c r="Y761" s="186"/>
      <c r="Z761" s="186"/>
    </row>
    <row r="762" spans="1:26" ht="12.75" customHeight="1">
      <c r="A762" s="186"/>
      <c r="B762" s="189"/>
      <c r="C762" s="189"/>
      <c r="D762" s="230"/>
      <c r="E762" s="230"/>
      <c r="F762" s="231"/>
      <c r="G762" s="189"/>
      <c r="H762" s="230"/>
      <c r="I762" s="230"/>
      <c r="J762" s="232"/>
      <c r="K762" s="233"/>
      <c r="L762" s="186"/>
      <c r="M762" s="186"/>
      <c r="N762" s="186"/>
      <c r="O762" s="234"/>
      <c r="P762" s="186"/>
      <c r="Q762" s="234"/>
      <c r="R762" s="234"/>
      <c r="S762" s="186"/>
      <c r="T762" s="186"/>
      <c r="U762" s="186"/>
      <c r="V762" s="186"/>
      <c r="W762" s="186"/>
      <c r="X762" s="186"/>
      <c r="Y762" s="186"/>
      <c r="Z762" s="186"/>
    </row>
    <row r="763" spans="1:26" ht="12.75" customHeight="1">
      <c r="A763" s="186"/>
      <c r="B763" s="189"/>
      <c r="C763" s="189"/>
      <c r="D763" s="230"/>
      <c r="E763" s="230"/>
      <c r="F763" s="231"/>
      <c r="G763" s="189"/>
      <c r="H763" s="230"/>
      <c r="I763" s="230"/>
      <c r="J763" s="232"/>
      <c r="K763" s="233"/>
      <c r="L763" s="186"/>
      <c r="M763" s="186"/>
      <c r="N763" s="186"/>
      <c r="O763" s="234"/>
      <c r="P763" s="186"/>
      <c r="Q763" s="234"/>
      <c r="R763" s="234"/>
      <c r="S763" s="186"/>
      <c r="T763" s="186"/>
      <c r="U763" s="186"/>
      <c r="V763" s="186"/>
      <c r="W763" s="186"/>
      <c r="X763" s="186"/>
      <c r="Y763" s="186"/>
      <c r="Z763" s="186"/>
    </row>
    <row r="764" spans="1:26" ht="12.75" customHeight="1">
      <c r="A764" s="186"/>
      <c r="B764" s="189"/>
      <c r="C764" s="189"/>
      <c r="D764" s="230"/>
      <c r="E764" s="230"/>
      <c r="F764" s="231"/>
      <c r="G764" s="189"/>
      <c r="H764" s="230"/>
      <c r="I764" s="230"/>
      <c r="J764" s="232"/>
      <c r="K764" s="233"/>
      <c r="L764" s="186"/>
      <c r="M764" s="186"/>
      <c r="N764" s="186"/>
      <c r="O764" s="234"/>
      <c r="P764" s="186"/>
      <c r="Q764" s="234"/>
      <c r="R764" s="234"/>
      <c r="S764" s="186"/>
      <c r="T764" s="186"/>
      <c r="U764" s="186"/>
      <c r="V764" s="186"/>
      <c r="W764" s="186"/>
      <c r="X764" s="186"/>
      <c r="Y764" s="186"/>
      <c r="Z764" s="186"/>
    </row>
    <row r="765" spans="1:26" ht="12.75" customHeight="1">
      <c r="A765" s="186"/>
      <c r="B765" s="189"/>
      <c r="C765" s="189"/>
      <c r="D765" s="230"/>
      <c r="E765" s="230"/>
      <c r="F765" s="231"/>
      <c r="G765" s="189"/>
      <c r="H765" s="230"/>
      <c r="I765" s="230"/>
      <c r="J765" s="232"/>
      <c r="K765" s="233"/>
      <c r="L765" s="186"/>
      <c r="M765" s="186"/>
      <c r="N765" s="186"/>
      <c r="O765" s="234"/>
      <c r="P765" s="186"/>
      <c r="Q765" s="234"/>
      <c r="R765" s="234"/>
      <c r="S765" s="186"/>
      <c r="T765" s="186"/>
      <c r="U765" s="186"/>
      <c r="V765" s="186"/>
      <c r="W765" s="186"/>
      <c r="X765" s="186"/>
      <c r="Y765" s="186"/>
      <c r="Z765" s="186"/>
    </row>
    <row r="766" spans="1:26" ht="12.75" customHeight="1">
      <c r="A766" s="186"/>
      <c r="B766" s="189"/>
      <c r="C766" s="189"/>
      <c r="D766" s="230"/>
      <c r="E766" s="230"/>
      <c r="F766" s="231"/>
      <c r="G766" s="189"/>
      <c r="H766" s="230"/>
      <c r="I766" s="230"/>
      <c r="J766" s="232"/>
      <c r="K766" s="233"/>
      <c r="L766" s="186"/>
      <c r="M766" s="186"/>
      <c r="N766" s="186"/>
      <c r="O766" s="234"/>
      <c r="P766" s="186"/>
      <c r="Q766" s="234"/>
      <c r="R766" s="234"/>
      <c r="S766" s="186"/>
      <c r="T766" s="186"/>
      <c r="U766" s="186"/>
      <c r="V766" s="186"/>
      <c r="W766" s="186"/>
      <c r="X766" s="186"/>
      <c r="Y766" s="186"/>
      <c r="Z766" s="186"/>
    </row>
    <row r="767" spans="1:26" ht="12.75" customHeight="1">
      <c r="A767" s="186"/>
      <c r="B767" s="189"/>
      <c r="C767" s="189"/>
      <c r="D767" s="230"/>
      <c r="E767" s="230"/>
      <c r="F767" s="231"/>
      <c r="G767" s="189"/>
      <c r="H767" s="230"/>
      <c r="I767" s="230"/>
      <c r="J767" s="232"/>
      <c r="K767" s="233"/>
      <c r="L767" s="186"/>
      <c r="M767" s="186"/>
      <c r="N767" s="186"/>
      <c r="O767" s="234"/>
      <c r="P767" s="186"/>
      <c r="Q767" s="234"/>
      <c r="R767" s="234"/>
      <c r="S767" s="186"/>
      <c r="T767" s="186"/>
      <c r="U767" s="186"/>
      <c r="V767" s="186"/>
      <c r="W767" s="186"/>
      <c r="X767" s="186"/>
      <c r="Y767" s="186"/>
      <c r="Z767" s="186"/>
    </row>
    <row r="768" spans="1:26" ht="12.75" customHeight="1">
      <c r="A768" s="186"/>
      <c r="B768" s="189"/>
      <c r="C768" s="189"/>
      <c r="D768" s="230"/>
      <c r="E768" s="230"/>
      <c r="F768" s="231"/>
      <c r="G768" s="189"/>
      <c r="H768" s="230"/>
      <c r="I768" s="230"/>
      <c r="J768" s="232"/>
      <c r="K768" s="233"/>
      <c r="L768" s="186"/>
      <c r="M768" s="186"/>
      <c r="N768" s="186"/>
      <c r="O768" s="234"/>
      <c r="P768" s="186"/>
      <c r="Q768" s="234"/>
      <c r="R768" s="234"/>
      <c r="S768" s="186"/>
      <c r="T768" s="186"/>
      <c r="U768" s="186"/>
      <c r="V768" s="186"/>
      <c r="W768" s="186"/>
      <c r="X768" s="186"/>
      <c r="Y768" s="186"/>
      <c r="Z768" s="186"/>
    </row>
    <row r="769" spans="1:26" ht="12.75" customHeight="1">
      <c r="A769" s="186"/>
      <c r="B769" s="189"/>
      <c r="C769" s="189"/>
      <c r="D769" s="230"/>
      <c r="E769" s="230"/>
      <c r="F769" s="231"/>
      <c r="G769" s="189"/>
      <c r="H769" s="230"/>
      <c r="I769" s="230"/>
      <c r="J769" s="232"/>
      <c r="K769" s="233"/>
      <c r="L769" s="186"/>
      <c r="M769" s="186"/>
      <c r="N769" s="186"/>
      <c r="O769" s="234"/>
      <c r="P769" s="186"/>
      <c r="Q769" s="234"/>
      <c r="R769" s="234"/>
      <c r="S769" s="186"/>
      <c r="T769" s="186"/>
      <c r="U769" s="186"/>
      <c r="V769" s="186"/>
      <c r="W769" s="186"/>
      <c r="X769" s="186"/>
      <c r="Y769" s="186"/>
      <c r="Z769" s="186"/>
    </row>
    <row r="770" spans="1:26" ht="12.75" customHeight="1">
      <c r="A770" s="186"/>
      <c r="B770" s="189"/>
      <c r="C770" s="189"/>
      <c r="D770" s="230"/>
      <c r="E770" s="230"/>
      <c r="F770" s="231"/>
      <c r="G770" s="189"/>
      <c r="H770" s="230"/>
      <c r="I770" s="230"/>
      <c r="J770" s="232"/>
      <c r="K770" s="233"/>
      <c r="L770" s="186"/>
      <c r="M770" s="186"/>
      <c r="N770" s="186"/>
      <c r="O770" s="234"/>
      <c r="P770" s="186"/>
      <c r="Q770" s="234"/>
      <c r="R770" s="234"/>
      <c r="S770" s="186"/>
      <c r="T770" s="186"/>
      <c r="U770" s="186"/>
      <c r="V770" s="186"/>
      <c r="W770" s="186"/>
      <c r="X770" s="186"/>
      <c r="Y770" s="186"/>
      <c r="Z770" s="186"/>
    </row>
    <row r="771" spans="1:26" ht="12.75" customHeight="1">
      <c r="A771" s="186"/>
      <c r="B771" s="189"/>
      <c r="C771" s="189"/>
      <c r="D771" s="230"/>
      <c r="E771" s="230"/>
      <c r="F771" s="231"/>
      <c r="G771" s="189"/>
      <c r="H771" s="230"/>
      <c r="I771" s="230"/>
      <c r="J771" s="232"/>
      <c r="K771" s="233"/>
      <c r="L771" s="186"/>
      <c r="M771" s="186"/>
      <c r="N771" s="186"/>
      <c r="O771" s="234"/>
      <c r="P771" s="186"/>
      <c r="Q771" s="234"/>
      <c r="R771" s="234"/>
      <c r="S771" s="186"/>
      <c r="T771" s="186"/>
      <c r="U771" s="186"/>
      <c r="V771" s="186"/>
      <c r="W771" s="186"/>
      <c r="X771" s="186"/>
      <c r="Y771" s="186"/>
      <c r="Z771" s="186"/>
    </row>
    <row r="772" spans="1:26" ht="12.75" customHeight="1">
      <c r="A772" s="186"/>
      <c r="B772" s="189"/>
      <c r="C772" s="189"/>
      <c r="D772" s="230"/>
      <c r="E772" s="230"/>
      <c r="F772" s="231"/>
      <c r="G772" s="189"/>
      <c r="H772" s="230"/>
      <c r="I772" s="230"/>
      <c r="J772" s="232"/>
      <c r="K772" s="233"/>
      <c r="L772" s="186"/>
      <c r="M772" s="186"/>
      <c r="N772" s="186"/>
      <c r="O772" s="234"/>
      <c r="P772" s="186"/>
      <c r="Q772" s="234"/>
      <c r="R772" s="234"/>
      <c r="S772" s="186"/>
      <c r="T772" s="186"/>
      <c r="U772" s="186"/>
      <c r="V772" s="186"/>
      <c r="W772" s="186"/>
      <c r="X772" s="186"/>
      <c r="Y772" s="186"/>
      <c r="Z772" s="186"/>
    </row>
    <row r="773" spans="1:26" ht="12.75" customHeight="1">
      <c r="A773" s="186"/>
      <c r="B773" s="189"/>
      <c r="C773" s="189"/>
      <c r="D773" s="230"/>
      <c r="E773" s="230"/>
      <c r="F773" s="231"/>
      <c r="G773" s="189"/>
      <c r="H773" s="230"/>
      <c r="I773" s="230"/>
      <c r="J773" s="232"/>
      <c r="K773" s="233"/>
      <c r="L773" s="186"/>
      <c r="M773" s="186"/>
      <c r="N773" s="186"/>
      <c r="O773" s="234"/>
      <c r="P773" s="186"/>
      <c r="Q773" s="234"/>
      <c r="R773" s="234"/>
      <c r="S773" s="186"/>
      <c r="T773" s="186"/>
      <c r="U773" s="186"/>
      <c r="V773" s="186"/>
      <c r="W773" s="186"/>
      <c r="X773" s="186"/>
      <c r="Y773" s="186"/>
      <c r="Z773" s="186"/>
    </row>
    <row r="774" spans="1:26" ht="12.75" customHeight="1">
      <c r="A774" s="186"/>
      <c r="B774" s="189"/>
      <c r="C774" s="189"/>
      <c r="D774" s="230"/>
      <c r="E774" s="230"/>
      <c r="F774" s="231"/>
      <c r="G774" s="189"/>
      <c r="H774" s="230"/>
      <c r="I774" s="230"/>
      <c r="J774" s="232"/>
      <c r="K774" s="233"/>
      <c r="L774" s="186"/>
      <c r="M774" s="186"/>
      <c r="N774" s="186"/>
      <c r="O774" s="234"/>
      <c r="P774" s="186"/>
      <c r="Q774" s="234"/>
      <c r="R774" s="234"/>
      <c r="S774" s="186"/>
      <c r="T774" s="186"/>
      <c r="U774" s="186"/>
      <c r="V774" s="186"/>
      <c r="W774" s="186"/>
      <c r="X774" s="186"/>
      <c r="Y774" s="186"/>
      <c r="Z774" s="186"/>
    </row>
    <row r="775" spans="1:26" ht="12.75" customHeight="1">
      <c r="A775" s="186"/>
      <c r="B775" s="189"/>
      <c r="C775" s="189"/>
      <c r="D775" s="230"/>
      <c r="E775" s="230"/>
      <c r="F775" s="231"/>
      <c r="G775" s="189"/>
      <c r="H775" s="230"/>
      <c r="I775" s="230"/>
      <c r="J775" s="232"/>
      <c r="K775" s="233"/>
      <c r="L775" s="186"/>
      <c r="M775" s="186"/>
      <c r="N775" s="186"/>
      <c r="O775" s="234"/>
      <c r="P775" s="186"/>
      <c r="Q775" s="234"/>
      <c r="R775" s="234"/>
      <c r="S775" s="186"/>
      <c r="T775" s="186"/>
      <c r="U775" s="186"/>
      <c r="V775" s="186"/>
      <c r="W775" s="186"/>
      <c r="X775" s="186"/>
      <c r="Y775" s="186"/>
      <c r="Z775" s="186"/>
    </row>
    <row r="776" spans="1:26" ht="12.75" customHeight="1">
      <c r="A776" s="186"/>
      <c r="B776" s="189"/>
      <c r="C776" s="189"/>
      <c r="D776" s="230"/>
      <c r="E776" s="230"/>
      <c r="F776" s="231"/>
      <c r="G776" s="189"/>
      <c r="H776" s="230"/>
      <c r="I776" s="230"/>
      <c r="J776" s="232"/>
      <c r="K776" s="233"/>
      <c r="L776" s="186"/>
      <c r="M776" s="186"/>
      <c r="N776" s="186"/>
      <c r="O776" s="234"/>
      <c r="P776" s="186"/>
      <c r="Q776" s="234"/>
      <c r="R776" s="234"/>
      <c r="S776" s="186"/>
      <c r="T776" s="186"/>
      <c r="U776" s="186"/>
      <c r="V776" s="186"/>
      <c r="W776" s="186"/>
      <c r="X776" s="186"/>
      <c r="Y776" s="186"/>
      <c r="Z776" s="186"/>
    </row>
    <row r="777" spans="1:26" ht="12.75" customHeight="1">
      <c r="A777" s="186"/>
      <c r="B777" s="189"/>
      <c r="C777" s="189"/>
      <c r="D777" s="230"/>
      <c r="E777" s="230"/>
      <c r="F777" s="231"/>
      <c r="G777" s="189"/>
      <c r="H777" s="230"/>
      <c r="I777" s="230"/>
      <c r="J777" s="232"/>
      <c r="K777" s="233"/>
      <c r="L777" s="186"/>
      <c r="M777" s="186"/>
      <c r="N777" s="186"/>
      <c r="O777" s="234"/>
      <c r="P777" s="186"/>
      <c r="Q777" s="234"/>
      <c r="R777" s="234"/>
      <c r="S777" s="186"/>
      <c r="T777" s="186"/>
      <c r="U777" s="186"/>
      <c r="V777" s="186"/>
      <c r="W777" s="186"/>
      <c r="X777" s="186"/>
      <c r="Y777" s="186"/>
      <c r="Z777" s="186"/>
    </row>
    <row r="778" spans="1:26" ht="12.75" customHeight="1">
      <c r="A778" s="186"/>
      <c r="B778" s="189"/>
      <c r="C778" s="189"/>
      <c r="D778" s="230"/>
      <c r="E778" s="230"/>
      <c r="F778" s="231"/>
      <c r="G778" s="189"/>
      <c r="H778" s="230"/>
      <c r="I778" s="230"/>
      <c r="J778" s="232"/>
      <c r="K778" s="233"/>
      <c r="L778" s="186"/>
      <c r="M778" s="186"/>
      <c r="N778" s="186"/>
      <c r="O778" s="234"/>
      <c r="P778" s="186"/>
      <c r="Q778" s="234"/>
      <c r="R778" s="234"/>
      <c r="S778" s="186"/>
      <c r="T778" s="186"/>
      <c r="U778" s="186"/>
      <c r="V778" s="186"/>
      <c r="W778" s="186"/>
      <c r="X778" s="186"/>
      <c r="Y778" s="186"/>
      <c r="Z778" s="186"/>
    </row>
    <row r="779" spans="1:26" ht="12.75" customHeight="1">
      <c r="A779" s="186"/>
      <c r="B779" s="189"/>
      <c r="C779" s="189"/>
      <c r="D779" s="230"/>
      <c r="E779" s="230"/>
      <c r="F779" s="231"/>
      <c r="G779" s="189"/>
      <c r="H779" s="230"/>
      <c r="I779" s="230"/>
      <c r="J779" s="232"/>
      <c r="K779" s="233"/>
      <c r="L779" s="186"/>
      <c r="M779" s="186"/>
      <c r="N779" s="186"/>
      <c r="O779" s="234"/>
      <c r="P779" s="186"/>
      <c r="Q779" s="234"/>
      <c r="R779" s="234"/>
      <c r="S779" s="186"/>
      <c r="T779" s="186"/>
      <c r="U779" s="186"/>
      <c r="V779" s="186"/>
      <c r="W779" s="186"/>
      <c r="X779" s="186"/>
      <c r="Y779" s="186"/>
      <c r="Z779" s="186"/>
    </row>
    <row r="780" spans="1:26" ht="12.75" customHeight="1">
      <c r="A780" s="186"/>
      <c r="B780" s="189"/>
      <c r="C780" s="189"/>
      <c r="D780" s="230"/>
      <c r="E780" s="230"/>
      <c r="F780" s="231"/>
      <c r="G780" s="189"/>
      <c r="H780" s="230"/>
      <c r="I780" s="230"/>
      <c r="J780" s="232"/>
      <c r="K780" s="233"/>
      <c r="L780" s="186"/>
      <c r="M780" s="186"/>
      <c r="N780" s="186"/>
      <c r="O780" s="234"/>
      <c r="P780" s="186"/>
      <c r="Q780" s="234"/>
      <c r="R780" s="234"/>
      <c r="S780" s="186"/>
      <c r="T780" s="186"/>
      <c r="U780" s="186"/>
      <c r="V780" s="186"/>
      <c r="W780" s="186"/>
      <c r="X780" s="186"/>
      <c r="Y780" s="186"/>
      <c r="Z780" s="186"/>
    </row>
    <row r="781" spans="1:26" ht="12.75" customHeight="1">
      <c r="A781" s="186"/>
      <c r="B781" s="189"/>
      <c r="C781" s="189"/>
      <c r="D781" s="230"/>
      <c r="E781" s="230"/>
      <c r="F781" s="231"/>
      <c r="G781" s="189"/>
      <c r="H781" s="230"/>
      <c r="I781" s="230"/>
      <c r="J781" s="232"/>
      <c r="K781" s="233"/>
      <c r="L781" s="186"/>
      <c r="M781" s="186"/>
      <c r="N781" s="186"/>
      <c r="O781" s="234"/>
      <c r="P781" s="186"/>
      <c r="Q781" s="234"/>
      <c r="R781" s="234"/>
      <c r="S781" s="186"/>
      <c r="T781" s="186"/>
      <c r="U781" s="186"/>
      <c r="V781" s="186"/>
      <c r="W781" s="186"/>
      <c r="X781" s="186"/>
      <c r="Y781" s="186"/>
      <c r="Z781" s="186"/>
    </row>
    <row r="782" spans="1:26" ht="12.75" customHeight="1">
      <c r="A782" s="186"/>
      <c r="B782" s="189"/>
      <c r="C782" s="189"/>
      <c r="D782" s="230"/>
      <c r="E782" s="230"/>
      <c r="F782" s="231"/>
      <c r="G782" s="189"/>
      <c r="H782" s="230"/>
      <c r="I782" s="230"/>
      <c r="J782" s="232"/>
      <c r="K782" s="233"/>
      <c r="L782" s="186"/>
      <c r="M782" s="186"/>
      <c r="N782" s="186"/>
      <c r="O782" s="234"/>
      <c r="P782" s="186"/>
      <c r="Q782" s="234"/>
      <c r="R782" s="234"/>
      <c r="S782" s="186"/>
      <c r="T782" s="186"/>
      <c r="U782" s="186"/>
      <c r="V782" s="186"/>
      <c r="W782" s="186"/>
      <c r="X782" s="186"/>
      <c r="Y782" s="186"/>
      <c r="Z782" s="186"/>
    </row>
    <row r="783" spans="1:26" ht="12.75" customHeight="1">
      <c r="A783" s="186"/>
      <c r="B783" s="189"/>
      <c r="C783" s="189"/>
      <c r="D783" s="230"/>
      <c r="E783" s="230"/>
      <c r="F783" s="231"/>
      <c r="G783" s="189"/>
      <c r="H783" s="230"/>
      <c r="I783" s="230"/>
      <c r="J783" s="232"/>
      <c r="K783" s="233"/>
      <c r="L783" s="186"/>
      <c r="M783" s="186"/>
      <c r="N783" s="186"/>
      <c r="O783" s="234"/>
      <c r="P783" s="186"/>
      <c r="Q783" s="234"/>
      <c r="R783" s="234"/>
      <c r="S783" s="186"/>
      <c r="T783" s="186"/>
      <c r="U783" s="186"/>
      <c r="V783" s="186"/>
      <c r="W783" s="186"/>
      <c r="X783" s="186"/>
      <c r="Y783" s="186"/>
      <c r="Z783" s="186"/>
    </row>
    <row r="784" spans="1:26" ht="12.75" customHeight="1">
      <c r="A784" s="186"/>
      <c r="B784" s="189"/>
      <c r="C784" s="189"/>
      <c r="D784" s="230"/>
      <c r="E784" s="230"/>
      <c r="F784" s="231"/>
      <c r="G784" s="189"/>
      <c r="H784" s="230"/>
      <c r="I784" s="230"/>
      <c r="J784" s="232"/>
      <c r="K784" s="233"/>
      <c r="L784" s="186"/>
      <c r="M784" s="186"/>
      <c r="N784" s="186"/>
      <c r="O784" s="234"/>
      <c r="P784" s="186"/>
      <c r="Q784" s="234"/>
      <c r="R784" s="234"/>
      <c r="S784" s="186"/>
      <c r="T784" s="186"/>
      <c r="U784" s="186"/>
      <c r="V784" s="186"/>
      <c r="W784" s="186"/>
      <c r="X784" s="186"/>
      <c r="Y784" s="186"/>
      <c r="Z784" s="186"/>
    </row>
    <row r="785" spans="1:26" ht="12.75" customHeight="1">
      <c r="A785" s="186"/>
      <c r="B785" s="189"/>
      <c r="C785" s="189"/>
      <c r="D785" s="230"/>
      <c r="E785" s="230"/>
      <c r="F785" s="231"/>
      <c r="G785" s="189"/>
      <c r="H785" s="230"/>
      <c r="I785" s="230"/>
      <c r="J785" s="232"/>
      <c r="K785" s="233"/>
      <c r="L785" s="186"/>
      <c r="M785" s="186"/>
      <c r="N785" s="186"/>
      <c r="O785" s="234"/>
      <c r="P785" s="186"/>
      <c r="Q785" s="234"/>
      <c r="R785" s="234"/>
      <c r="S785" s="186"/>
      <c r="T785" s="186"/>
      <c r="U785" s="186"/>
      <c r="V785" s="186"/>
      <c r="W785" s="186"/>
      <c r="X785" s="186"/>
      <c r="Y785" s="186"/>
      <c r="Z785" s="186"/>
    </row>
    <row r="786" spans="1:26" ht="12.75" customHeight="1">
      <c r="A786" s="186"/>
      <c r="B786" s="189"/>
      <c r="C786" s="189"/>
      <c r="D786" s="230"/>
      <c r="E786" s="230"/>
      <c r="F786" s="231"/>
      <c r="G786" s="189"/>
      <c r="H786" s="230"/>
      <c r="I786" s="230"/>
      <c r="J786" s="232"/>
      <c r="K786" s="233"/>
      <c r="L786" s="186"/>
      <c r="M786" s="186"/>
      <c r="N786" s="186"/>
      <c r="O786" s="234"/>
      <c r="P786" s="186"/>
      <c r="Q786" s="234"/>
      <c r="R786" s="234"/>
      <c r="S786" s="186"/>
      <c r="T786" s="186"/>
      <c r="U786" s="186"/>
      <c r="V786" s="186"/>
      <c r="W786" s="186"/>
      <c r="X786" s="186"/>
      <c r="Y786" s="186"/>
      <c r="Z786" s="186"/>
    </row>
    <row r="787" spans="1:26" ht="12.75" customHeight="1">
      <c r="A787" s="186"/>
      <c r="B787" s="189"/>
      <c r="C787" s="189"/>
      <c r="D787" s="230"/>
      <c r="E787" s="230"/>
      <c r="F787" s="231"/>
      <c r="G787" s="189"/>
      <c r="H787" s="230"/>
      <c r="I787" s="230"/>
      <c r="J787" s="232"/>
      <c r="K787" s="233"/>
      <c r="L787" s="186"/>
      <c r="M787" s="186"/>
      <c r="N787" s="186"/>
      <c r="O787" s="234"/>
      <c r="P787" s="186"/>
      <c r="Q787" s="234"/>
      <c r="R787" s="234"/>
      <c r="S787" s="186"/>
      <c r="T787" s="186"/>
      <c r="U787" s="186"/>
      <c r="V787" s="186"/>
      <c r="W787" s="186"/>
      <c r="X787" s="186"/>
      <c r="Y787" s="186"/>
      <c r="Z787" s="186"/>
    </row>
    <row r="788" spans="1:26" ht="12.75" customHeight="1">
      <c r="A788" s="186"/>
      <c r="B788" s="189"/>
      <c r="C788" s="189"/>
      <c r="D788" s="230"/>
      <c r="E788" s="230"/>
      <c r="F788" s="231"/>
      <c r="G788" s="189"/>
      <c r="H788" s="230"/>
      <c r="I788" s="230"/>
      <c r="J788" s="232"/>
      <c r="K788" s="233"/>
      <c r="L788" s="186"/>
      <c r="M788" s="186"/>
      <c r="N788" s="186"/>
      <c r="O788" s="234"/>
      <c r="P788" s="186"/>
      <c r="Q788" s="234"/>
      <c r="R788" s="234"/>
      <c r="S788" s="186"/>
      <c r="T788" s="186"/>
      <c r="U788" s="186"/>
      <c r="V788" s="186"/>
      <c r="W788" s="186"/>
      <c r="X788" s="186"/>
      <c r="Y788" s="186"/>
      <c r="Z788" s="186"/>
    </row>
    <row r="789" spans="1:26" ht="12.75" customHeight="1">
      <c r="A789" s="186"/>
      <c r="B789" s="189"/>
      <c r="C789" s="189"/>
      <c r="D789" s="230"/>
      <c r="E789" s="230"/>
      <c r="F789" s="231"/>
      <c r="G789" s="189"/>
      <c r="H789" s="230"/>
      <c r="I789" s="230"/>
      <c r="J789" s="232"/>
      <c r="K789" s="233"/>
      <c r="L789" s="186"/>
      <c r="M789" s="186"/>
      <c r="N789" s="186"/>
      <c r="O789" s="234"/>
      <c r="P789" s="186"/>
      <c r="Q789" s="234"/>
      <c r="R789" s="234"/>
      <c r="S789" s="186"/>
      <c r="T789" s="186"/>
      <c r="U789" s="186"/>
      <c r="V789" s="186"/>
      <c r="W789" s="186"/>
      <c r="X789" s="186"/>
      <c r="Y789" s="186"/>
      <c r="Z789" s="186"/>
    </row>
    <row r="790" spans="1:26" ht="12.75" customHeight="1">
      <c r="A790" s="186"/>
      <c r="B790" s="189"/>
      <c r="C790" s="189"/>
      <c r="D790" s="230"/>
      <c r="E790" s="230"/>
      <c r="F790" s="231"/>
      <c r="G790" s="189"/>
      <c r="H790" s="230"/>
      <c r="I790" s="230"/>
      <c r="J790" s="232"/>
      <c r="K790" s="233"/>
      <c r="L790" s="186"/>
      <c r="M790" s="186"/>
      <c r="N790" s="186"/>
      <c r="O790" s="234"/>
      <c r="P790" s="186"/>
      <c r="Q790" s="234"/>
      <c r="R790" s="234"/>
      <c r="S790" s="186"/>
      <c r="T790" s="186"/>
      <c r="U790" s="186"/>
      <c r="V790" s="186"/>
      <c r="W790" s="186"/>
      <c r="X790" s="186"/>
      <c r="Y790" s="186"/>
      <c r="Z790" s="186"/>
    </row>
    <row r="791" spans="1:26" ht="12.75" customHeight="1">
      <c r="A791" s="186"/>
      <c r="B791" s="189"/>
      <c r="C791" s="189"/>
      <c r="D791" s="230"/>
      <c r="E791" s="230"/>
      <c r="F791" s="231"/>
      <c r="G791" s="189"/>
      <c r="H791" s="230"/>
      <c r="I791" s="230"/>
      <c r="J791" s="232"/>
      <c r="K791" s="233"/>
      <c r="L791" s="186"/>
      <c r="M791" s="186"/>
      <c r="N791" s="186"/>
      <c r="O791" s="234"/>
      <c r="P791" s="186"/>
      <c r="Q791" s="234"/>
      <c r="R791" s="234"/>
      <c r="S791" s="186"/>
      <c r="T791" s="186"/>
      <c r="U791" s="186"/>
      <c r="V791" s="186"/>
      <c r="W791" s="186"/>
      <c r="X791" s="186"/>
      <c r="Y791" s="186"/>
      <c r="Z791" s="186"/>
    </row>
    <row r="792" spans="1:26" ht="12.75" customHeight="1">
      <c r="A792" s="186"/>
      <c r="B792" s="189"/>
      <c r="C792" s="189"/>
      <c r="D792" s="230"/>
      <c r="E792" s="230"/>
      <c r="F792" s="231"/>
      <c r="G792" s="189"/>
      <c r="H792" s="230"/>
      <c r="I792" s="230"/>
      <c r="J792" s="232"/>
      <c r="K792" s="233"/>
      <c r="L792" s="186"/>
      <c r="M792" s="186"/>
      <c r="N792" s="186"/>
      <c r="O792" s="234"/>
      <c r="P792" s="186"/>
      <c r="Q792" s="234"/>
      <c r="R792" s="234"/>
      <c r="S792" s="186"/>
      <c r="T792" s="186"/>
      <c r="U792" s="186"/>
      <c r="V792" s="186"/>
      <c r="W792" s="186"/>
      <c r="X792" s="186"/>
      <c r="Y792" s="186"/>
      <c r="Z792" s="186"/>
    </row>
    <row r="793" spans="1:26" ht="12.75" customHeight="1">
      <c r="A793" s="186"/>
      <c r="B793" s="189"/>
      <c r="C793" s="189"/>
      <c r="D793" s="230"/>
      <c r="E793" s="230"/>
      <c r="F793" s="231"/>
      <c r="G793" s="189"/>
      <c r="H793" s="230"/>
      <c r="I793" s="230"/>
      <c r="J793" s="232"/>
      <c r="K793" s="233"/>
      <c r="L793" s="186"/>
      <c r="M793" s="186"/>
      <c r="N793" s="186"/>
      <c r="O793" s="234"/>
      <c r="P793" s="186"/>
      <c r="Q793" s="234"/>
      <c r="R793" s="234"/>
      <c r="S793" s="186"/>
      <c r="T793" s="186"/>
      <c r="U793" s="186"/>
      <c r="V793" s="186"/>
      <c r="W793" s="186"/>
      <c r="X793" s="186"/>
      <c r="Y793" s="186"/>
      <c r="Z793" s="186"/>
    </row>
    <row r="794" spans="1:26" ht="12.75" customHeight="1">
      <c r="A794" s="186"/>
      <c r="B794" s="189"/>
      <c r="C794" s="189"/>
      <c r="D794" s="230"/>
      <c r="E794" s="230"/>
      <c r="F794" s="231"/>
      <c r="G794" s="189"/>
      <c r="H794" s="230"/>
      <c r="I794" s="230"/>
      <c r="J794" s="232"/>
      <c r="K794" s="233"/>
      <c r="L794" s="186"/>
      <c r="M794" s="186"/>
      <c r="N794" s="186"/>
      <c r="O794" s="234"/>
      <c r="P794" s="186"/>
      <c r="Q794" s="234"/>
      <c r="R794" s="234"/>
      <c r="S794" s="186"/>
      <c r="T794" s="186"/>
      <c r="U794" s="186"/>
      <c r="V794" s="186"/>
      <c r="W794" s="186"/>
      <c r="X794" s="186"/>
      <c r="Y794" s="186"/>
      <c r="Z794" s="186"/>
    </row>
    <row r="795" spans="1:26" ht="12.75" customHeight="1">
      <c r="A795" s="186"/>
      <c r="B795" s="189"/>
      <c r="C795" s="189"/>
      <c r="D795" s="230"/>
      <c r="E795" s="230"/>
      <c r="F795" s="231"/>
      <c r="G795" s="189"/>
      <c r="H795" s="230"/>
      <c r="I795" s="230"/>
      <c r="J795" s="232"/>
      <c r="K795" s="233"/>
      <c r="L795" s="186"/>
      <c r="M795" s="186"/>
      <c r="N795" s="186"/>
      <c r="O795" s="234"/>
      <c r="P795" s="186"/>
      <c r="Q795" s="234"/>
      <c r="R795" s="234"/>
      <c r="S795" s="186"/>
      <c r="T795" s="186"/>
      <c r="U795" s="186"/>
      <c r="V795" s="186"/>
      <c r="W795" s="186"/>
      <c r="X795" s="186"/>
      <c r="Y795" s="186"/>
      <c r="Z795" s="186"/>
    </row>
    <row r="796" spans="1:26" ht="12.75" customHeight="1">
      <c r="A796" s="186"/>
      <c r="B796" s="189"/>
      <c r="C796" s="189"/>
      <c r="D796" s="230"/>
      <c r="E796" s="230"/>
      <c r="F796" s="231"/>
      <c r="G796" s="189"/>
      <c r="H796" s="230"/>
      <c r="I796" s="230"/>
      <c r="J796" s="232"/>
      <c r="K796" s="233"/>
      <c r="L796" s="186"/>
      <c r="M796" s="186"/>
      <c r="N796" s="186"/>
      <c r="O796" s="234"/>
      <c r="P796" s="186"/>
      <c r="Q796" s="234"/>
      <c r="R796" s="234"/>
      <c r="S796" s="186"/>
      <c r="T796" s="186"/>
      <c r="U796" s="186"/>
      <c r="V796" s="186"/>
      <c r="W796" s="186"/>
      <c r="X796" s="186"/>
      <c r="Y796" s="186"/>
      <c r="Z796" s="186"/>
    </row>
    <row r="797" spans="1:26" ht="12.75" customHeight="1">
      <c r="A797" s="186"/>
      <c r="B797" s="189"/>
      <c r="C797" s="189"/>
      <c r="D797" s="230"/>
      <c r="E797" s="230"/>
      <c r="F797" s="231"/>
      <c r="G797" s="189"/>
      <c r="H797" s="230"/>
      <c r="I797" s="230"/>
      <c r="J797" s="232"/>
      <c r="K797" s="233"/>
      <c r="L797" s="186"/>
      <c r="M797" s="186"/>
      <c r="N797" s="186"/>
      <c r="O797" s="234"/>
      <c r="P797" s="186"/>
      <c r="Q797" s="234"/>
      <c r="R797" s="234"/>
      <c r="S797" s="186"/>
      <c r="T797" s="186"/>
      <c r="U797" s="186"/>
      <c r="V797" s="186"/>
      <c r="W797" s="186"/>
      <c r="X797" s="186"/>
      <c r="Y797" s="186"/>
      <c r="Z797" s="186"/>
    </row>
    <row r="798" spans="1:26" ht="12.75" customHeight="1">
      <c r="A798" s="186"/>
      <c r="B798" s="189"/>
      <c r="C798" s="189"/>
      <c r="D798" s="230"/>
      <c r="E798" s="230"/>
      <c r="F798" s="231"/>
      <c r="G798" s="189"/>
      <c r="H798" s="230"/>
      <c r="I798" s="230"/>
      <c r="J798" s="232"/>
      <c r="K798" s="233"/>
      <c r="L798" s="186"/>
      <c r="M798" s="186"/>
      <c r="N798" s="186"/>
      <c r="O798" s="234"/>
      <c r="P798" s="186"/>
      <c r="Q798" s="234"/>
      <c r="R798" s="234"/>
      <c r="S798" s="186"/>
      <c r="T798" s="186"/>
      <c r="U798" s="186"/>
      <c r="V798" s="186"/>
      <c r="W798" s="186"/>
      <c r="X798" s="186"/>
      <c r="Y798" s="186"/>
      <c r="Z798" s="186"/>
    </row>
    <row r="799" spans="1:26" ht="12.75" customHeight="1">
      <c r="A799" s="186"/>
      <c r="B799" s="189"/>
      <c r="C799" s="189"/>
      <c r="D799" s="230"/>
      <c r="E799" s="230"/>
      <c r="F799" s="231"/>
      <c r="G799" s="189"/>
      <c r="H799" s="230"/>
      <c r="I799" s="230"/>
      <c r="J799" s="232"/>
      <c r="K799" s="233"/>
      <c r="L799" s="186"/>
      <c r="M799" s="186"/>
      <c r="N799" s="186"/>
      <c r="O799" s="234"/>
      <c r="P799" s="186"/>
      <c r="Q799" s="234"/>
      <c r="R799" s="234"/>
      <c r="S799" s="186"/>
      <c r="T799" s="186"/>
      <c r="U799" s="186"/>
      <c r="V799" s="186"/>
      <c r="W799" s="186"/>
      <c r="X799" s="186"/>
      <c r="Y799" s="186"/>
      <c r="Z799" s="186"/>
    </row>
    <row r="800" spans="1:26" ht="12.75" customHeight="1">
      <c r="A800" s="186"/>
      <c r="B800" s="189"/>
      <c r="C800" s="189"/>
      <c r="D800" s="230"/>
      <c r="E800" s="230"/>
      <c r="F800" s="231"/>
      <c r="G800" s="189"/>
      <c r="H800" s="230"/>
      <c r="I800" s="230"/>
      <c r="J800" s="232"/>
      <c r="K800" s="233"/>
      <c r="L800" s="186"/>
      <c r="M800" s="186"/>
      <c r="N800" s="186"/>
      <c r="O800" s="234"/>
      <c r="P800" s="186"/>
      <c r="Q800" s="234"/>
      <c r="R800" s="234"/>
      <c r="S800" s="186"/>
      <c r="T800" s="186"/>
      <c r="U800" s="186"/>
      <c r="V800" s="186"/>
      <c r="W800" s="186"/>
      <c r="X800" s="186"/>
      <c r="Y800" s="186"/>
      <c r="Z800" s="186"/>
    </row>
    <row r="801" spans="1:26" ht="12.75" customHeight="1">
      <c r="A801" s="186"/>
      <c r="B801" s="189"/>
      <c r="C801" s="189"/>
      <c r="D801" s="230"/>
      <c r="E801" s="230"/>
      <c r="F801" s="231"/>
      <c r="G801" s="189"/>
      <c r="H801" s="230"/>
      <c r="I801" s="230"/>
      <c r="J801" s="232"/>
      <c r="K801" s="233"/>
      <c r="L801" s="186"/>
      <c r="M801" s="186"/>
      <c r="N801" s="186"/>
      <c r="O801" s="234"/>
      <c r="P801" s="186"/>
      <c r="Q801" s="234"/>
      <c r="R801" s="234"/>
      <c r="S801" s="186"/>
      <c r="T801" s="186"/>
      <c r="U801" s="186"/>
      <c r="V801" s="186"/>
      <c r="W801" s="186"/>
      <c r="X801" s="186"/>
      <c r="Y801" s="186"/>
      <c r="Z801" s="186"/>
    </row>
    <row r="802" spans="1:26" ht="12.75" customHeight="1">
      <c r="A802" s="186"/>
      <c r="B802" s="189"/>
      <c r="C802" s="189"/>
      <c r="D802" s="230"/>
      <c r="E802" s="230"/>
      <c r="F802" s="231"/>
      <c r="G802" s="189"/>
      <c r="H802" s="230"/>
      <c r="I802" s="230"/>
      <c r="J802" s="232"/>
      <c r="K802" s="233"/>
      <c r="L802" s="186"/>
      <c r="M802" s="186"/>
      <c r="N802" s="186"/>
      <c r="O802" s="234"/>
      <c r="P802" s="186"/>
      <c r="Q802" s="234"/>
      <c r="R802" s="234"/>
      <c r="S802" s="186"/>
      <c r="T802" s="186"/>
      <c r="U802" s="186"/>
      <c r="V802" s="186"/>
      <c r="W802" s="186"/>
      <c r="X802" s="186"/>
      <c r="Y802" s="186"/>
      <c r="Z802" s="186"/>
    </row>
    <row r="803" spans="1:26" ht="12.75" customHeight="1">
      <c r="A803" s="186"/>
      <c r="B803" s="189"/>
      <c r="C803" s="189"/>
      <c r="D803" s="230"/>
      <c r="E803" s="230"/>
      <c r="F803" s="231"/>
      <c r="G803" s="189"/>
      <c r="H803" s="230"/>
      <c r="I803" s="230"/>
      <c r="J803" s="232"/>
      <c r="K803" s="233"/>
      <c r="L803" s="186"/>
      <c r="M803" s="186"/>
      <c r="N803" s="186"/>
      <c r="O803" s="234"/>
      <c r="P803" s="186"/>
      <c r="Q803" s="234"/>
      <c r="R803" s="234"/>
      <c r="S803" s="186"/>
      <c r="T803" s="186"/>
      <c r="U803" s="186"/>
      <c r="V803" s="186"/>
      <c r="W803" s="186"/>
      <c r="X803" s="186"/>
      <c r="Y803" s="186"/>
      <c r="Z803" s="186"/>
    </row>
    <row r="804" spans="1:26" ht="12.75" customHeight="1">
      <c r="A804" s="186"/>
      <c r="B804" s="189"/>
      <c r="C804" s="189"/>
      <c r="D804" s="230"/>
      <c r="E804" s="230"/>
      <c r="F804" s="231"/>
      <c r="G804" s="189"/>
      <c r="H804" s="230"/>
      <c r="I804" s="230"/>
      <c r="J804" s="232"/>
      <c r="K804" s="233"/>
      <c r="L804" s="186"/>
      <c r="M804" s="186"/>
      <c r="N804" s="186"/>
      <c r="O804" s="234"/>
      <c r="P804" s="186"/>
      <c r="Q804" s="234"/>
      <c r="R804" s="234"/>
      <c r="S804" s="186"/>
      <c r="T804" s="186"/>
      <c r="U804" s="186"/>
      <c r="V804" s="186"/>
      <c r="W804" s="186"/>
      <c r="X804" s="186"/>
      <c r="Y804" s="186"/>
      <c r="Z804" s="186"/>
    </row>
    <row r="805" spans="1:26" ht="12.75" customHeight="1">
      <c r="A805" s="186"/>
      <c r="B805" s="189"/>
      <c r="C805" s="189"/>
      <c r="D805" s="230"/>
      <c r="E805" s="230"/>
      <c r="F805" s="231"/>
      <c r="G805" s="189"/>
      <c r="H805" s="230"/>
      <c r="I805" s="230"/>
      <c r="J805" s="232"/>
      <c r="K805" s="233"/>
      <c r="L805" s="186"/>
      <c r="M805" s="186"/>
      <c r="N805" s="186"/>
      <c r="O805" s="234"/>
      <c r="P805" s="186"/>
      <c r="Q805" s="234"/>
      <c r="R805" s="234"/>
      <c r="S805" s="186"/>
      <c r="T805" s="186"/>
      <c r="U805" s="186"/>
      <c r="V805" s="186"/>
      <c r="W805" s="186"/>
      <c r="X805" s="186"/>
      <c r="Y805" s="186"/>
      <c r="Z805" s="186"/>
    </row>
    <row r="806" spans="1:26" ht="12.75" customHeight="1">
      <c r="A806" s="186"/>
      <c r="B806" s="189"/>
      <c r="C806" s="189"/>
      <c r="D806" s="230"/>
      <c r="E806" s="230"/>
      <c r="F806" s="231"/>
      <c r="G806" s="189"/>
      <c r="H806" s="230"/>
      <c r="I806" s="230"/>
      <c r="J806" s="232"/>
      <c r="K806" s="233"/>
      <c r="L806" s="186"/>
      <c r="M806" s="186"/>
      <c r="N806" s="186"/>
      <c r="O806" s="234"/>
      <c r="P806" s="186"/>
      <c r="Q806" s="234"/>
      <c r="R806" s="234"/>
      <c r="S806" s="186"/>
      <c r="T806" s="186"/>
      <c r="U806" s="186"/>
      <c r="V806" s="186"/>
      <c r="W806" s="186"/>
      <c r="X806" s="186"/>
      <c r="Y806" s="186"/>
      <c r="Z806" s="186"/>
    </row>
    <row r="807" spans="1:26" ht="12.75" customHeight="1">
      <c r="A807" s="186"/>
      <c r="B807" s="189"/>
      <c r="C807" s="189"/>
      <c r="D807" s="230"/>
      <c r="E807" s="230"/>
      <c r="F807" s="231"/>
      <c r="G807" s="189"/>
      <c r="H807" s="230"/>
      <c r="I807" s="230"/>
      <c r="J807" s="232"/>
      <c r="K807" s="233"/>
      <c r="L807" s="186"/>
      <c r="M807" s="186"/>
      <c r="N807" s="186"/>
      <c r="O807" s="234"/>
      <c r="P807" s="186"/>
      <c r="Q807" s="234"/>
      <c r="R807" s="234"/>
      <c r="S807" s="186"/>
      <c r="T807" s="186"/>
      <c r="U807" s="186"/>
      <c r="V807" s="186"/>
      <c r="W807" s="186"/>
      <c r="X807" s="186"/>
      <c r="Y807" s="186"/>
      <c r="Z807" s="186"/>
    </row>
    <row r="808" spans="1:26" ht="12.75" customHeight="1">
      <c r="A808" s="186"/>
      <c r="B808" s="189"/>
      <c r="C808" s="189"/>
      <c r="D808" s="230"/>
      <c r="E808" s="230"/>
      <c r="F808" s="231"/>
      <c r="G808" s="189"/>
      <c r="H808" s="230"/>
      <c r="I808" s="230"/>
      <c r="J808" s="232"/>
      <c r="K808" s="233"/>
      <c r="L808" s="186"/>
      <c r="M808" s="186"/>
      <c r="N808" s="186"/>
      <c r="O808" s="234"/>
      <c r="P808" s="186"/>
      <c r="Q808" s="234"/>
      <c r="R808" s="234"/>
      <c r="S808" s="186"/>
      <c r="T808" s="186"/>
      <c r="U808" s="186"/>
      <c r="V808" s="186"/>
      <c r="W808" s="186"/>
      <c r="X808" s="186"/>
      <c r="Y808" s="186"/>
      <c r="Z808" s="186"/>
    </row>
    <row r="809" spans="1:26" ht="12.75" customHeight="1">
      <c r="A809" s="186"/>
      <c r="B809" s="189"/>
      <c r="C809" s="189"/>
      <c r="D809" s="230"/>
      <c r="E809" s="230"/>
      <c r="F809" s="231"/>
      <c r="G809" s="189"/>
      <c r="H809" s="230"/>
      <c r="I809" s="230"/>
      <c r="J809" s="232"/>
      <c r="K809" s="233"/>
      <c r="L809" s="186"/>
      <c r="M809" s="186"/>
      <c r="N809" s="186"/>
      <c r="O809" s="234"/>
      <c r="P809" s="186"/>
      <c r="Q809" s="234"/>
      <c r="R809" s="234"/>
      <c r="S809" s="186"/>
      <c r="T809" s="186"/>
      <c r="U809" s="186"/>
      <c r="V809" s="186"/>
      <c r="W809" s="186"/>
      <c r="X809" s="186"/>
      <c r="Y809" s="186"/>
      <c r="Z809" s="186"/>
    </row>
    <row r="810" spans="1:26" ht="12.75" customHeight="1">
      <c r="A810" s="186"/>
      <c r="B810" s="189"/>
      <c r="C810" s="189"/>
      <c r="D810" s="230"/>
      <c r="E810" s="230"/>
      <c r="F810" s="231"/>
      <c r="G810" s="189"/>
      <c r="H810" s="230"/>
      <c r="I810" s="230"/>
      <c r="J810" s="232"/>
      <c r="K810" s="233"/>
      <c r="L810" s="186"/>
      <c r="M810" s="186"/>
      <c r="N810" s="186"/>
      <c r="O810" s="234"/>
      <c r="P810" s="186"/>
      <c r="Q810" s="234"/>
      <c r="R810" s="234"/>
      <c r="S810" s="186"/>
      <c r="T810" s="186"/>
      <c r="U810" s="186"/>
      <c r="V810" s="186"/>
      <c r="W810" s="186"/>
      <c r="X810" s="186"/>
      <c r="Y810" s="186"/>
      <c r="Z810" s="186"/>
    </row>
    <row r="811" spans="1:26" ht="12.75" customHeight="1">
      <c r="A811" s="186"/>
      <c r="B811" s="189"/>
      <c r="C811" s="189"/>
      <c r="D811" s="230"/>
      <c r="E811" s="230"/>
      <c r="F811" s="231"/>
      <c r="G811" s="189"/>
      <c r="H811" s="230"/>
      <c r="I811" s="230"/>
      <c r="J811" s="232"/>
      <c r="K811" s="233"/>
      <c r="L811" s="186"/>
      <c r="M811" s="186"/>
      <c r="N811" s="186"/>
      <c r="O811" s="234"/>
      <c r="P811" s="186"/>
      <c r="Q811" s="234"/>
      <c r="R811" s="234"/>
      <c r="S811" s="186"/>
      <c r="T811" s="186"/>
      <c r="U811" s="186"/>
      <c r="V811" s="186"/>
      <c r="W811" s="186"/>
      <c r="X811" s="186"/>
      <c r="Y811" s="186"/>
      <c r="Z811" s="186"/>
    </row>
    <row r="812" spans="1:26" ht="12.75" customHeight="1">
      <c r="A812" s="186"/>
      <c r="B812" s="189"/>
      <c r="C812" s="189"/>
      <c r="D812" s="230"/>
      <c r="E812" s="230"/>
      <c r="F812" s="231"/>
      <c r="G812" s="189"/>
      <c r="H812" s="230"/>
      <c r="I812" s="230"/>
      <c r="J812" s="232"/>
      <c r="K812" s="233"/>
      <c r="L812" s="186"/>
      <c r="M812" s="186"/>
      <c r="N812" s="186"/>
      <c r="O812" s="234"/>
      <c r="P812" s="186"/>
      <c r="Q812" s="234"/>
      <c r="R812" s="234"/>
      <c r="S812" s="186"/>
      <c r="T812" s="186"/>
      <c r="U812" s="186"/>
      <c r="V812" s="186"/>
      <c r="W812" s="186"/>
      <c r="X812" s="186"/>
      <c r="Y812" s="186"/>
      <c r="Z812" s="186"/>
    </row>
    <row r="813" spans="1:26" ht="12.75" customHeight="1">
      <c r="A813" s="186"/>
      <c r="B813" s="189"/>
      <c r="C813" s="189"/>
      <c r="D813" s="230"/>
      <c r="E813" s="230"/>
      <c r="F813" s="231"/>
      <c r="G813" s="189"/>
      <c r="H813" s="230"/>
      <c r="I813" s="230"/>
      <c r="J813" s="232"/>
      <c r="K813" s="233"/>
      <c r="L813" s="186"/>
      <c r="M813" s="186"/>
      <c r="N813" s="186"/>
      <c r="O813" s="234"/>
      <c r="P813" s="186"/>
      <c r="Q813" s="234"/>
      <c r="R813" s="234"/>
      <c r="S813" s="186"/>
      <c r="T813" s="186"/>
      <c r="U813" s="186"/>
      <c r="V813" s="186"/>
      <c r="W813" s="186"/>
      <c r="X813" s="186"/>
      <c r="Y813" s="186"/>
      <c r="Z813" s="186"/>
    </row>
    <row r="814" spans="1:26" ht="12.75" customHeight="1">
      <c r="A814" s="186"/>
      <c r="B814" s="189"/>
      <c r="C814" s="189"/>
      <c r="D814" s="230"/>
      <c r="E814" s="230"/>
      <c r="F814" s="231"/>
      <c r="G814" s="189"/>
      <c r="H814" s="230"/>
      <c r="I814" s="230"/>
      <c r="J814" s="232"/>
      <c r="K814" s="233"/>
      <c r="L814" s="186"/>
      <c r="M814" s="186"/>
      <c r="N814" s="186"/>
      <c r="O814" s="234"/>
      <c r="P814" s="186"/>
      <c r="Q814" s="234"/>
      <c r="R814" s="234"/>
      <c r="S814" s="186"/>
      <c r="T814" s="186"/>
      <c r="U814" s="186"/>
      <c r="V814" s="186"/>
      <c r="W814" s="186"/>
      <c r="X814" s="186"/>
      <c r="Y814" s="186"/>
      <c r="Z814" s="186"/>
    </row>
    <row r="815" spans="1:26" ht="12.75" customHeight="1">
      <c r="A815" s="186"/>
      <c r="B815" s="189"/>
      <c r="C815" s="189"/>
      <c r="D815" s="230"/>
      <c r="E815" s="230"/>
      <c r="F815" s="231"/>
      <c r="G815" s="189"/>
      <c r="H815" s="230"/>
      <c r="I815" s="230"/>
      <c r="J815" s="232"/>
      <c r="K815" s="233"/>
      <c r="L815" s="186"/>
      <c r="M815" s="186"/>
      <c r="N815" s="186"/>
      <c r="O815" s="234"/>
      <c r="P815" s="186"/>
      <c r="Q815" s="234"/>
      <c r="R815" s="234"/>
      <c r="S815" s="186"/>
      <c r="T815" s="186"/>
      <c r="U815" s="186"/>
      <c r="V815" s="186"/>
      <c r="W815" s="186"/>
      <c r="X815" s="186"/>
      <c r="Y815" s="186"/>
      <c r="Z815" s="186"/>
    </row>
    <row r="816" spans="1:26" ht="12.75" customHeight="1">
      <c r="A816" s="186"/>
      <c r="B816" s="189"/>
      <c r="C816" s="189"/>
      <c r="D816" s="230"/>
      <c r="E816" s="230"/>
      <c r="F816" s="231"/>
      <c r="G816" s="189"/>
      <c r="H816" s="230"/>
      <c r="I816" s="230"/>
      <c r="J816" s="232"/>
      <c r="K816" s="233"/>
      <c r="L816" s="186"/>
      <c r="M816" s="186"/>
      <c r="N816" s="186"/>
      <c r="O816" s="234"/>
      <c r="P816" s="186"/>
      <c r="Q816" s="234"/>
      <c r="R816" s="234"/>
      <c r="S816" s="186"/>
      <c r="T816" s="186"/>
      <c r="U816" s="186"/>
      <c r="V816" s="186"/>
      <c r="W816" s="186"/>
      <c r="X816" s="186"/>
      <c r="Y816" s="186"/>
      <c r="Z816" s="186"/>
    </row>
    <row r="817" spans="1:26" ht="12.75" customHeight="1">
      <c r="A817" s="186"/>
      <c r="B817" s="189"/>
      <c r="C817" s="189"/>
      <c r="D817" s="230"/>
      <c r="E817" s="230"/>
      <c r="F817" s="231"/>
      <c r="G817" s="189"/>
      <c r="H817" s="230"/>
      <c r="I817" s="230"/>
      <c r="J817" s="232"/>
      <c r="K817" s="233"/>
      <c r="L817" s="186"/>
      <c r="M817" s="186"/>
      <c r="N817" s="186"/>
      <c r="O817" s="234"/>
      <c r="P817" s="186"/>
      <c r="Q817" s="234"/>
      <c r="R817" s="234"/>
      <c r="S817" s="186"/>
      <c r="T817" s="186"/>
      <c r="U817" s="186"/>
      <c r="V817" s="186"/>
      <c r="W817" s="186"/>
      <c r="X817" s="186"/>
      <c r="Y817" s="186"/>
      <c r="Z817" s="186"/>
    </row>
    <row r="818" spans="1:26" ht="12.75" customHeight="1">
      <c r="A818" s="186"/>
      <c r="B818" s="189"/>
      <c r="C818" s="189"/>
      <c r="D818" s="230"/>
      <c r="E818" s="230"/>
      <c r="F818" s="231"/>
      <c r="G818" s="189"/>
      <c r="H818" s="230"/>
      <c r="I818" s="230"/>
      <c r="J818" s="232"/>
      <c r="K818" s="233"/>
      <c r="L818" s="186"/>
      <c r="M818" s="186"/>
      <c r="N818" s="186"/>
      <c r="O818" s="234"/>
      <c r="P818" s="186"/>
      <c r="Q818" s="234"/>
      <c r="R818" s="234"/>
      <c r="S818" s="186"/>
      <c r="T818" s="186"/>
      <c r="U818" s="186"/>
      <c r="V818" s="186"/>
      <c r="W818" s="186"/>
      <c r="X818" s="186"/>
      <c r="Y818" s="186"/>
      <c r="Z818" s="186"/>
    </row>
    <row r="819" spans="1:26" ht="12.75" customHeight="1">
      <c r="A819" s="186"/>
      <c r="B819" s="189"/>
      <c r="C819" s="189"/>
      <c r="D819" s="230"/>
      <c r="E819" s="230"/>
      <c r="F819" s="231"/>
      <c r="G819" s="189"/>
      <c r="H819" s="230"/>
      <c r="I819" s="230"/>
      <c r="J819" s="232"/>
      <c r="K819" s="233"/>
      <c r="L819" s="186"/>
      <c r="M819" s="186"/>
      <c r="N819" s="186"/>
      <c r="O819" s="234"/>
      <c r="P819" s="186"/>
      <c r="Q819" s="234"/>
      <c r="R819" s="234"/>
      <c r="S819" s="186"/>
      <c r="T819" s="186"/>
      <c r="U819" s="186"/>
      <c r="V819" s="186"/>
      <c r="W819" s="186"/>
      <c r="X819" s="186"/>
      <c r="Y819" s="186"/>
      <c r="Z819" s="186"/>
    </row>
    <row r="820" spans="1:26" ht="12.75" customHeight="1">
      <c r="A820" s="186"/>
      <c r="B820" s="189"/>
      <c r="C820" s="189"/>
      <c r="D820" s="230"/>
      <c r="E820" s="230"/>
      <c r="F820" s="231"/>
      <c r="G820" s="189"/>
      <c r="H820" s="230"/>
      <c r="I820" s="230"/>
      <c r="J820" s="232"/>
      <c r="K820" s="233"/>
      <c r="L820" s="186"/>
      <c r="M820" s="186"/>
      <c r="N820" s="186"/>
      <c r="O820" s="234"/>
      <c r="P820" s="186"/>
      <c r="Q820" s="234"/>
      <c r="R820" s="234"/>
      <c r="S820" s="186"/>
      <c r="T820" s="186"/>
      <c r="U820" s="186"/>
      <c r="V820" s="186"/>
      <c r="W820" s="186"/>
      <c r="X820" s="186"/>
      <c r="Y820" s="186"/>
      <c r="Z820" s="186"/>
    </row>
    <row r="821" spans="1:26" ht="12.75" customHeight="1">
      <c r="A821" s="186"/>
      <c r="B821" s="189"/>
      <c r="C821" s="189"/>
      <c r="D821" s="230"/>
      <c r="E821" s="230"/>
      <c r="F821" s="231"/>
      <c r="G821" s="189"/>
      <c r="H821" s="230"/>
      <c r="I821" s="230"/>
      <c r="J821" s="232"/>
      <c r="K821" s="233"/>
      <c r="L821" s="186"/>
      <c r="M821" s="186"/>
      <c r="N821" s="186"/>
      <c r="O821" s="234"/>
      <c r="P821" s="186"/>
      <c r="Q821" s="234"/>
      <c r="R821" s="234"/>
      <c r="S821" s="186"/>
      <c r="T821" s="186"/>
      <c r="U821" s="186"/>
      <c r="V821" s="186"/>
      <c r="W821" s="186"/>
      <c r="X821" s="186"/>
      <c r="Y821" s="186"/>
      <c r="Z821" s="186"/>
    </row>
    <row r="822" spans="1:26" ht="12.75" customHeight="1">
      <c r="A822" s="186"/>
      <c r="B822" s="189"/>
      <c r="C822" s="189"/>
      <c r="D822" s="230"/>
      <c r="E822" s="230"/>
      <c r="F822" s="231"/>
      <c r="G822" s="189"/>
      <c r="H822" s="230"/>
      <c r="I822" s="230"/>
      <c r="J822" s="232"/>
      <c r="K822" s="233"/>
      <c r="L822" s="186"/>
      <c r="M822" s="186"/>
      <c r="N822" s="186"/>
      <c r="O822" s="234"/>
      <c r="P822" s="186"/>
      <c r="Q822" s="234"/>
      <c r="R822" s="234"/>
      <c r="S822" s="186"/>
      <c r="T822" s="186"/>
      <c r="U822" s="186"/>
      <c r="V822" s="186"/>
      <c r="W822" s="186"/>
      <c r="X822" s="186"/>
      <c r="Y822" s="186"/>
      <c r="Z822" s="186"/>
    </row>
    <row r="823" spans="1:26" ht="12.75" customHeight="1">
      <c r="A823" s="186"/>
      <c r="B823" s="189"/>
      <c r="C823" s="189"/>
      <c r="D823" s="230"/>
      <c r="E823" s="230"/>
      <c r="F823" s="231"/>
      <c r="G823" s="189"/>
      <c r="H823" s="230"/>
      <c r="I823" s="230"/>
      <c r="J823" s="232"/>
      <c r="K823" s="233"/>
      <c r="L823" s="186"/>
      <c r="M823" s="186"/>
      <c r="N823" s="186"/>
      <c r="O823" s="234"/>
      <c r="P823" s="186"/>
      <c r="Q823" s="234"/>
      <c r="R823" s="234"/>
      <c r="S823" s="186"/>
      <c r="T823" s="186"/>
      <c r="U823" s="186"/>
      <c r="V823" s="186"/>
      <c r="W823" s="186"/>
      <c r="X823" s="186"/>
      <c r="Y823" s="186"/>
      <c r="Z823" s="186"/>
    </row>
    <row r="824" spans="1:26" ht="12.75" customHeight="1">
      <c r="A824" s="186"/>
      <c r="B824" s="189"/>
      <c r="C824" s="189"/>
      <c r="D824" s="230"/>
      <c r="E824" s="230"/>
      <c r="F824" s="231"/>
      <c r="G824" s="189"/>
      <c r="H824" s="230"/>
      <c r="I824" s="230"/>
      <c r="J824" s="232"/>
      <c r="K824" s="233"/>
      <c r="L824" s="186"/>
      <c r="M824" s="186"/>
      <c r="N824" s="186"/>
      <c r="O824" s="234"/>
      <c r="P824" s="186"/>
      <c r="Q824" s="234"/>
      <c r="R824" s="234"/>
      <c r="S824" s="186"/>
      <c r="T824" s="186"/>
      <c r="U824" s="186"/>
      <c r="V824" s="186"/>
      <c r="W824" s="186"/>
      <c r="X824" s="186"/>
      <c r="Y824" s="186"/>
      <c r="Z824" s="186"/>
    </row>
    <row r="825" spans="1:26" ht="12.75" customHeight="1">
      <c r="A825" s="186"/>
      <c r="B825" s="189"/>
      <c r="C825" s="189"/>
      <c r="D825" s="230"/>
      <c r="E825" s="230"/>
      <c r="F825" s="231"/>
      <c r="G825" s="189"/>
      <c r="H825" s="230"/>
      <c r="I825" s="230"/>
      <c r="J825" s="232"/>
      <c r="K825" s="233"/>
      <c r="L825" s="186"/>
      <c r="M825" s="186"/>
      <c r="N825" s="186"/>
      <c r="O825" s="234"/>
      <c r="P825" s="186"/>
      <c r="Q825" s="234"/>
      <c r="R825" s="234"/>
      <c r="S825" s="186"/>
      <c r="T825" s="186"/>
      <c r="U825" s="186"/>
      <c r="V825" s="186"/>
      <c r="W825" s="186"/>
      <c r="X825" s="186"/>
      <c r="Y825" s="186"/>
      <c r="Z825" s="186"/>
    </row>
    <row r="826" spans="1:26" ht="12.75" customHeight="1">
      <c r="A826" s="186"/>
      <c r="B826" s="189"/>
      <c r="C826" s="189"/>
      <c r="D826" s="230"/>
      <c r="E826" s="230"/>
      <c r="F826" s="231"/>
      <c r="G826" s="189"/>
      <c r="H826" s="230"/>
      <c r="I826" s="230"/>
      <c r="J826" s="232"/>
      <c r="K826" s="233"/>
      <c r="L826" s="186"/>
      <c r="M826" s="186"/>
      <c r="N826" s="186"/>
      <c r="O826" s="234"/>
      <c r="P826" s="186"/>
      <c r="Q826" s="234"/>
      <c r="R826" s="234"/>
      <c r="S826" s="186"/>
      <c r="T826" s="186"/>
      <c r="U826" s="186"/>
      <c r="V826" s="186"/>
      <c r="W826" s="186"/>
      <c r="X826" s="186"/>
      <c r="Y826" s="186"/>
      <c r="Z826" s="186"/>
    </row>
    <row r="827" spans="1:26" ht="12.75" customHeight="1">
      <c r="A827" s="186"/>
      <c r="B827" s="189"/>
      <c r="C827" s="189"/>
      <c r="D827" s="230"/>
      <c r="E827" s="230"/>
      <c r="F827" s="231"/>
      <c r="G827" s="189"/>
      <c r="H827" s="230"/>
      <c r="I827" s="230"/>
      <c r="J827" s="232"/>
      <c r="K827" s="233"/>
      <c r="L827" s="186"/>
      <c r="M827" s="186"/>
      <c r="N827" s="186"/>
      <c r="O827" s="234"/>
      <c r="P827" s="186"/>
      <c r="Q827" s="234"/>
      <c r="R827" s="234"/>
      <c r="S827" s="186"/>
      <c r="T827" s="186"/>
      <c r="U827" s="186"/>
      <c r="V827" s="186"/>
      <c r="W827" s="186"/>
      <c r="X827" s="186"/>
      <c r="Y827" s="186"/>
      <c r="Z827" s="186"/>
    </row>
    <row r="828" spans="1:26" ht="12.75" customHeight="1">
      <c r="A828" s="186"/>
      <c r="B828" s="189"/>
      <c r="C828" s="189"/>
      <c r="D828" s="230"/>
      <c r="E828" s="230"/>
      <c r="F828" s="231"/>
      <c r="G828" s="189"/>
      <c r="H828" s="230"/>
      <c r="I828" s="230"/>
      <c r="J828" s="232"/>
      <c r="K828" s="233"/>
      <c r="L828" s="186"/>
      <c r="M828" s="186"/>
      <c r="N828" s="186"/>
      <c r="O828" s="234"/>
      <c r="P828" s="186"/>
      <c r="Q828" s="234"/>
      <c r="R828" s="234"/>
      <c r="S828" s="186"/>
      <c r="T828" s="186"/>
      <c r="U828" s="186"/>
      <c r="V828" s="186"/>
      <c r="W828" s="186"/>
      <c r="X828" s="186"/>
      <c r="Y828" s="186"/>
      <c r="Z828" s="186"/>
    </row>
    <row r="829" spans="1:26" ht="12.75" customHeight="1">
      <c r="A829" s="186"/>
      <c r="B829" s="189"/>
      <c r="C829" s="189"/>
      <c r="D829" s="230"/>
      <c r="E829" s="230"/>
      <c r="F829" s="231"/>
      <c r="G829" s="189"/>
      <c r="H829" s="230"/>
      <c r="I829" s="230"/>
      <c r="J829" s="232"/>
      <c r="K829" s="233"/>
      <c r="L829" s="186"/>
      <c r="M829" s="186"/>
      <c r="N829" s="186"/>
      <c r="O829" s="234"/>
      <c r="P829" s="186"/>
      <c r="Q829" s="234"/>
      <c r="R829" s="234"/>
      <c r="S829" s="186"/>
      <c r="T829" s="186"/>
      <c r="U829" s="186"/>
      <c r="V829" s="186"/>
      <c r="W829" s="186"/>
      <c r="X829" s="186"/>
      <c r="Y829" s="186"/>
      <c r="Z829" s="186"/>
    </row>
    <row r="830" spans="1:26" ht="12.75" customHeight="1">
      <c r="A830" s="186"/>
      <c r="B830" s="189"/>
      <c r="C830" s="189"/>
      <c r="D830" s="230"/>
      <c r="E830" s="230"/>
      <c r="F830" s="231"/>
      <c r="G830" s="189"/>
      <c r="H830" s="230"/>
      <c r="I830" s="230"/>
      <c r="J830" s="232"/>
      <c r="K830" s="233"/>
      <c r="L830" s="186"/>
      <c r="M830" s="186"/>
      <c r="N830" s="186"/>
      <c r="O830" s="234"/>
      <c r="P830" s="186"/>
      <c r="Q830" s="234"/>
      <c r="R830" s="234"/>
      <c r="S830" s="186"/>
      <c r="T830" s="186"/>
      <c r="U830" s="186"/>
      <c r="V830" s="186"/>
      <c r="W830" s="186"/>
      <c r="X830" s="186"/>
      <c r="Y830" s="186"/>
      <c r="Z830" s="186"/>
    </row>
    <row r="831" spans="1:26" ht="12.75" customHeight="1">
      <c r="A831" s="186"/>
      <c r="B831" s="189"/>
      <c r="C831" s="189"/>
      <c r="D831" s="230"/>
      <c r="E831" s="230"/>
      <c r="F831" s="231"/>
      <c r="G831" s="189"/>
      <c r="H831" s="230"/>
      <c r="I831" s="230"/>
      <c r="J831" s="232"/>
      <c r="K831" s="233"/>
      <c r="L831" s="186"/>
      <c r="M831" s="186"/>
      <c r="N831" s="186"/>
      <c r="O831" s="234"/>
      <c r="P831" s="186"/>
      <c r="Q831" s="234"/>
      <c r="R831" s="234"/>
      <c r="S831" s="186"/>
      <c r="T831" s="186"/>
      <c r="U831" s="186"/>
      <c r="V831" s="186"/>
      <c r="W831" s="186"/>
      <c r="X831" s="186"/>
      <c r="Y831" s="186"/>
      <c r="Z831" s="186"/>
    </row>
    <row r="832" spans="1:26" ht="12.75" customHeight="1">
      <c r="A832" s="186"/>
      <c r="B832" s="189"/>
      <c r="C832" s="189"/>
      <c r="D832" s="230"/>
      <c r="E832" s="230"/>
      <c r="F832" s="231"/>
      <c r="G832" s="189"/>
      <c r="H832" s="230"/>
      <c r="I832" s="230"/>
      <c r="J832" s="232"/>
      <c r="K832" s="233"/>
      <c r="L832" s="186"/>
      <c r="M832" s="186"/>
      <c r="N832" s="186"/>
      <c r="O832" s="234"/>
      <c r="P832" s="186"/>
      <c r="Q832" s="234"/>
      <c r="R832" s="234"/>
      <c r="S832" s="186"/>
      <c r="T832" s="186"/>
      <c r="U832" s="186"/>
      <c r="V832" s="186"/>
      <c r="W832" s="186"/>
      <c r="X832" s="186"/>
      <c r="Y832" s="186"/>
      <c r="Z832" s="186"/>
    </row>
    <row r="833" spans="1:26" ht="12.75" customHeight="1">
      <c r="A833" s="186"/>
      <c r="B833" s="189"/>
      <c r="C833" s="189"/>
      <c r="D833" s="230"/>
      <c r="E833" s="230"/>
      <c r="F833" s="231"/>
      <c r="G833" s="189"/>
      <c r="H833" s="230"/>
      <c r="I833" s="230"/>
      <c r="J833" s="232"/>
      <c r="K833" s="233"/>
      <c r="L833" s="186"/>
      <c r="M833" s="186"/>
      <c r="N833" s="186"/>
      <c r="O833" s="234"/>
      <c r="P833" s="186"/>
      <c r="Q833" s="234"/>
      <c r="R833" s="234"/>
      <c r="S833" s="186"/>
      <c r="T833" s="186"/>
      <c r="U833" s="186"/>
      <c r="V833" s="186"/>
      <c r="W833" s="186"/>
      <c r="X833" s="186"/>
      <c r="Y833" s="186"/>
      <c r="Z833" s="186"/>
    </row>
    <row r="834" spans="1:26" ht="12.75" customHeight="1">
      <c r="A834" s="186"/>
      <c r="B834" s="189"/>
      <c r="C834" s="189"/>
      <c r="D834" s="230"/>
      <c r="E834" s="230"/>
      <c r="F834" s="231"/>
      <c r="G834" s="189"/>
      <c r="H834" s="230"/>
      <c r="I834" s="230"/>
      <c r="J834" s="232"/>
      <c r="K834" s="233"/>
      <c r="L834" s="186"/>
      <c r="M834" s="186"/>
      <c r="N834" s="186"/>
      <c r="O834" s="234"/>
      <c r="P834" s="186"/>
      <c r="Q834" s="234"/>
      <c r="R834" s="234"/>
      <c r="S834" s="186"/>
      <c r="T834" s="186"/>
      <c r="U834" s="186"/>
      <c r="V834" s="186"/>
      <c r="W834" s="186"/>
      <c r="X834" s="186"/>
      <c r="Y834" s="186"/>
      <c r="Z834" s="186"/>
    </row>
    <row r="835" spans="1:26" ht="12.75" customHeight="1">
      <c r="A835" s="186"/>
      <c r="B835" s="189"/>
      <c r="C835" s="189"/>
      <c r="D835" s="230"/>
      <c r="E835" s="230"/>
      <c r="F835" s="231"/>
      <c r="G835" s="189"/>
      <c r="H835" s="230"/>
      <c r="I835" s="230"/>
      <c r="J835" s="232"/>
      <c r="K835" s="233"/>
      <c r="L835" s="186"/>
      <c r="M835" s="186"/>
      <c r="N835" s="186"/>
      <c r="O835" s="234"/>
      <c r="P835" s="186"/>
      <c r="Q835" s="234"/>
      <c r="R835" s="234"/>
      <c r="S835" s="186"/>
      <c r="T835" s="186"/>
      <c r="U835" s="186"/>
      <c r="V835" s="186"/>
      <c r="W835" s="186"/>
      <c r="X835" s="186"/>
      <c r="Y835" s="186"/>
      <c r="Z835" s="186"/>
    </row>
    <row r="836" spans="1:26" ht="12.75" customHeight="1">
      <c r="A836" s="186"/>
      <c r="B836" s="189"/>
      <c r="C836" s="189"/>
      <c r="D836" s="230"/>
      <c r="E836" s="230"/>
      <c r="F836" s="231"/>
      <c r="G836" s="189"/>
      <c r="H836" s="230"/>
      <c r="I836" s="230"/>
      <c r="J836" s="232"/>
      <c r="K836" s="233"/>
      <c r="L836" s="186"/>
      <c r="M836" s="186"/>
      <c r="N836" s="186"/>
      <c r="O836" s="234"/>
      <c r="P836" s="186"/>
      <c r="Q836" s="234"/>
      <c r="R836" s="234"/>
      <c r="S836" s="186"/>
      <c r="T836" s="186"/>
      <c r="U836" s="186"/>
      <c r="V836" s="186"/>
      <c r="W836" s="186"/>
      <c r="X836" s="186"/>
      <c r="Y836" s="186"/>
      <c r="Z836" s="186"/>
    </row>
    <row r="837" spans="1:26" ht="12.75" customHeight="1">
      <c r="A837" s="186"/>
      <c r="B837" s="189"/>
      <c r="C837" s="189"/>
      <c r="D837" s="230"/>
      <c r="E837" s="230"/>
      <c r="F837" s="231"/>
      <c r="G837" s="189"/>
      <c r="H837" s="230"/>
      <c r="I837" s="230"/>
      <c r="J837" s="232"/>
      <c r="K837" s="233"/>
      <c r="L837" s="186"/>
      <c r="M837" s="186"/>
      <c r="N837" s="186"/>
      <c r="O837" s="234"/>
      <c r="P837" s="186"/>
      <c r="Q837" s="234"/>
      <c r="R837" s="234"/>
      <c r="S837" s="186"/>
      <c r="T837" s="186"/>
      <c r="U837" s="186"/>
      <c r="V837" s="186"/>
      <c r="W837" s="186"/>
      <c r="X837" s="186"/>
      <c r="Y837" s="186"/>
      <c r="Z837" s="186"/>
    </row>
    <row r="838" spans="1:26" ht="12.75" customHeight="1">
      <c r="A838" s="186"/>
      <c r="B838" s="189"/>
      <c r="C838" s="189"/>
      <c r="D838" s="230"/>
      <c r="E838" s="230"/>
      <c r="F838" s="231"/>
      <c r="G838" s="189"/>
      <c r="H838" s="230"/>
      <c r="I838" s="230"/>
      <c r="J838" s="232"/>
      <c r="K838" s="233"/>
      <c r="L838" s="186"/>
      <c r="M838" s="186"/>
      <c r="N838" s="186"/>
      <c r="O838" s="234"/>
      <c r="P838" s="186"/>
      <c r="Q838" s="234"/>
      <c r="R838" s="234"/>
      <c r="S838" s="186"/>
      <c r="T838" s="186"/>
      <c r="U838" s="186"/>
      <c r="V838" s="186"/>
      <c r="W838" s="186"/>
      <c r="X838" s="186"/>
      <c r="Y838" s="186"/>
      <c r="Z838" s="186"/>
    </row>
    <row r="839" spans="1:26" ht="12.75" customHeight="1">
      <c r="A839" s="186"/>
      <c r="B839" s="189"/>
      <c r="C839" s="189"/>
      <c r="D839" s="230"/>
      <c r="E839" s="230"/>
      <c r="F839" s="231"/>
      <c r="G839" s="189"/>
      <c r="H839" s="230"/>
      <c r="I839" s="230"/>
      <c r="J839" s="232"/>
      <c r="K839" s="233"/>
      <c r="L839" s="186"/>
      <c r="M839" s="186"/>
      <c r="N839" s="186"/>
      <c r="O839" s="234"/>
      <c r="P839" s="186"/>
      <c r="Q839" s="234"/>
      <c r="R839" s="234"/>
      <c r="S839" s="186"/>
      <c r="T839" s="186"/>
      <c r="U839" s="186"/>
      <c r="V839" s="186"/>
      <c r="W839" s="186"/>
      <c r="X839" s="186"/>
      <c r="Y839" s="186"/>
      <c r="Z839" s="186"/>
    </row>
    <row r="840" spans="1:26" ht="12.75" customHeight="1">
      <c r="A840" s="186"/>
      <c r="B840" s="189"/>
      <c r="C840" s="189"/>
      <c r="D840" s="230"/>
      <c r="E840" s="230"/>
      <c r="F840" s="231"/>
      <c r="G840" s="189"/>
      <c r="H840" s="230"/>
      <c r="I840" s="230"/>
      <c r="J840" s="232"/>
      <c r="K840" s="233"/>
      <c r="L840" s="186"/>
      <c r="M840" s="186"/>
      <c r="N840" s="186"/>
      <c r="O840" s="234"/>
      <c r="P840" s="186"/>
      <c r="Q840" s="234"/>
      <c r="R840" s="234"/>
      <c r="S840" s="186"/>
      <c r="T840" s="186"/>
      <c r="U840" s="186"/>
      <c r="V840" s="186"/>
      <c r="W840" s="186"/>
      <c r="X840" s="186"/>
      <c r="Y840" s="186"/>
      <c r="Z840" s="186"/>
    </row>
    <row r="841" spans="1:26" ht="12.75" customHeight="1">
      <c r="A841" s="186"/>
      <c r="B841" s="189"/>
      <c r="C841" s="189"/>
      <c r="D841" s="230"/>
      <c r="E841" s="230"/>
      <c r="F841" s="231"/>
      <c r="G841" s="189"/>
      <c r="H841" s="230"/>
      <c r="I841" s="230"/>
      <c r="J841" s="232"/>
      <c r="K841" s="233"/>
      <c r="L841" s="186"/>
      <c r="M841" s="186"/>
      <c r="N841" s="186"/>
      <c r="O841" s="234"/>
      <c r="P841" s="186"/>
      <c r="Q841" s="234"/>
      <c r="R841" s="234"/>
      <c r="S841" s="186"/>
      <c r="T841" s="186"/>
      <c r="U841" s="186"/>
      <c r="V841" s="186"/>
      <c r="W841" s="186"/>
      <c r="X841" s="186"/>
      <c r="Y841" s="186"/>
      <c r="Z841" s="186"/>
    </row>
    <row r="842" spans="1:26" ht="12.75" customHeight="1">
      <c r="A842" s="186"/>
      <c r="B842" s="189"/>
      <c r="C842" s="189"/>
      <c r="D842" s="230"/>
      <c r="E842" s="230"/>
      <c r="F842" s="231"/>
      <c r="G842" s="189"/>
      <c r="H842" s="230"/>
      <c r="I842" s="230"/>
      <c r="J842" s="232"/>
      <c r="K842" s="233"/>
      <c r="L842" s="186"/>
      <c r="M842" s="186"/>
      <c r="N842" s="186"/>
      <c r="O842" s="234"/>
      <c r="P842" s="186"/>
      <c r="Q842" s="234"/>
      <c r="R842" s="234"/>
      <c r="S842" s="186"/>
      <c r="T842" s="186"/>
      <c r="U842" s="186"/>
      <c r="V842" s="186"/>
      <c r="W842" s="186"/>
      <c r="X842" s="186"/>
      <c r="Y842" s="186"/>
      <c r="Z842" s="186"/>
    </row>
    <row r="843" spans="1:26" ht="12.75" customHeight="1">
      <c r="A843" s="186"/>
      <c r="B843" s="189"/>
      <c r="C843" s="189"/>
      <c r="D843" s="230"/>
      <c r="E843" s="230"/>
      <c r="F843" s="231"/>
      <c r="G843" s="189"/>
      <c r="H843" s="230"/>
      <c r="I843" s="230"/>
      <c r="J843" s="232"/>
      <c r="K843" s="233"/>
      <c r="L843" s="186"/>
      <c r="M843" s="186"/>
      <c r="N843" s="186"/>
      <c r="O843" s="234"/>
      <c r="P843" s="186"/>
      <c r="Q843" s="234"/>
      <c r="R843" s="234"/>
      <c r="S843" s="186"/>
      <c r="T843" s="186"/>
      <c r="U843" s="186"/>
      <c r="V843" s="186"/>
      <c r="W843" s="186"/>
      <c r="X843" s="186"/>
      <c r="Y843" s="186"/>
      <c r="Z843" s="186"/>
    </row>
    <row r="844" spans="1:26" ht="12.75" customHeight="1">
      <c r="A844" s="186"/>
      <c r="B844" s="189"/>
      <c r="C844" s="189"/>
      <c r="D844" s="230"/>
      <c r="E844" s="230"/>
      <c r="F844" s="231"/>
      <c r="G844" s="189"/>
      <c r="H844" s="230"/>
      <c r="I844" s="230"/>
      <c r="J844" s="232"/>
      <c r="K844" s="233"/>
      <c r="L844" s="186"/>
      <c r="M844" s="186"/>
      <c r="N844" s="186"/>
      <c r="O844" s="234"/>
      <c r="P844" s="186"/>
      <c r="Q844" s="234"/>
      <c r="R844" s="234"/>
      <c r="S844" s="186"/>
      <c r="T844" s="186"/>
      <c r="U844" s="186"/>
      <c r="V844" s="186"/>
      <c r="W844" s="186"/>
      <c r="X844" s="186"/>
      <c r="Y844" s="186"/>
      <c r="Z844" s="186"/>
    </row>
    <row r="845" spans="1:26" ht="12.75" customHeight="1">
      <c r="A845" s="186"/>
      <c r="B845" s="189"/>
      <c r="C845" s="189"/>
      <c r="D845" s="230"/>
      <c r="E845" s="230"/>
      <c r="F845" s="231"/>
      <c r="G845" s="189"/>
      <c r="H845" s="230"/>
      <c r="I845" s="230"/>
      <c r="J845" s="232"/>
      <c r="K845" s="233"/>
      <c r="L845" s="186"/>
      <c r="M845" s="186"/>
      <c r="N845" s="186"/>
      <c r="O845" s="234"/>
      <c r="P845" s="186"/>
      <c r="Q845" s="234"/>
      <c r="R845" s="234"/>
      <c r="S845" s="186"/>
      <c r="T845" s="186"/>
      <c r="U845" s="186"/>
      <c r="V845" s="186"/>
      <c r="W845" s="186"/>
      <c r="X845" s="186"/>
      <c r="Y845" s="186"/>
      <c r="Z845" s="186"/>
    </row>
    <row r="846" spans="1:26" ht="12.75" customHeight="1">
      <c r="A846" s="186"/>
      <c r="B846" s="189"/>
      <c r="C846" s="189"/>
      <c r="D846" s="230"/>
      <c r="E846" s="230"/>
      <c r="F846" s="231"/>
      <c r="G846" s="189"/>
      <c r="H846" s="230"/>
      <c r="I846" s="230"/>
      <c r="J846" s="232"/>
      <c r="K846" s="233"/>
      <c r="L846" s="186"/>
      <c r="M846" s="186"/>
      <c r="N846" s="186"/>
      <c r="O846" s="234"/>
      <c r="P846" s="186"/>
      <c r="Q846" s="234"/>
      <c r="R846" s="234"/>
      <c r="S846" s="186"/>
      <c r="T846" s="186"/>
      <c r="U846" s="186"/>
      <c r="V846" s="186"/>
      <c r="W846" s="186"/>
      <c r="X846" s="186"/>
      <c r="Y846" s="186"/>
      <c r="Z846" s="186"/>
    </row>
    <row r="847" spans="1:26" ht="12.75" customHeight="1">
      <c r="A847" s="186"/>
      <c r="B847" s="189"/>
      <c r="C847" s="189"/>
      <c r="D847" s="230"/>
      <c r="E847" s="230"/>
      <c r="F847" s="231"/>
      <c r="G847" s="189"/>
      <c r="H847" s="230"/>
      <c r="I847" s="230"/>
      <c r="J847" s="232"/>
      <c r="K847" s="233"/>
      <c r="L847" s="186"/>
      <c r="M847" s="186"/>
      <c r="N847" s="186"/>
      <c r="O847" s="234"/>
      <c r="P847" s="186"/>
      <c r="Q847" s="234"/>
      <c r="R847" s="234"/>
      <c r="S847" s="186"/>
      <c r="T847" s="186"/>
      <c r="U847" s="186"/>
      <c r="V847" s="186"/>
      <c r="W847" s="186"/>
      <c r="X847" s="186"/>
      <c r="Y847" s="186"/>
      <c r="Z847" s="186"/>
    </row>
    <row r="848" spans="1:26" ht="12.75" customHeight="1">
      <c r="A848" s="186"/>
      <c r="B848" s="189"/>
      <c r="C848" s="189"/>
      <c r="D848" s="230"/>
      <c r="E848" s="230"/>
      <c r="F848" s="231"/>
      <c r="G848" s="189"/>
      <c r="H848" s="230"/>
      <c r="I848" s="230"/>
      <c r="J848" s="232"/>
      <c r="K848" s="233"/>
      <c r="L848" s="186"/>
      <c r="M848" s="186"/>
      <c r="N848" s="186"/>
      <c r="O848" s="234"/>
      <c r="P848" s="186"/>
      <c r="Q848" s="234"/>
      <c r="R848" s="234"/>
      <c r="S848" s="186"/>
      <c r="T848" s="186"/>
      <c r="U848" s="186"/>
      <c r="V848" s="186"/>
      <c r="W848" s="186"/>
      <c r="X848" s="186"/>
      <c r="Y848" s="186"/>
      <c r="Z848" s="186"/>
    </row>
    <row r="849" spans="1:26" ht="12.75" customHeight="1">
      <c r="A849" s="186"/>
      <c r="B849" s="189"/>
      <c r="C849" s="189"/>
      <c r="D849" s="230"/>
      <c r="E849" s="230"/>
      <c r="F849" s="231"/>
      <c r="G849" s="189"/>
      <c r="H849" s="230"/>
      <c r="I849" s="230"/>
      <c r="J849" s="232"/>
      <c r="K849" s="233"/>
      <c r="L849" s="186"/>
      <c r="M849" s="186"/>
      <c r="N849" s="186"/>
      <c r="O849" s="234"/>
      <c r="P849" s="186"/>
      <c r="Q849" s="234"/>
      <c r="R849" s="234"/>
      <c r="S849" s="186"/>
      <c r="T849" s="186"/>
      <c r="U849" s="186"/>
      <c r="V849" s="186"/>
      <c r="W849" s="186"/>
      <c r="X849" s="186"/>
      <c r="Y849" s="186"/>
      <c r="Z849" s="186"/>
    </row>
    <row r="850" spans="1:26" ht="12.75" customHeight="1">
      <c r="A850" s="186"/>
      <c r="B850" s="189"/>
      <c r="C850" s="189"/>
      <c r="D850" s="230"/>
      <c r="E850" s="230"/>
      <c r="F850" s="231"/>
      <c r="G850" s="189"/>
      <c r="H850" s="230"/>
      <c r="I850" s="230"/>
      <c r="J850" s="232"/>
      <c r="K850" s="233"/>
      <c r="L850" s="186"/>
      <c r="M850" s="186"/>
      <c r="N850" s="186"/>
      <c r="O850" s="234"/>
      <c r="P850" s="186"/>
      <c r="Q850" s="234"/>
      <c r="R850" s="234"/>
      <c r="S850" s="186"/>
      <c r="T850" s="186"/>
      <c r="U850" s="186"/>
      <c r="V850" s="186"/>
      <c r="W850" s="186"/>
      <c r="X850" s="186"/>
      <c r="Y850" s="186"/>
      <c r="Z850" s="186"/>
    </row>
    <row r="851" spans="1:26" ht="12.75" customHeight="1">
      <c r="A851" s="186"/>
      <c r="B851" s="189"/>
      <c r="C851" s="189"/>
      <c r="D851" s="230"/>
      <c r="E851" s="230"/>
      <c r="F851" s="231"/>
      <c r="G851" s="189"/>
      <c r="H851" s="230"/>
      <c r="I851" s="230"/>
      <c r="J851" s="232"/>
      <c r="K851" s="233"/>
      <c r="L851" s="186"/>
      <c r="M851" s="186"/>
      <c r="N851" s="186"/>
      <c r="O851" s="234"/>
      <c r="P851" s="186"/>
      <c r="Q851" s="234"/>
      <c r="R851" s="234"/>
      <c r="S851" s="186"/>
      <c r="T851" s="186"/>
      <c r="U851" s="186"/>
      <c r="V851" s="186"/>
      <c r="W851" s="186"/>
      <c r="X851" s="186"/>
      <c r="Y851" s="186"/>
      <c r="Z851" s="186"/>
    </row>
    <row r="852" spans="1:26" ht="12.75" customHeight="1">
      <c r="A852" s="186"/>
      <c r="B852" s="189"/>
      <c r="C852" s="189"/>
      <c r="D852" s="230"/>
      <c r="E852" s="230"/>
      <c r="F852" s="231"/>
      <c r="G852" s="189"/>
      <c r="H852" s="230"/>
      <c r="I852" s="230"/>
      <c r="J852" s="232"/>
      <c r="K852" s="233"/>
      <c r="L852" s="186"/>
      <c r="M852" s="186"/>
      <c r="N852" s="186"/>
      <c r="O852" s="234"/>
      <c r="P852" s="186"/>
      <c r="Q852" s="234"/>
      <c r="R852" s="234"/>
      <c r="S852" s="186"/>
      <c r="T852" s="186"/>
      <c r="U852" s="186"/>
      <c r="V852" s="186"/>
      <c r="W852" s="186"/>
      <c r="X852" s="186"/>
      <c r="Y852" s="186"/>
      <c r="Z852" s="186"/>
    </row>
    <row r="853" spans="1:26" ht="12.75" customHeight="1">
      <c r="A853" s="186"/>
      <c r="B853" s="189"/>
      <c r="C853" s="189"/>
      <c r="D853" s="230"/>
      <c r="E853" s="230"/>
      <c r="F853" s="231"/>
      <c r="G853" s="189"/>
      <c r="H853" s="230"/>
      <c r="I853" s="230"/>
      <c r="J853" s="232"/>
      <c r="K853" s="233"/>
      <c r="L853" s="186"/>
      <c r="M853" s="186"/>
      <c r="N853" s="186"/>
      <c r="O853" s="234"/>
      <c r="P853" s="186"/>
      <c r="Q853" s="234"/>
      <c r="R853" s="234"/>
      <c r="S853" s="186"/>
      <c r="T853" s="186"/>
      <c r="U853" s="186"/>
      <c r="V853" s="186"/>
      <c r="W853" s="186"/>
      <c r="X853" s="186"/>
      <c r="Y853" s="186"/>
      <c r="Z853" s="186"/>
    </row>
    <row r="854" spans="1:26" ht="12.75" customHeight="1">
      <c r="A854" s="186"/>
      <c r="B854" s="189"/>
      <c r="C854" s="189"/>
      <c r="D854" s="230"/>
      <c r="E854" s="230"/>
      <c r="F854" s="231"/>
      <c r="G854" s="189"/>
      <c r="H854" s="230"/>
      <c r="I854" s="230"/>
      <c r="J854" s="232"/>
      <c r="K854" s="233"/>
      <c r="L854" s="186"/>
      <c r="M854" s="186"/>
      <c r="N854" s="186"/>
      <c r="O854" s="234"/>
      <c r="P854" s="186"/>
      <c r="Q854" s="234"/>
      <c r="R854" s="234"/>
      <c r="S854" s="186"/>
      <c r="T854" s="186"/>
      <c r="U854" s="186"/>
      <c r="V854" s="186"/>
      <c r="W854" s="186"/>
      <c r="X854" s="186"/>
      <c r="Y854" s="186"/>
      <c r="Z854" s="186"/>
    </row>
    <row r="855" spans="1:26" ht="12.75" customHeight="1">
      <c r="A855" s="186"/>
      <c r="B855" s="189"/>
      <c r="C855" s="189"/>
      <c r="D855" s="230"/>
      <c r="E855" s="230"/>
      <c r="F855" s="231"/>
      <c r="G855" s="189"/>
      <c r="H855" s="230"/>
      <c r="I855" s="230"/>
      <c r="J855" s="232"/>
      <c r="K855" s="233"/>
      <c r="L855" s="186"/>
      <c r="M855" s="186"/>
      <c r="N855" s="186"/>
      <c r="O855" s="234"/>
      <c r="P855" s="186"/>
      <c r="Q855" s="234"/>
      <c r="R855" s="234"/>
      <c r="S855" s="186"/>
      <c r="T855" s="186"/>
      <c r="U855" s="186"/>
      <c r="V855" s="186"/>
      <c r="W855" s="186"/>
      <c r="X855" s="186"/>
      <c r="Y855" s="186"/>
      <c r="Z855" s="186"/>
    </row>
    <row r="856" spans="1:26" ht="12.75" customHeight="1">
      <c r="A856" s="186"/>
      <c r="B856" s="189"/>
      <c r="C856" s="189"/>
      <c r="D856" s="230"/>
      <c r="E856" s="230"/>
      <c r="F856" s="231"/>
      <c r="G856" s="189"/>
      <c r="H856" s="230"/>
      <c r="I856" s="230"/>
      <c r="J856" s="232"/>
      <c r="K856" s="233"/>
      <c r="L856" s="186"/>
      <c r="M856" s="186"/>
      <c r="N856" s="186"/>
      <c r="O856" s="234"/>
      <c r="P856" s="186"/>
      <c r="Q856" s="234"/>
      <c r="R856" s="234"/>
      <c r="S856" s="186"/>
      <c r="T856" s="186"/>
      <c r="U856" s="186"/>
      <c r="V856" s="186"/>
      <c r="W856" s="186"/>
      <c r="X856" s="186"/>
      <c r="Y856" s="186"/>
      <c r="Z856" s="186"/>
    </row>
    <row r="857" spans="1:26" ht="12.75" customHeight="1">
      <c r="A857" s="186"/>
      <c r="B857" s="189"/>
      <c r="C857" s="189"/>
      <c r="D857" s="230"/>
      <c r="E857" s="230"/>
      <c r="F857" s="231"/>
      <c r="G857" s="189"/>
      <c r="H857" s="230"/>
      <c r="I857" s="230"/>
      <c r="J857" s="232"/>
      <c r="K857" s="233"/>
      <c r="L857" s="186"/>
      <c r="M857" s="186"/>
      <c r="N857" s="186"/>
      <c r="O857" s="234"/>
      <c r="P857" s="186"/>
      <c r="Q857" s="234"/>
      <c r="R857" s="234"/>
      <c r="S857" s="186"/>
      <c r="T857" s="186"/>
      <c r="U857" s="186"/>
      <c r="V857" s="186"/>
      <c r="W857" s="186"/>
      <c r="X857" s="186"/>
      <c r="Y857" s="186"/>
      <c r="Z857" s="186"/>
    </row>
    <row r="858" spans="1:26" ht="12.75" customHeight="1">
      <c r="A858" s="186"/>
      <c r="B858" s="189"/>
      <c r="C858" s="189"/>
      <c r="D858" s="230"/>
      <c r="E858" s="230"/>
      <c r="F858" s="231"/>
      <c r="G858" s="189"/>
      <c r="H858" s="230"/>
      <c r="I858" s="230"/>
      <c r="J858" s="232"/>
      <c r="K858" s="233"/>
      <c r="L858" s="186"/>
      <c r="M858" s="186"/>
      <c r="N858" s="186"/>
      <c r="O858" s="234"/>
      <c r="P858" s="186"/>
      <c r="Q858" s="234"/>
      <c r="R858" s="234"/>
      <c r="S858" s="186"/>
      <c r="T858" s="186"/>
      <c r="U858" s="186"/>
      <c r="V858" s="186"/>
      <c r="W858" s="186"/>
      <c r="X858" s="186"/>
      <c r="Y858" s="186"/>
      <c r="Z858" s="186"/>
    </row>
    <row r="859" spans="1:26" ht="12.75" customHeight="1">
      <c r="A859" s="186"/>
      <c r="B859" s="189"/>
      <c r="C859" s="189"/>
      <c r="D859" s="230"/>
      <c r="E859" s="230"/>
      <c r="F859" s="231"/>
      <c r="G859" s="189"/>
      <c r="H859" s="230"/>
      <c r="I859" s="230"/>
      <c r="J859" s="232"/>
      <c r="K859" s="233"/>
      <c r="L859" s="186"/>
      <c r="M859" s="186"/>
      <c r="N859" s="186"/>
      <c r="O859" s="234"/>
      <c r="P859" s="186"/>
      <c r="Q859" s="234"/>
      <c r="R859" s="234"/>
      <c r="S859" s="186"/>
      <c r="T859" s="186"/>
      <c r="U859" s="186"/>
      <c r="V859" s="186"/>
      <c r="W859" s="186"/>
      <c r="X859" s="186"/>
      <c r="Y859" s="186"/>
      <c r="Z859" s="186"/>
    </row>
    <row r="860" spans="1:26" ht="12.75" customHeight="1">
      <c r="A860" s="186"/>
      <c r="B860" s="189"/>
      <c r="C860" s="189"/>
      <c r="D860" s="230"/>
      <c r="E860" s="230"/>
      <c r="F860" s="231"/>
      <c r="G860" s="189"/>
      <c r="H860" s="230"/>
      <c r="I860" s="230"/>
      <c r="J860" s="232"/>
      <c r="K860" s="233"/>
      <c r="L860" s="186"/>
      <c r="M860" s="186"/>
      <c r="N860" s="186"/>
      <c r="O860" s="234"/>
      <c r="P860" s="186"/>
      <c r="Q860" s="234"/>
      <c r="R860" s="234"/>
      <c r="S860" s="186"/>
      <c r="T860" s="186"/>
      <c r="U860" s="186"/>
      <c r="V860" s="186"/>
      <c r="W860" s="186"/>
      <c r="X860" s="186"/>
      <c r="Y860" s="186"/>
      <c r="Z860" s="186"/>
    </row>
    <row r="861" spans="1:26" ht="12.75" customHeight="1">
      <c r="A861" s="186"/>
      <c r="B861" s="189"/>
      <c r="C861" s="189"/>
      <c r="D861" s="230"/>
      <c r="E861" s="230"/>
      <c r="F861" s="231"/>
      <c r="G861" s="189"/>
      <c r="H861" s="230"/>
      <c r="I861" s="230"/>
      <c r="J861" s="232"/>
      <c r="K861" s="233"/>
      <c r="L861" s="186"/>
      <c r="M861" s="186"/>
      <c r="N861" s="186"/>
      <c r="O861" s="234"/>
      <c r="P861" s="186"/>
      <c r="Q861" s="234"/>
      <c r="R861" s="234"/>
      <c r="S861" s="186"/>
      <c r="T861" s="186"/>
      <c r="U861" s="186"/>
      <c r="V861" s="186"/>
      <c r="W861" s="186"/>
      <c r="X861" s="186"/>
      <c r="Y861" s="186"/>
      <c r="Z861" s="186"/>
    </row>
    <row r="862" spans="1:26" ht="12.75" customHeight="1">
      <c r="A862" s="186"/>
      <c r="B862" s="189"/>
      <c r="C862" s="189"/>
      <c r="D862" s="230"/>
      <c r="E862" s="230"/>
      <c r="F862" s="231"/>
      <c r="G862" s="189"/>
      <c r="H862" s="230"/>
      <c r="I862" s="230"/>
      <c r="J862" s="232"/>
      <c r="K862" s="233"/>
      <c r="L862" s="186"/>
      <c r="M862" s="186"/>
      <c r="N862" s="186"/>
      <c r="O862" s="234"/>
      <c r="P862" s="186"/>
      <c r="Q862" s="234"/>
      <c r="R862" s="234"/>
      <c r="S862" s="186"/>
      <c r="T862" s="186"/>
      <c r="U862" s="186"/>
      <c r="V862" s="186"/>
      <c r="W862" s="186"/>
      <c r="X862" s="186"/>
      <c r="Y862" s="186"/>
      <c r="Z862" s="186"/>
    </row>
    <row r="863" spans="1:26" ht="12.75" customHeight="1">
      <c r="A863" s="186"/>
      <c r="B863" s="189"/>
      <c r="C863" s="189"/>
      <c r="D863" s="230"/>
      <c r="E863" s="230"/>
      <c r="F863" s="231"/>
      <c r="G863" s="189"/>
      <c r="H863" s="230"/>
      <c r="I863" s="230"/>
      <c r="J863" s="232"/>
      <c r="K863" s="233"/>
      <c r="L863" s="186"/>
      <c r="M863" s="186"/>
      <c r="N863" s="186"/>
      <c r="O863" s="234"/>
      <c r="P863" s="186"/>
      <c r="Q863" s="234"/>
      <c r="R863" s="234"/>
      <c r="S863" s="186"/>
      <c r="T863" s="186"/>
      <c r="U863" s="186"/>
      <c r="V863" s="186"/>
      <c r="W863" s="186"/>
      <c r="X863" s="186"/>
      <c r="Y863" s="186"/>
      <c r="Z863" s="186"/>
    </row>
    <row r="864" spans="1:26" ht="12.75" customHeight="1">
      <c r="A864" s="186"/>
      <c r="B864" s="189"/>
      <c r="C864" s="189"/>
      <c r="D864" s="230"/>
      <c r="E864" s="230"/>
      <c r="F864" s="231"/>
      <c r="G864" s="189"/>
      <c r="H864" s="230"/>
      <c r="I864" s="230"/>
      <c r="J864" s="232"/>
      <c r="K864" s="233"/>
      <c r="L864" s="186"/>
      <c r="M864" s="186"/>
      <c r="N864" s="186"/>
      <c r="O864" s="234"/>
      <c r="P864" s="186"/>
      <c r="Q864" s="234"/>
      <c r="R864" s="234"/>
      <c r="S864" s="186"/>
      <c r="T864" s="186"/>
      <c r="U864" s="186"/>
      <c r="V864" s="186"/>
      <c r="W864" s="186"/>
      <c r="X864" s="186"/>
      <c r="Y864" s="186"/>
      <c r="Z864" s="186"/>
    </row>
    <row r="865" spans="1:26" ht="12.75" customHeight="1">
      <c r="A865" s="186"/>
      <c r="B865" s="189"/>
      <c r="C865" s="189"/>
      <c r="D865" s="230"/>
      <c r="E865" s="230"/>
      <c r="F865" s="231"/>
      <c r="G865" s="189"/>
      <c r="H865" s="230"/>
      <c r="I865" s="230"/>
      <c r="J865" s="232"/>
      <c r="K865" s="233"/>
      <c r="L865" s="186"/>
      <c r="M865" s="186"/>
      <c r="N865" s="186"/>
      <c r="O865" s="234"/>
      <c r="P865" s="186"/>
      <c r="Q865" s="234"/>
      <c r="R865" s="234"/>
      <c r="S865" s="186"/>
      <c r="T865" s="186"/>
      <c r="U865" s="186"/>
      <c r="V865" s="186"/>
      <c r="W865" s="186"/>
      <c r="X865" s="186"/>
      <c r="Y865" s="186"/>
      <c r="Z865" s="186"/>
    </row>
    <row r="866" spans="1:26" ht="12.75" customHeight="1">
      <c r="A866" s="186"/>
      <c r="B866" s="189"/>
      <c r="C866" s="189"/>
      <c r="D866" s="230"/>
      <c r="E866" s="230"/>
      <c r="F866" s="231"/>
      <c r="G866" s="189"/>
      <c r="H866" s="230"/>
      <c r="I866" s="230"/>
      <c r="J866" s="232"/>
      <c r="K866" s="233"/>
      <c r="L866" s="186"/>
      <c r="M866" s="186"/>
      <c r="N866" s="186"/>
      <c r="O866" s="234"/>
      <c r="P866" s="186"/>
      <c r="Q866" s="234"/>
      <c r="R866" s="234"/>
      <c r="S866" s="186"/>
      <c r="T866" s="186"/>
      <c r="U866" s="186"/>
      <c r="V866" s="186"/>
      <c r="W866" s="186"/>
      <c r="X866" s="186"/>
      <c r="Y866" s="186"/>
      <c r="Z866" s="186"/>
    </row>
    <row r="867" spans="1:26" ht="12.75" customHeight="1">
      <c r="A867" s="186"/>
      <c r="B867" s="189"/>
      <c r="C867" s="189"/>
      <c r="D867" s="230"/>
      <c r="E867" s="230"/>
      <c r="F867" s="231"/>
      <c r="G867" s="189"/>
      <c r="H867" s="230"/>
      <c r="I867" s="230"/>
      <c r="J867" s="232"/>
      <c r="K867" s="233"/>
      <c r="L867" s="186"/>
      <c r="M867" s="186"/>
      <c r="N867" s="186"/>
      <c r="O867" s="234"/>
      <c r="P867" s="186"/>
      <c r="Q867" s="234"/>
      <c r="R867" s="234"/>
      <c r="S867" s="186"/>
      <c r="T867" s="186"/>
      <c r="U867" s="186"/>
      <c r="V867" s="186"/>
      <c r="W867" s="186"/>
      <c r="X867" s="186"/>
      <c r="Y867" s="186"/>
      <c r="Z867" s="186"/>
    </row>
    <row r="868" spans="1:26" ht="12.75" customHeight="1">
      <c r="A868" s="186"/>
      <c r="B868" s="189"/>
      <c r="C868" s="189"/>
      <c r="D868" s="230"/>
      <c r="E868" s="230"/>
      <c r="F868" s="231"/>
      <c r="G868" s="189"/>
      <c r="H868" s="230"/>
      <c r="I868" s="230"/>
      <c r="J868" s="232"/>
      <c r="K868" s="233"/>
      <c r="L868" s="186"/>
      <c r="M868" s="186"/>
      <c r="N868" s="186"/>
      <c r="O868" s="234"/>
      <c r="P868" s="186"/>
      <c r="Q868" s="234"/>
      <c r="R868" s="234"/>
      <c r="S868" s="186"/>
      <c r="T868" s="186"/>
      <c r="U868" s="186"/>
      <c r="V868" s="186"/>
      <c r="W868" s="186"/>
      <c r="X868" s="186"/>
      <c r="Y868" s="186"/>
      <c r="Z868" s="186"/>
    </row>
    <row r="869" spans="1:26" ht="12.75" customHeight="1">
      <c r="A869" s="186"/>
      <c r="B869" s="189"/>
      <c r="C869" s="189"/>
      <c r="D869" s="230"/>
      <c r="E869" s="230"/>
      <c r="F869" s="231"/>
      <c r="G869" s="189"/>
      <c r="H869" s="230"/>
      <c r="I869" s="230"/>
      <c r="J869" s="232"/>
      <c r="K869" s="233"/>
      <c r="L869" s="186"/>
      <c r="M869" s="186"/>
      <c r="N869" s="186"/>
      <c r="O869" s="234"/>
      <c r="P869" s="186"/>
      <c r="Q869" s="234"/>
      <c r="R869" s="234"/>
      <c r="S869" s="186"/>
      <c r="T869" s="186"/>
      <c r="U869" s="186"/>
      <c r="V869" s="186"/>
      <c r="W869" s="186"/>
      <c r="X869" s="186"/>
      <c r="Y869" s="186"/>
      <c r="Z869" s="186"/>
    </row>
    <row r="870" spans="1:26" ht="12.75" customHeight="1">
      <c r="A870" s="186"/>
      <c r="B870" s="189"/>
      <c r="C870" s="189"/>
      <c r="D870" s="230"/>
      <c r="E870" s="230"/>
      <c r="F870" s="231"/>
      <c r="G870" s="189"/>
      <c r="H870" s="230"/>
      <c r="I870" s="230"/>
      <c r="J870" s="232"/>
      <c r="K870" s="233"/>
      <c r="L870" s="186"/>
      <c r="M870" s="186"/>
      <c r="N870" s="186"/>
      <c r="O870" s="234"/>
      <c r="P870" s="186"/>
      <c r="Q870" s="234"/>
      <c r="R870" s="234"/>
      <c r="S870" s="186"/>
      <c r="T870" s="186"/>
      <c r="U870" s="186"/>
      <c r="V870" s="186"/>
      <c r="W870" s="186"/>
      <c r="X870" s="186"/>
      <c r="Y870" s="186"/>
      <c r="Z870" s="186"/>
    </row>
    <row r="871" spans="1:26" ht="12.75" customHeight="1">
      <c r="A871" s="186"/>
      <c r="B871" s="189"/>
      <c r="C871" s="189"/>
      <c r="D871" s="230"/>
      <c r="E871" s="230"/>
      <c r="F871" s="231"/>
      <c r="G871" s="189"/>
      <c r="H871" s="230"/>
      <c r="I871" s="230"/>
      <c r="J871" s="232"/>
      <c r="K871" s="233"/>
      <c r="L871" s="186"/>
      <c r="M871" s="186"/>
      <c r="N871" s="186"/>
      <c r="O871" s="234"/>
      <c r="P871" s="186"/>
      <c r="Q871" s="234"/>
      <c r="R871" s="234"/>
      <c r="S871" s="186"/>
      <c r="T871" s="186"/>
      <c r="U871" s="186"/>
      <c r="V871" s="186"/>
      <c r="W871" s="186"/>
      <c r="X871" s="186"/>
      <c r="Y871" s="186"/>
      <c r="Z871" s="186"/>
    </row>
    <row r="872" spans="1:26" ht="12.75" customHeight="1">
      <c r="A872" s="186"/>
      <c r="B872" s="189"/>
      <c r="C872" s="189"/>
      <c r="D872" s="230"/>
      <c r="E872" s="230"/>
      <c r="F872" s="231"/>
      <c r="G872" s="189"/>
      <c r="H872" s="230"/>
      <c r="I872" s="230"/>
      <c r="J872" s="232"/>
      <c r="K872" s="233"/>
      <c r="L872" s="186"/>
      <c r="M872" s="186"/>
      <c r="N872" s="186"/>
      <c r="O872" s="234"/>
      <c r="P872" s="186"/>
      <c r="Q872" s="234"/>
      <c r="R872" s="234"/>
      <c r="S872" s="186"/>
      <c r="T872" s="186"/>
      <c r="U872" s="186"/>
      <c r="V872" s="186"/>
      <c r="W872" s="186"/>
      <c r="X872" s="186"/>
      <c r="Y872" s="186"/>
      <c r="Z872" s="186"/>
    </row>
    <row r="873" spans="1:26" ht="12.75" customHeight="1">
      <c r="A873" s="186"/>
      <c r="B873" s="189"/>
      <c r="C873" s="189"/>
      <c r="D873" s="230"/>
      <c r="E873" s="230"/>
      <c r="F873" s="231"/>
      <c r="G873" s="189"/>
      <c r="H873" s="230"/>
      <c r="I873" s="230"/>
      <c r="J873" s="232"/>
      <c r="K873" s="233"/>
      <c r="L873" s="186"/>
      <c r="M873" s="186"/>
      <c r="N873" s="186"/>
      <c r="O873" s="234"/>
      <c r="P873" s="186"/>
      <c r="Q873" s="234"/>
      <c r="R873" s="234"/>
      <c r="S873" s="186"/>
      <c r="T873" s="186"/>
      <c r="U873" s="186"/>
      <c r="V873" s="186"/>
      <c r="W873" s="186"/>
      <c r="X873" s="186"/>
      <c r="Y873" s="186"/>
      <c r="Z873" s="186"/>
    </row>
    <row r="874" spans="1:26" ht="12.75" customHeight="1">
      <c r="A874" s="186"/>
      <c r="B874" s="189"/>
      <c r="C874" s="189"/>
      <c r="D874" s="230"/>
      <c r="E874" s="230"/>
      <c r="F874" s="231"/>
      <c r="G874" s="189"/>
      <c r="H874" s="230"/>
      <c r="I874" s="230"/>
      <c r="J874" s="232"/>
      <c r="K874" s="233"/>
      <c r="L874" s="186"/>
      <c r="M874" s="186"/>
      <c r="N874" s="186"/>
      <c r="O874" s="234"/>
      <c r="P874" s="186"/>
      <c r="Q874" s="234"/>
      <c r="R874" s="234"/>
      <c r="S874" s="186"/>
      <c r="T874" s="186"/>
      <c r="U874" s="186"/>
      <c r="V874" s="186"/>
      <c r="W874" s="186"/>
      <c r="X874" s="186"/>
      <c r="Y874" s="186"/>
      <c r="Z874" s="186"/>
    </row>
    <row r="875" spans="1:26" ht="12.75" customHeight="1">
      <c r="A875" s="186"/>
      <c r="B875" s="189"/>
      <c r="C875" s="189"/>
      <c r="D875" s="230"/>
      <c r="E875" s="230"/>
      <c r="F875" s="231"/>
      <c r="G875" s="189"/>
      <c r="H875" s="230"/>
      <c r="I875" s="230"/>
      <c r="J875" s="232"/>
      <c r="K875" s="233"/>
      <c r="L875" s="186"/>
      <c r="M875" s="186"/>
      <c r="N875" s="186"/>
      <c r="O875" s="234"/>
      <c r="P875" s="186"/>
      <c r="Q875" s="234"/>
      <c r="R875" s="234"/>
      <c r="S875" s="186"/>
      <c r="T875" s="186"/>
      <c r="U875" s="186"/>
      <c r="V875" s="186"/>
      <c r="W875" s="186"/>
      <c r="X875" s="186"/>
      <c r="Y875" s="186"/>
      <c r="Z875" s="186"/>
    </row>
    <row r="876" spans="1:26" ht="12.75" customHeight="1">
      <c r="A876" s="186"/>
      <c r="B876" s="189"/>
      <c r="C876" s="189"/>
      <c r="D876" s="230"/>
      <c r="E876" s="230"/>
      <c r="F876" s="231"/>
      <c r="G876" s="189"/>
      <c r="H876" s="230"/>
      <c r="I876" s="230"/>
      <c r="J876" s="232"/>
      <c r="K876" s="233"/>
      <c r="L876" s="186"/>
      <c r="M876" s="186"/>
      <c r="N876" s="186"/>
      <c r="O876" s="234"/>
      <c r="P876" s="186"/>
      <c r="Q876" s="234"/>
      <c r="R876" s="234"/>
      <c r="S876" s="186"/>
      <c r="T876" s="186"/>
      <c r="U876" s="186"/>
      <c r="V876" s="186"/>
      <c r="W876" s="186"/>
      <c r="X876" s="186"/>
      <c r="Y876" s="186"/>
      <c r="Z876" s="186"/>
    </row>
    <row r="877" spans="1:26" ht="12.75" customHeight="1">
      <c r="A877" s="186"/>
      <c r="B877" s="189"/>
      <c r="C877" s="189"/>
      <c r="D877" s="230"/>
      <c r="E877" s="230"/>
      <c r="F877" s="231"/>
      <c r="G877" s="189"/>
      <c r="H877" s="230"/>
      <c r="I877" s="230"/>
      <c r="J877" s="232"/>
      <c r="K877" s="233"/>
      <c r="L877" s="186"/>
      <c r="M877" s="186"/>
      <c r="N877" s="186"/>
      <c r="O877" s="234"/>
      <c r="P877" s="186"/>
      <c r="Q877" s="234"/>
      <c r="R877" s="234"/>
      <c r="S877" s="186"/>
      <c r="T877" s="186"/>
      <c r="U877" s="186"/>
      <c r="V877" s="186"/>
      <c r="W877" s="186"/>
      <c r="X877" s="186"/>
      <c r="Y877" s="186"/>
      <c r="Z877" s="186"/>
    </row>
    <row r="878" spans="1:26" ht="12.75" customHeight="1">
      <c r="A878" s="186"/>
      <c r="B878" s="189"/>
      <c r="C878" s="189"/>
      <c r="D878" s="230"/>
      <c r="E878" s="230"/>
      <c r="F878" s="231"/>
      <c r="G878" s="189"/>
      <c r="H878" s="230"/>
      <c r="I878" s="230"/>
      <c r="J878" s="232"/>
      <c r="K878" s="233"/>
      <c r="L878" s="186"/>
      <c r="M878" s="186"/>
      <c r="N878" s="186"/>
      <c r="O878" s="234"/>
      <c r="P878" s="186"/>
      <c r="Q878" s="234"/>
      <c r="R878" s="234"/>
      <c r="S878" s="186"/>
      <c r="T878" s="186"/>
      <c r="U878" s="186"/>
      <c r="V878" s="186"/>
      <c r="W878" s="186"/>
      <c r="X878" s="186"/>
      <c r="Y878" s="186"/>
      <c r="Z878" s="186"/>
    </row>
    <row r="879" spans="1:26" ht="12.75" customHeight="1">
      <c r="A879" s="186"/>
      <c r="B879" s="189"/>
      <c r="C879" s="189"/>
      <c r="D879" s="230"/>
      <c r="E879" s="230"/>
      <c r="F879" s="231"/>
      <c r="G879" s="189"/>
      <c r="H879" s="230"/>
      <c r="I879" s="230"/>
      <c r="J879" s="232"/>
      <c r="K879" s="233"/>
      <c r="L879" s="186"/>
      <c r="M879" s="186"/>
      <c r="N879" s="186"/>
      <c r="O879" s="234"/>
      <c r="P879" s="186"/>
      <c r="Q879" s="234"/>
      <c r="R879" s="234"/>
      <c r="S879" s="186"/>
      <c r="T879" s="186"/>
      <c r="U879" s="186"/>
      <c r="V879" s="186"/>
      <c r="W879" s="186"/>
      <c r="X879" s="186"/>
      <c r="Y879" s="186"/>
      <c r="Z879" s="186"/>
    </row>
    <row r="880" spans="1:26" ht="12.75" customHeight="1">
      <c r="A880" s="186"/>
      <c r="B880" s="189"/>
      <c r="C880" s="189"/>
      <c r="D880" s="230"/>
      <c r="E880" s="230"/>
      <c r="F880" s="231"/>
      <c r="G880" s="189"/>
      <c r="H880" s="230"/>
      <c r="I880" s="230"/>
      <c r="J880" s="232"/>
      <c r="K880" s="233"/>
      <c r="L880" s="186"/>
      <c r="M880" s="186"/>
      <c r="N880" s="186"/>
      <c r="O880" s="234"/>
      <c r="P880" s="186"/>
      <c r="Q880" s="234"/>
      <c r="R880" s="234"/>
      <c r="S880" s="186"/>
      <c r="T880" s="186"/>
      <c r="U880" s="186"/>
      <c r="V880" s="186"/>
      <c r="W880" s="186"/>
      <c r="X880" s="186"/>
      <c r="Y880" s="186"/>
      <c r="Z880" s="186"/>
    </row>
    <row r="881" spans="1:26" ht="12.75" customHeight="1">
      <c r="A881" s="186"/>
      <c r="B881" s="189"/>
      <c r="C881" s="189"/>
      <c r="D881" s="230"/>
      <c r="E881" s="230"/>
      <c r="F881" s="231"/>
      <c r="G881" s="189"/>
      <c r="H881" s="230"/>
      <c r="I881" s="230"/>
      <c r="J881" s="232"/>
      <c r="K881" s="233"/>
      <c r="L881" s="186"/>
      <c r="M881" s="186"/>
      <c r="N881" s="186"/>
      <c r="O881" s="234"/>
      <c r="P881" s="186"/>
      <c r="Q881" s="234"/>
      <c r="R881" s="234"/>
      <c r="S881" s="186"/>
      <c r="T881" s="186"/>
      <c r="U881" s="186"/>
      <c r="V881" s="186"/>
      <c r="W881" s="186"/>
      <c r="X881" s="186"/>
      <c r="Y881" s="186"/>
      <c r="Z881" s="186"/>
    </row>
    <row r="882" spans="1:26" ht="12.75" customHeight="1">
      <c r="A882" s="186"/>
      <c r="B882" s="189"/>
      <c r="C882" s="189"/>
      <c r="D882" s="230"/>
      <c r="E882" s="230"/>
      <c r="F882" s="231"/>
      <c r="G882" s="189"/>
      <c r="H882" s="230"/>
      <c r="I882" s="230"/>
      <c r="J882" s="232"/>
      <c r="K882" s="233"/>
      <c r="L882" s="186"/>
      <c r="M882" s="186"/>
      <c r="N882" s="186"/>
      <c r="O882" s="234"/>
      <c r="P882" s="186"/>
      <c r="Q882" s="234"/>
      <c r="R882" s="234"/>
      <c r="S882" s="186"/>
      <c r="T882" s="186"/>
      <c r="U882" s="186"/>
      <c r="V882" s="186"/>
      <c r="W882" s="186"/>
      <c r="X882" s="186"/>
      <c r="Y882" s="186"/>
      <c r="Z882" s="186"/>
    </row>
    <row r="883" spans="1:26" ht="12.75" customHeight="1">
      <c r="A883" s="186"/>
      <c r="B883" s="189"/>
      <c r="C883" s="189"/>
      <c r="D883" s="230"/>
      <c r="E883" s="230"/>
      <c r="F883" s="231"/>
      <c r="G883" s="189"/>
      <c r="H883" s="230"/>
      <c r="I883" s="230"/>
      <c r="J883" s="232"/>
      <c r="K883" s="233"/>
      <c r="L883" s="186"/>
      <c r="M883" s="186"/>
      <c r="N883" s="186"/>
      <c r="O883" s="234"/>
      <c r="P883" s="186"/>
      <c r="Q883" s="234"/>
      <c r="R883" s="234"/>
      <c r="S883" s="186"/>
      <c r="T883" s="186"/>
      <c r="U883" s="186"/>
      <c r="V883" s="186"/>
      <c r="W883" s="186"/>
      <c r="X883" s="186"/>
      <c r="Y883" s="186"/>
      <c r="Z883" s="186"/>
    </row>
    <row r="884" spans="1:26" ht="12.75" customHeight="1">
      <c r="A884" s="186"/>
      <c r="B884" s="189"/>
      <c r="C884" s="189"/>
      <c r="D884" s="230"/>
      <c r="E884" s="230"/>
      <c r="F884" s="231"/>
      <c r="G884" s="189"/>
      <c r="H884" s="230"/>
      <c r="I884" s="230"/>
      <c r="J884" s="232"/>
      <c r="K884" s="233"/>
      <c r="L884" s="186"/>
      <c r="M884" s="186"/>
      <c r="N884" s="186"/>
      <c r="O884" s="234"/>
      <c r="P884" s="186"/>
      <c r="Q884" s="234"/>
      <c r="R884" s="234"/>
      <c r="S884" s="186"/>
      <c r="T884" s="186"/>
      <c r="U884" s="186"/>
      <c r="V884" s="186"/>
      <c r="W884" s="186"/>
      <c r="X884" s="186"/>
      <c r="Y884" s="186"/>
      <c r="Z884" s="186"/>
    </row>
    <row r="885" spans="1:26" ht="12.75" customHeight="1">
      <c r="A885" s="186"/>
      <c r="B885" s="189"/>
      <c r="C885" s="189"/>
      <c r="D885" s="230"/>
      <c r="E885" s="230"/>
      <c r="F885" s="231"/>
      <c r="G885" s="189"/>
      <c r="H885" s="230"/>
      <c r="I885" s="230"/>
      <c r="J885" s="232"/>
      <c r="K885" s="233"/>
      <c r="L885" s="186"/>
      <c r="M885" s="186"/>
      <c r="N885" s="186"/>
      <c r="O885" s="234"/>
      <c r="P885" s="186"/>
      <c r="Q885" s="234"/>
      <c r="R885" s="234"/>
      <c r="S885" s="186"/>
      <c r="T885" s="186"/>
      <c r="U885" s="186"/>
      <c r="V885" s="186"/>
      <c r="W885" s="186"/>
      <c r="X885" s="186"/>
      <c r="Y885" s="186"/>
      <c r="Z885" s="186"/>
    </row>
    <row r="886" spans="1:26" ht="12.75" customHeight="1">
      <c r="A886" s="186"/>
      <c r="B886" s="189"/>
      <c r="C886" s="189"/>
      <c r="D886" s="230"/>
      <c r="E886" s="230"/>
      <c r="F886" s="231"/>
      <c r="G886" s="189"/>
      <c r="H886" s="230"/>
      <c r="I886" s="230"/>
      <c r="J886" s="232"/>
      <c r="K886" s="233"/>
      <c r="L886" s="186"/>
      <c r="M886" s="186"/>
      <c r="N886" s="186"/>
      <c r="O886" s="234"/>
      <c r="P886" s="186"/>
      <c r="Q886" s="234"/>
      <c r="R886" s="234"/>
      <c r="S886" s="186"/>
      <c r="T886" s="186"/>
      <c r="U886" s="186"/>
      <c r="V886" s="186"/>
      <c r="W886" s="186"/>
      <c r="X886" s="186"/>
      <c r="Y886" s="186"/>
      <c r="Z886" s="186"/>
    </row>
    <row r="887" spans="1:26" ht="12.75" customHeight="1">
      <c r="A887" s="186"/>
      <c r="B887" s="189"/>
      <c r="C887" s="189"/>
      <c r="D887" s="230"/>
      <c r="E887" s="230"/>
      <c r="F887" s="231"/>
      <c r="G887" s="189"/>
      <c r="H887" s="230"/>
      <c r="I887" s="230"/>
      <c r="J887" s="232"/>
      <c r="K887" s="233"/>
      <c r="L887" s="186"/>
      <c r="M887" s="186"/>
      <c r="N887" s="186"/>
      <c r="O887" s="234"/>
      <c r="P887" s="186"/>
      <c r="Q887" s="234"/>
      <c r="R887" s="234"/>
      <c r="S887" s="186"/>
      <c r="T887" s="186"/>
      <c r="U887" s="186"/>
      <c r="V887" s="186"/>
      <c r="W887" s="186"/>
      <c r="X887" s="186"/>
      <c r="Y887" s="186"/>
      <c r="Z887" s="186"/>
    </row>
    <row r="888" spans="1:26" ht="12.75" customHeight="1">
      <c r="A888" s="186"/>
      <c r="B888" s="189"/>
      <c r="C888" s="189"/>
      <c r="D888" s="230"/>
      <c r="E888" s="230"/>
      <c r="F888" s="231"/>
      <c r="G888" s="189"/>
      <c r="H888" s="230"/>
      <c r="I888" s="230"/>
      <c r="J888" s="232"/>
      <c r="K888" s="233"/>
      <c r="L888" s="186"/>
      <c r="M888" s="186"/>
      <c r="N888" s="186"/>
      <c r="O888" s="234"/>
      <c r="P888" s="186"/>
      <c r="Q888" s="234"/>
      <c r="R888" s="234"/>
      <c r="S888" s="186"/>
      <c r="T888" s="186"/>
      <c r="U888" s="186"/>
      <c r="V888" s="186"/>
      <c r="W888" s="186"/>
      <c r="X888" s="186"/>
      <c r="Y888" s="186"/>
      <c r="Z888" s="186"/>
    </row>
    <row r="889" spans="1:26" ht="12.75" customHeight="1">
      <c r="A889" s="186"/>
      <c r="B889" s="189"/>
      <c r="C889" s="189"/>
      <c r="D889" s="230"/>
      <c r="E889" s="230"/>
      <c r="F889" s="231"/>
      <c r="G889" s="189"/>
      <c r="H889" s="230"/>
      <c r="I889" s="230"/>
      <c r="J889" s="232"/>
      <c r="K889" s="233"/>
      <c r="L889" s="186"/>
      <c r="M889" s="186"/>
      <c r="N889" s="186"/>
      <c r="O889" s="234"/>
      <c r="P889" s="186"/>
      <c r="Q889" s="234"/>
      <c r="R889" s="234"/>
      <c r="S889" s="186"/>
      <c r="T889" s="186"/>
      <c r="U889" s="186"/>
      <c r="V889" s="186"/>
      <c r="W889" s="186"/>
      <c r="X889" s="186"/>
      <c r="Y889" s="186"/>
      <c r="Z889" s="186"/>
    </row>
    <row r="890" spans="1:26" ht="12.75" customHeight="1">
      <c r="A890" s="186"/>
      <c r="B890" s="189"/>
      <c r="C890" s="189"/>
      <c r="D890" s="230"/>
      <c r="E890" s="230"/>
      <c r="F890" s="231"/>
      <c r="G890" s="189"/>
      <c r="H890" s="230"/>
      <c r="I890" s="230"/>
      <c r="J890" s="232"/>
      <c r="K890" s="233"/>
      <c r="L890" s="186"/>
      <c r="M890" s="186"/>
      <c r="N890" s="186"/>
      <c r="O890" s="234"/>
      <c r="P890" s="186"/>
      <c r="Q890" s="234"/>
      <c r="R890" s="234"/>
      <c r="S890" s="186"/>
      <c r="T890" s="186"/>
      <c r="U890" s="186"/>
      <c r="V890" s="186"/>
      <c r="W890" s="186"/>
      <c r="X890" s="186"/>
      <c r="Y890" s="186"/>
      <c r="Z890" s="186"/>
    </row>
    <row r="891" spans="1:26" ht="12.75" customHeight="1">
      <c r="A891" s="186"/>
      <c r="B891" s="189"/>
      <c r="C891" s="189"/>
      <c r="D891" s="230"/>
      <c r="E891" s="230"/>
      <c r="F891" s="231"/>
      <c r="G891" s="189"/>
      <c r="H891" s="230"/>
      <c r="I891" s="230"/>
      <c r="J891" s="232"/>
      <c r="K891" s="233"/>
      <c r="L891" s="186"/>
      <c r="M891" s="186"/>
      <c r="N891" s="186"/>
      <c r="O891" s="234"/>
      <c r="P891" s="186"/>
      <c r="Q891" s="234"/>
      <c r="R891" s="234"/>
      <c r="S891" s="186"/>
      <c r="T891" s="186"/>
      <c r="U891" s="186"/>
      <c r="V891" s="186"/>
      <c r="W891" s="186"/>
      <c r="X891" s="186"/>
      <c r="Y891" s="186"/>
      <c r="Z891" s="186"/>
    </row>
    <row r="892" spans="1:26" ht="12.75" customHeight="1">
      <c r="A892" s="186"/>
      <c r="B892" s="189"/>
      <c r="C892" s="189"/>
      <c r="D892" s="230"/>
      <c r="E892" s="230"/>
      <c r="F892" s="231"/>
      <c r="G892" s="189"/>
      <c r="H892" s="230"/>
      <c r="I892" s="230"/>
      <c r="J892" s="232"/>
      <c r="K892" s="233"/>
      <c r="L892" s="186"/>
      <c r="M892" s="186"/>
      <c r="N892" s="186"/>
      <c r="O892" s="234"/>
      <c r="P892" s="186"/>
      <c r="Q892" s="234"/>
      <c r="R892" s="234"/>
      <c r="S892" s="186"/>
      <c r="T892" s="186"/>
      <c r="U892" s="186"/>
      <c r="V892" s="186"/>
      <c r="W892" s="186"/>
      <c r="X892" s="186"/>
      <c r="Y892" s="186"/>
      <c r="Z892" s="186"/>
    </row>
    <row r="893" spans="1:26" ht="12.75" customHeight="1">
      <c r="A893" s="186"/>
      <c r="B893" s="189"/>
      <c r="C893" s="189"/>
      <c r="D893" s="230"/>
      <c r="E893" s="230"/>
      <c r="F893" s="231"/>
      <c r="G893" s="189"/>
      <c r="H893" s="230"/>
      <c r="I893" s="230"/>
      <c r="J893" s="232"/>
      <c r="K893" s="233"/>
      <c r="L893" s="186"/>
      <c r="M893" s="186"/>
      <c r="N893" s="186"/>
      <c r="O893" s="234"/>
      <c r="P893" s="186"/>
      <c r="Q893" s="234"/>
      <c r="R893" s="234"/>
      <c r="S893" s="186"/>
      <c r="T893" s="186"/>
      <c r="U893" s="186"/>
      <c r="V893" s="186"/>
      <c r="W893" s="186"/>
      <c r="X893" s="186"/>
      <c r="Y893" s="186"/>
      <c r="Z893" s="186"/>
    </row>
    <row r="894" spans="1:26" ht="12.75" customHeight="1">
      <c r="A894" s="186"/>
      <c r="B894" s="189"/>
      <c r="C894" s="189"/>
      <c r="D894" s="230"/>
      <c r="E894" s="230"/>
      <c r="F894" s="231"/>
      <c r="G894" s="189"/>
      <c r="H894" s="230"/>
      <c r="I894" s="230"/>
      <c r="J894" s="232"/>
      <c r="K894" s="233"/>
      <c r="L894" s="186"/>
      <c r="M894" s="186"/>
      <c r="N894" s="186"/>
      <c r="O894" s="234"/>
      <c r="P894" s="186"/>
      <c r="Q894" s="234"/>
      <c r="R894" s="234"/>
      <c r="S894" s="186"/>
      <c r="T894" s="186"/>
      <c r="U894" s="186"/>
      <c r="V894" s="186"/>
      <c r="W894" s="186"/>
      <c r="X894" s="186"/>
      <c r="Y894" s="186"/>
      <c r="Z894" s="186"/>
    </row>
    <row r="895" spans="1:26" ht="12.75" customHeight="1">
      <c r="A895" s="186"/>
      <c r="B895" s="189"/>
      <c r="C895" s="189"/>
      <c r="D895" s="230"/>
      <c r="E895" s="230"/>
      <c r="F895" s="231"/>
      <c r="G895" s="189"/>
      <c r="H895" s="230"/>
      <c r="I895" s="230"/>
      <c r="J895" s="232"/>
      <c r="K895" s="233"/>
      <c r="L895" s="186"/>
      <c r="M895" s="186"/>
      <c r="N895" s="186"/>
      <c r="O895" s="234"/>
      <c r="P895" s="186"/>
      <c r="Q895" s="234"/>
      <c r="R895" s="234"/>
      <c r="S895" s="186"/>
      <c r="T895" s="186"/>
      <c r="U895" s="186"/>
      <c r="V895" s="186"/>
      <c r="W895" s="186"/>
      <c r="X895" s="186"/>
      <c r="Y895" s="186"/>
      <c r="Z895" s="186"/>
    </row>
    <row r="896" spans="1:26" ht="12.75" customHeight="1">
      <c r="A896" s="186"/>
      <c r="B896" s="189"/>
      <c r="C896" s="189"/>
      <c r="D896" s="230"/>
      <c r="E896" s="230"/>
      <c r="F896" s="231"/>
      <c r="G896" s="189"/>
      <c r="H896" s="230"/>
      <c r="I896" s="230"/>
      <c r="J896" s="232"/>
      <c r="K896" s="233"/>
      <c r="L896" s="186"/>
      <c r="M896" s="186"/>
      <c r="N896" s="186"/>
      <c r="O896" s="234"/>
      <c r="P896" s="186"/>
      <c r="Q896" s="234"/>
      <c r="R896" s="234"/>
      <c r="S896" s="186"/>
      <c r="T896" s="186"/>
      <c r="U896" s="186"/>
      <c r="V896" s="186"/>
      <c r="W896" s="186"/>
      <c r="X896" s="186"/>
      <c r="Y896" s="186"/>
      <c r="Z896" s="186"/>
    </row>
    <row r="897" spans="1:26" ht="12.75" customHeight="1">
      <c r="A897" s="186"/>
      <c r="B897" s="189"/>
      <c r="C897" s="189"/>
      <c r="D897" s="230"/>
      <c r="E897" s="230"/>
      <c r="F897" s="231"/>
      <c r="G897" s="189"/>
      <c r="H897" s="230"/>
      <c r="I897" s="230"/>
      <c r="J897" s="232"/>
      <c r="K897" s="233"/>
      <c r="L897" s="186"/>
      <c r="M897" s="186"/>
      <c r="N897" s="186"/>
      <c r="O897" s="234"/>
      <c r="P897" s="186"/>
      <c r="Q897" s="234"/>
      <c r="R897" s="234"/>
      <c r="S897" s="186"/>
      <c r="T897" s="186"/>
      <c r="U897" s="186"/>
      <c r="V897" s="186"/>
      <c r="W897" s="186"/>
      <c r="X897" s="186"/>
      <c r="Y897" s="186"/>
      <c r="Z897" s="186"/>
    </row>
    <row r="898" spans="1:26" ht="12.75" customHeight="1">
      <c r="A898" s="186"/>
      <c r="B898" s="189"/>
      <c r="C898" s="189"/>
      <c r="D898" s="230"/>
      <c r="E898" s="230"/>
      <c r="F898" s="231"/>
      <c r="G898" s="189"/>
      <c r="H898" s="230"/>
      <c r="I898" s="230"/>
      <c r="J898" s="232"/>
      <c r="K898" s="233"/>
      <c r="L898" s="186"/>
      <c r="M898" s="186"/>
      <c r="N898" s="186"/>
      <c r="O898" s="234"/>
      <c r="P898" s="186"/>
      <c r="Q898" s="234"/>
      <c r="R898" s="234"/>
      <c r="S898" s="186"/>
      <c r="T898" s="186"/>
      <c r="U898" s="186"/>
      <c r="V898" s="186"/>
      <c r="W898" s="186"/>
      <c r="X898" s="186"/>
      <c r="Y898" s="186"/>
      <c r="Z898" s="186"/>
    </row>
    <row r="899" spans="1:26" ht="12.75" customHeight="1">
      <c r="A899" s="186"/>
      <c r="B899" s="189"/>
      <c r="C899" s="189"/>
      <c r="D899" s="230"/>
      <c r="E899" s="230"/>
      <c r="F899" s="231"/>
      <c r="G899" s="189"/>
      <c r="H899" s="230"/>
      <c r="I899" s="230"/>
      <c r="J899" s="232"/>
      <c r="K899" s="233"/>
      <c r="L899" s="186"/>
      <c r="M899" s="186"/>
      <c r="N899" s="186"/>
      <c r="O899" s="234"/>
      <c r="P899" s="186"/>
      <c r="Q899" s="234"/>
      <c r="R899" s="234"/>
      <c r="S899" s="186"/>
      <c r="T899" s="186"/>
      <c r="U899" s="186"/>
      <c r="V899" s="186"/>
      <c r="W899" s="186"/>
      <c r="X899" s="186"/>
      <c r="Y899" s="186"/>
      <c r="Z899" s="186"/>
    </row>
    <row r="900" spans="1:26" ht="12.75" customHeight="1">
      <c r="A900" s="186"/>
      <c r="B900" s="189"/>
      <c r="C900" s="189"/>
      <c r="D900" s="230"/>
      <c r="E900" s="230"/>
      <c r="F900" s="231"/>
      <c r="G900" s="189"/>
      <c r="H900" s="230"/>
      <c r="I900" s="230"/>
      <c r="J900" s="232"/>
      <c r="K900" s="233"/>
      <c r="L900" s="186"/>
      <c r="M900" s="186"/>
      <c r="N900" s="186"/>
      <c r="O900" s="234"/>
      <c r="P900" s="186"/>
      <c r="Q900" s="234"/>
      <c r="R900" s="234"/>
      <c r="S900" s="186"/>
      <c r="T900" s="186"/>
      <c r="U900" s="186"/>
      <c r="V900" s="186"/>
      <c r="W900" s="186"/>
      <c r="X900" s="186"/>
      <c r="Y900" s="186"/>
      <c r="Z900" s="186"/>
    </row>
    <row r="901" spans="1:26" ht="12.75" customHeight="1">
      <c r="A901" s="186"/>
      <c r="B901" s="189"/>
      <c r="C901" s="189"/>
      <c r="D901" s="230"/>
      <c r="E901" s="230"/>
      <c r="F901" s="231"/>
      <c r="G901" s="189"/>
      <c r="H901" s="230"/>
      <c r="I901" s="230"/>
      <c r="J901" s="232"/>
      <c r="K901" s="233"/>
      <c r="L901" s="186"/>
      <c r="M901" s="186"/>
      <c r="N901" s="186"/>
      <c r="O901" s="234"/>
      <c r="P901" s="186"/>
      <c r="Q901" s="234"/>
      <c r="R901" s="234"/>
      <c r="S901" s="186"/>
      <c r="T901" s="186"/>
      <c r="U901" s="186"/>
      <c r="V901" s="186"/>
      <c r="W901" s="186"/>
      <c r="X901" s="186"/>
      <c r="Y901" s="186"/>
      <c r="Z901" s="186"/>
    </row>
    <row r="902" spans="1:26" ht="12.75" customHeight="1">
      <c r="A902" s="186"/>
      <c r="B902" s="189"/>
      <c r="C902" s="189"/>
      <c r="D902" s="230"/>
      <c r="E902" s="230"/>
      <c r="F902" s="231"/>
      <c r="G902" s="189"/>
      <c r="H902" s="230"/>
      <c r="I902" s="230"/>
      <c r="J902" s="232"/>
      <c r="K902" s="233"/>
      <c r="L902" s="186"/>
      <c r="M902" s="186"/>
      <c r="N902" s="186"/>
      <c r="O902" s="234"/>
      <c r="P902" s="186"/>
      <c r="Q902" s="234"/>
      <c r="R902" s="234"/>
      <c r="S902" s="186"/>
      <c r="T902" s="186"/>
      <c r="U902" s="186"/>
      <c r="V902" s="186"/>
      <c r="W902" s="186"/>
      <c r="X902" s="186"/>
      <c r="Y902" s="186"/>
      <c r="Z902" s="186"/>
    </row>
    <row r="903" spans="1:26" ht="12.75" customHeight="1">
      <c r="A903" s="186"/>
      <c r="B903" s="189"/>
      <c r="C903" s="189"/>
      <c r="D903" s="230"/>
      <c r="E903" s="230"/>
      <c r="F903" s="231"/>
      <c r="G903" s="189"/>
      <c r="H903" s="230"/>
      <c r="I903" s="230"/>
      <c r="J903" s="232"/>
      <c r="K903" s="233"/>
      <c r="L903" s="186"/>
      <c r="M903" s="186"/>
      <c r="N903" s="186"/>
      <c r="O903" s="234"/>
      <c r="P903" s="186"/>
      <c r="Q903" s="234"/>
      <c r="R903" s="234"/>
      <c r="S903" s="186"/>
      <c r="T903" s="186"/>
      <c r="U903" s="186"/>
      <c r="V903" s="186"/>
      <c r="W903" s="186"/>
      <c r="X903" s="186"/>
      <c r="Y903" s="186"/>
      <c r="Z903" s="186"/>
    </row>
    <row r="904" spans="1:26" ht="12.75" customHeight="1">
      <c r="A904" s="186"/>
      <c r="B904" s="189"/>
      <c r="C904" s="189"/>
      <c r="D904" s="230"/>
      <c r="E904" s="230"/>
      <c r="F904" s="231"/>
      <c r="G904" s="189"/>
      <c r="H904" s="230"/>
      <c r="I904" s="230"/>
      <c r="J904" s="232"/>
      <c r="K904" s="233"/>
      <c r="L904" s="186"/>
      <c r="M904" s="186"/>
      <c r="N904" s="186"/>
      <c r="O904" s="234"/>
      <c r="P904" s="186"/>
      <c r="Q904" s="234"/>
      <c r="R904" s="234"/>
      <c r="S904" s="186"/>
      <c r="T904" s="186"/>
      <c r="U904" s="186"/>
      <c r="V904" s="186"/>
      <c r="W904" s="186"/>
      <c r="X904" s="186"/>
      <c r="Y904" s="186"/>
      <c r="Z904" s="186"/>
    </row>
    <row r="905" spans="1:26" ht="12.75" customHeight="1">
      <c r="A905" s="186"/>
      <c r="B905" s="189"/>
      <c r="C905" s="189"/>
      <c r="D905" s="230"/>
      <c r="E905" s="230"/>
      <c r="F905" s="231"/>
      <c r="G905" s="189"/>
      <c r="H905" s="230"/>
      <c r="I905" s="230"/>
      <c r="J905" s="232"/>
      <c r="K905" s="233"/>
      <c r="L905" s="186"/>
      <c r="M905" s="186"/>
      <c r="N905" s="186"/>
      <c r="O905" s="234"/>
      <c r="P905" s="186"/>
      <c r="Q905" s="234"/>
      <c r="R905" s="234"/>
      <c r="S905" s="186"/>
      <c r="T905" s="186"/>
      <c r="U905" s="186"/>
      <c r="V905" s="186"/>
      <c r="W905" s="186"/>
      <c r="X905" s="186"/>
      <c r="Y905" s="186"/>
      <c r="Z905" s="186"/>
    </row>
    <row r="906" spans="1:26" ht="12.75" customHeight="1">
      <c r="A906" s="186"/>
      <c r="B906" s="189"/>
      <c r="C906" s="189"/>
      <c r="D906" s="230"/>
      <c r="E906" s="230"/>
      <c r="F906" s="231"/>
      <c r="G906" s="189"/>
      <c r="H906" s="230"/>
      <c r="I906" s="230"/>
      <c r="J906" s="232"/>
      <c r="K906" s="233"/>
      <c r="L906" s="186"/>
      <c r="M906" s="186"/>
      <c r="N906" s="186"/>
      <c r="O906" s="234"/>
      <c r="P906" s="186"/>
      <c r="Q906" s="234"/>
      <c r="R906" s="234"/>
      <c r="S906" s="186"/>
      <c r="T906" s="186"/>
      <c r="U906" s="186"/>
      <c r="V906" s="186"/>
      <c r="W906" s="186"/>
      <c r="X906" s="186"/>
      <c r="Y906" s="186"/>
      <c r="Z906" s="186"/>
    </row>
    <row r="907" spans="1:26" ht="12.75" customHeight="1">
      <c r="A907" s="186"/>
      <c r="B907" s="189"/>
      <c r="C907" s="189"/>
      <c r="D907" s="230"/>
      <c r="E907" s="230"/>
      <c r="F907" s="231"/>
      <c r="G907" s="189"/>
      <c r="H907" s="230"/>
      <c r="I907" s="230"/>
      <c r="J907" s="232"/>
      <c r="K907" s="233"/>
      <c r="L907" s="186"/>
      <c r="M907" s="186"/>
      <c r="N907" s="186"/>
      <c r="O907" s="234"/>
      <c r="P907" s="186"/>
      <c r="Q907" s="234"/>
      <c r="R907" s="234"/>
      <c r="S907" s="186"/>
      <c r="T907" s="186"/>
      <c r="U907" s="186"/>
      <c r="V907" s="186"/>
      <c r="W907" s="186"/>
      <c r="X907" s="186"/>
      <c r="Y907" s="186"/>
      <c r="Z907" s="186"/>
    </row>
    <row r="908" spans="1:26" ht="12.75" customHeight="1">
      <c r="A908" s="186"/>
      <c r="B908" s="189"/>
      <c r="C908" s="189"/>
      <c r="D908" s="230"/>
      <c r="E908" s="230"/>
      <c r="F908" s="231"/>
      <c r="G908" s="189"/>
      <c r="H908" s="230"/>
      <c r="I908" s="230"/>
      <c r="J908" s="232"/>
      <c r="K908" s="233"/>
      <c r="L908" s="186"/>
      <c r="M908" s="186"/>
      <c r="N908" s="186"/>
      <c r="O908" s="234"/>
      <c r="P908" s="186"/>
      <c r="Q908" s="234"/>
      <c r="R908" s="234"/>
      <c r="S908" s="186"/>
      <c r="T908" s="186"/>
      <c r="U908" s="186"/>
      <c r="V908" s="186"/>
      <c r="W908" s="186"/>
      <c r="X908" s="186"/>
      <c r="Y908" s="186"/>
      <c r="Z908" s="186"/>
    </row>
    <row r="909" spans="1:26" ht="12.75" customHeight="1">
      <c r="A909" s="186"/>
      <c r="B909" s="189"/>
      <c r="C909" s="189"/>
      <c r="D909" s="230"/>
      <c r="E909" s="230"/>
      <c r="F909" s="231"/>
      <c r="G909" s="189"/>
      <c r="H909" s="230"/>
      <c r="I909" s="230"/>
      <c r="J909" s="232"/>
      <c r="K909" s="233"/>
      <c r="L909" s="186"/>
      <c r="M909" s="186"/>
      <c r="N909" s="186"/>
      <c r="O909" s="234"/>
      <c r="P909" s="186"/>
      <c r="Q909" s="234"/>
      <c r="R909" s="234"/>
      <c r="S909" s="186"/>
      <c r="T909" s="186"/>
      <c r="U909" s="186"/>
      <c r="V909" s="186"/>
      <c r="W909" s="186"/>
      <c r="X909" s="186"/>
      <c r="Y909" s="186"/>
      <c r="Z909" s="186"/>
    </row>
    <row r="910" spans="1:26" ht="12.75" customHeight="1">
      <c r="A910" s="186"/>
      <c r="B910" s="189"/>
      <c r="C910" s="189"/>
      <c r="D910" s="230"/>
      <c r="E910" s="230"/>
      <c r="F910" s="231"/>
      <c r="G910" s="189"/>
      <c r="H910" s="230"/>
      <c r="I910" s="230"/>
      <c r="J910" s="232"/>
      <c r="K910" s="233"/>
      <c r="L910" s="186"/>
      <c r="M910" s="186"/>
      <c r="N910" s="186"/>
      <c r="O910" s="234"/>
      <c r="P910" s="186"/>
      <c r="Q910" s="234"/>
      <c r="R910" s="234"/>
      <c r="S910" s="186"/>
      <c r="T910" s="186"/>
      <c r="U910" s="186"/>
      <c r="V910" s="186"/>
      <c r="W910" s="186"/>
      <c r="X910" s="186"/>
      <c r="Y910" s="186"/>
      <c r="Z910" s="186"/>
    </row>
    <row r="911" spans="1:26" ht="12.75" customHeight="1">
      <c r="A911" s="186"/>
      <c r="B911" s="189"/>
      <c r="C911" s="189"/>
      <c r="D911" s="230"/>
      <c r="E911" s="230"/>
      <c r="F911" s="231"/>
      <c r="G911" s="189"/>
      <c r="H911" s="230"/>
      <c r="I911" s="230"/>
      <c r="J911" s="232"/>
      <c r="K911" s="233"/>
      <c r="L911" s="186"/>
      <c r="M911" s="186"/>
      <c r="N911" s="186"/>
      <c r="O911" s="234"/>
      <c r="P911" s="186"/>
      <c r="Q911" s="234"/>
      <c r="R911" s="234"/>
      <c r="S911" s="186"/>
      <c r="T911" s="186"/>
      <c r="U911" s="186"/>
      <c r="V911" s="186"/>
      <c r="W911" s="186"/>
      <c r="X911" s="186"/>
      <c r="Y911" s="186"/>
      <c r="Z911" s="186"/>
    </row>
    <row r="912" spans="1:26" ht="12.75" customHeight="1">
      <c r="A912" s="186"/>
      <c r="B912" s="189"/>
      <c r="C912" s="189"/>
      <c r="D912" s="230"/>
      <c r="E912" s="230"/>
      <c r="F912" s="231"/>
      <c r="G912" s="189"/>
      <c r="H912" s="230"/>
      <c r="I912" s="230"/>
      <c r="J912" s="232"/>
      <c r="K912" s="233"/>
      <c r="L912" s="186"/>
      <c r="M912" s="186"/>
      <c r="N912" s="186"/>
      <c r="O912" s="234"/>
      <c r="P912" s="186"/>
      <c r="Q912" s="234"/>
      <c r="R912" s="234"/>
      <c r="S912" s="186"/>
      <c r="T912" s="186"/>
      <c r="U912" s="186"/>
      <c r="V912" s="186"/>
      <c r="W912" s="186"/>
      <c r="X912" s="186"/>
      <c r="Y912" s="186"/>
      <c r="Z912" s="186"/>
    </row>
    <row r="913" spans="1:26" ht="12.75" customHeight="1">
      <c r="A913" s="186"/>
      <c r="B913" s="189"/>
      <c r="C913" s="189"/>
      <c r="D913" s="230"/>
      <c r="E913" s="230"/>
      <c r="F913" s="231"/>
      <c r="G913" s="189"/>
      <c r="H913" s="230"/>
      <c r="I913" s="230"/>
      <c r="J913" s="232"/>
      <c r="K913" s="233"/>
      <c r="L913" s="186"/>
      <c r="M913" s="186"/>
      <c r="N913" s="186"/>
      <c r="O913" s="234"/>
      <c r="P913" s="186"/>
      <c r="Q913" s="234"/>
      <c r="R913" s="234"/>
      <c r="S913" s="186"/>
      <c r="T913" s="186"/>
      <c r="U913" s="186"/>
      <c r="V913" s="186"/>
      <c r="W913" s="186"/>
      <c r="X913" s="186"/>
      <c r="Y913" s="186"/>
      <c r="Z913" s="186"/>
    </row>
    <row r="914" spans="1:26" ht="12.75" customHeight="1">
      <c r="A914" s="186"/>
      <c r="B914" s="189"/>
      <c r="C914" s="189"/>
      <c r="D914" s="230"/>
      <c r="E914" s="230"/>
      <c r="F914" s="231"/>
      <c r="G914" s="189"/>
      <c r="H914" s="230"/>
      <c r="I914" s="230"/>
      <c r="J914" s="232"/>
      <c r="K914" s="233"/>
      <c r="L914" s="186"/>
      <c r="M914" s="186"/>
      <c r="N914" s="186"/>
      <c r="O914" s="234"/>
      <c r="P914" s="186"/>
      <c r="Q914" s="234"/>
      <c r="R914" s="234"/>
      <c r="S914" s="186"/>
      <c r="T914" s="186"/>
      <c r="U914" s="186"/>
      <c r="V914" s="186"/>
      <c r="W914" s="186"/>
      <c r="X914" s="186"/>
      <c r="Y914" s="186"/>
      <c r="Z914" s="186"/>
    </row>
    <row r="915" spans="1:26" ht="12.75" customHeight="1">
      <c r="A915" s="186"/>
      <c r="B915" s="189"/>
      <c r="C915" s="189"/>
      <c r="D915" s="230"/>
      <c r="E915" s="230"/>
      <c r="F915" s="231"/>
      <c r="G915" s="189"/>
      <c r="H915" s="230"/>
      <c r="I915" s="230"/>
      <c r="J915" s="232"/>
      <c r="K915" s="233"/>
      <c r="L915" s="186"/>
      <c r="M915" s="186"/>
      <c r="N915" s="186"/>
      <c r="O915" s="234"/>
      <c r="P915" s="186"/>
      <c r="Q915" s="234"/>
      <c r="R915" s="234"/>
      <c r="S915" s="186"/>
      <c r="T915" s="186"/>
      <c r="U915" s="186"/>
      <c r="V915" s="186"/>
      <c r="W915" s="186"/>
      <c r="X915" s="186"/>
      <c r="Y915" s="186"/>
      <c r="Z915" s="186"/>
    </row>
    <row r="916" spans="1:26" ht="12.75" customHeight="1">
      <c r="A916" s="186"/>
      <c r="B916" s="189"/>
      <c r="C916" s="189"/>
      <c r="D916" s="230"/>
      <c r="E916" s="230"/>
      <c r="F916" s="231"/>
      <c r="G916" s="189"/>
      <c r="H916" s="230"/>
      <c r="I916" s="230"/>
      <c r="J916" s="232"/>
      <c r="K916" s="233"/>
      <c r="L916" s="186"/>
      <c r="M916" s="186"/>
      <c r="N916" s="186"/>
      <c r="O916" s="234"/>
      <c r="P916" s="186"/>
      <c r="Q916" s="234"/>
      <c r="R916" s="234"/>
      <c r="S916" s="186"/>
      <c r="T916" s="186"/>
      <c r="U916" s="186"/>
      <c r="V916" s="186"/>
      <c r="W916" s="186"/>
      <c r="X916" s="186"/>
      <c r="Y916" s="186"/>
      <c r="Z916" s="186"/>
    </row>
    <row r="917" spans="1:26" ht="12.75" customHeight="1">
      <c r="A917" s="186"/>
      <c r="B917" s="189"/>
      <c r="C917" s="189"/>
      <c r="D917" s="230"/>
      <c r="E917" s="230"/>
      <c r="F917" s="231"/>
      <c r="G917" s="189"/>
      <c r="H917" s="230"/>
      <c r="I917" s="230"/>
      <c r="J917" s="232"/>
      <c r="K917" s="233"/>
      <c r="L917" s="186"/>
      <c r="M917" s="186"/>
      <c r="N917" s="186"/>
      <c r="O917" s="234"/>
      <c r="P917" s="186"/>
      <c r="Q917" s="234"/>
      <c r="R917" s="234"/>
      <c r="S917" s="186"/>
      <c r="T917" s="186"/>
      <c r="U917" s="186"/>
      <c r="V917" s="186"/>
      <c r="W917" s="186"/>
      <c r="X917" s="186"/>
      <c r="Y917" s="186"/>
      <c r="Z917" s="186"/>
    </row>
    <row r="918" spans="1:26" ht="12.75" customHeight="1">
      <c r="A918" s="186"/>
      <c r="B918" s="189"/>
      <c r="C918" s="189"/>
      <c r="D918" s="230"/>
      <c r="E918" s="230"/>
      <c r="F918" s="231"/>
      <c r="G918" s="189"/>
      <c r="H918" s="230"/>
      <c r="I918" s="230"/>
      <c r="J918" s="232"/>
      <c r="K918" s="233"/>
      <c r="L918" s="186"/>
      <c r="M918" s="186"/>
      <c r="N918" s="186"/>
      <c r="O918" s="234"/>
      <c r="P918" s="186"/>
      <c r="Q918" s="234"/>
      <c r="R918" s="234"/>
      <c r="S918" s="186"/>
      <c r="T918" s="186"/>
      <c r="U918" s="186"/>
      <c r="V918" s="186"/>
      <c r="W918" s="186"/>
      <c r="X918" s="186"/>
      <c r="Y918" s="186"/>
      <c r="Z918" s="186"/>
    </row>
    <row r="919" spans="1:26" ht="12.75" customHeight="1">
      <c r="A919" s="186"/>
      <c r="B919" s="189"/>
      <c r="C919" s="189"/>
      <c r="D919" s="230"/>
      <c r="E919" s="230"/>
      <c r="F919" s="231"/>
      <c r="G919" s="189"/>
      <c r="H919" s="230"/>
      <c r="I919" s="230"/>
      <c r="J919" s="232"/>
      <c r="K919" s="233"/>
      <c r="L919" s="186"/>
      <c r="M919" s="186"/>
      <c r="N919" s="186"/>
      <c r="O919" s="234"/>
      <c r="P919" s="186"/>
      <c r="Q919" s="234"/>
      <c r="R919" s="234"/>
      <c r="S919" s="186"/>
      <c r="T919" s="186"/>
      <c r="U919" s="186"/>
      <c r="V919" s="186"/>
      <c r="W919" s="186"/>
      <c r="X919" s="186"/>
      <c r="Y919" s="186"/>
      <c r="Z919" s="186"/>
    </row>
    <row r="920" spans="1:26" ht="12.75" customHeight="1">
      <c r="A920" s="186"/>
      <c r="B920" s="189"/>
      <c r="C920" s="189"/>
      <c r="D920" s="230"/>
      <c r="E920" s="230"/>
      <c r="F920" s="231"/>
      <c r="G920" s="189"/>
      <c r="H920" s="230"/>
      <c r="I920" s="230"/>
      <c r="J920" s="232"/>
      <c r="K920" s="233"/>
      <c r="L920" s="186"/>
      <c r="M920" s="186"/>
      <c r="N920" s="186"/>
      <c r="O920" s="234"/>
      <c r="P920" s="186"/>
      <c r="Q920" s="234"/>
      <c r="R920" s="234"/>
      <c r="S920" s="186"/>
      <c r="T920" s="186"/>
      <c r="U920" s="186"/>
      <c r="V920" s="186"/>
      <c r="W920" s="186"/>
      <c r="X920" s="186"/>
      <c r="Y920" s="186"/>
      <c r="Z920" s="186"/>
    </row>
    <row r="921" spans="1:26" ht="12.75" customHeight="1">
      <c r="A921" s="186"/>
      <c r="B921" s="189"/>
      <c r="C921" s="189"/>
      <c r="D921" s="230"/>
      <c r="E921" s="230"/>
      <c r="F921" s="231"/>
      <c r="G921" s="189"/>
      <c r="H921" s="230"/>
      <c r="I921" s="230"/>
      <c r="J921" s="232"/>
      <c r="K921" s="233"/>
      <c r="L921" s="186"/>
      <c r="M921" s="186"/>
      <c r="N921" s="186"/>
      <c r="O921" s="234"/>
      <c r="P921" s="186"/>
      <c r="Q921" s="234"/>
      <c r="R921" s="234"/>
      <c r="S921" s="186"/>
      <c r="T921" s="186"/>
      <c r="U921" s="186"/>
      <c r="V921" s="186"/>
      <c r="W921" s="186"/>
      <c r="X921" s="186"/>
      <c r="Y921" s="186"/>
      <c r="Z921" s="186"/>
    </row>
    <row r="922" spans="1:26" ht="12.75" customHeight="1">
      <c r="A922" s="186"/>
      <c r="B922" s="189"/>
      <c r="C922" s="189"/>
      <c r="D922" s="230"/>
      <c r="E922" s="230"/>
      <c r="F922" s="231"/>
      <c r="G922" s="189"/>
      <c r="H922" s="230"/>
      <c r="I922" s="230"/>
      <c r="J922" s="232"/>
      <c r="K922" s="233"/>
      <c r="L922" s="186"/>
      <c r="M922" s="186"/>
      <c r="N922" s="186"/>
      <c r="O922" s="234"/>
      <c r="P922" s="186"/>
      <c r="Q922" s="234"/>
      <c r="R922" s="234"/>
      <c r="S922" s="186"/>
      <c r="T922" s="186"/>
      <c r="U922" s="186"/>
      <c r="V922" s="186"/>
      <c r="W922" s="186"/>
      <c r="X922" s="186"/>
      <c r="Y922" s="186"/>
      <c r="Z922" s="186"/>
    </row>
    <row r="923" spans="1:26" ht="12.75" customHeight="1">
      <c r="A923" s="186"/>
      <c r="B923" s="189"/>
      <c r="C923" s="189"/>
      <c r="D923" s="230"/>
      <c r="E923" s="230"/>
      <c r="F923" s="231"/>
      <c r="G923" s="189"/>
      <c r="H923" s="230"/>
      <c r="I923" s="230"/>
      <c r="J923" s="232"/>
      <c r="K923" s="233"/>
      <c r="L923" s="186"/>
      <c r="M923" s="186"/>
      <c r="N923" s="186"/>
      <c r="O923" s="234"/>
      <c r="P923" s="186"/>
      <c r="Q923" s="234"/>
      <c r="R923" s="234"/>
      <c r="S923" s="186"/>
      <c r="T923" s="186"/>
      <c r="U923" s="186"/>
      <c r="V923" s="186"/>
      <c r="W923" s="186"/>
      <c r="X923" s="186"/>
      <c r="Y923" s="186"/>
      <c r="Z923" s="186"/>
    </row>
    <row r="924" spans="1:26" ht="12.75" customHeight="1">
      <c r="A924" s="186"/>
      <c r="B924" s="189"/>
      <c r="C924" s="189"/>
      <c r="D924" s="230"/>
      <c r="E924" s="230"/>
      <c r="F924" s="231"/>
      <c r="G924" s="189"/>
      <c r="H924" s="230"/>
      <c r="I924" s="230"/>
      <c r="J924" s="232"/>
      <c r="K924" s="233"/>
      <c r="L924" s="186"/>
      <c r="M924" s="186"/>
      <c r="N924" s="186"/>
      <c r="O924" s="234"/>
      <c r="P924" s="186"/>
      <c r="Q924" s="234"/>
      <c r="R924" s="234"/>
      <c r="S924" s="186"/>
      <c r="T924" s="186"/>
      <c r="U924" s="186"/>
      <c r="V924" s="186"/>
      <c r="W924" s="186"/>
      <c r="X924" s="186"/>
      <c r="Y924" s="186"/>
      <c r="Z924" s="186"/>
    </row>
    <row r="925" spans="1:26" ht="12.75" customHeight="1">
      <c r="A925" s="186"/>
      <c r="B925" s="189"/>
      <c r="C925" s="189"/>
      <c r="D925" s="230"/>
      <c r="E925" s="230"/>
      <c r="F925" s="231"/>
      <c r="G925" s="189"/>
      <c r="H925" s="230"/>
      <c r="I925" s="230"/>
      <c r="J925" s="232"/>
      <c r="K925" s="233"/>
      <c r="L925" s="186"/>
      <c r="M925" s="186"/>
      <c r="N925" s="186"/>
      <c r="O925" s="234"/>
      <c r="P925" s="186"/>
      <c r="Q925" s="234"/>
      <c r="R925" s="234"/>
      <c r="S925" s="186"/>
      <c r="T925" s="186"/>
      <c r="U925" s="186"/>
      <c r="V925" s="186"/>
      <c r="W925" s="186"/>
      <c r="X925" s="186"/>
      <c r="Y925" s="186"/>
      <c r="Z925" s="186"/>
    </row>
    <row r="926" spans="1:26" ht="12.75" customHeight="1">
      <c r="A926" s="186"/>
      <c r="B926" s="189"/>
      <c r="C926" s="189"/>
      <c r="D926" s="230"/>
      <c r="E926" s="230"/>
      <c r="F926" s="231"/>
      <c r="G926" s="189"/>
      <c r="H926" s="230"/>
      <c r="I926" s="230"/>
      <c r="J926" s="232"/>
      <c r="K926" s="233"/>
      <c r="L926" s="186"/>
      <c r="M926" s="186"/>
      <c r="N926" s="186"/>
      <c r="O926" s="234"/>
      <c r="P926" s="186"/>
      <c r="Q926" s="234"/>
      <c r="R926" s="234"/>
      <c r="S926" s="186"/>
      <c r="T926" s="186"/>
      <c r="U926" s="186"/>
      <c r="V926" s="186"/>
      <c r="W926" s="186"/>
      <c r="X926" s="186"/>
      <c r="Y926" s="186"/>
      <c r="Z926" s="186"/>
    </row>
    <row r="927" spans="1:26" ht="12.75" customHeight="1">
      <c r="A927" s="186"/>
      <c r="B927" s="189"/>
      <c r="C927" s="189"/>
      <c r="D927" s="230"/>
      <c r="E927" s="230"/>
      <c r="F927" s="231"/>
      <c r="G927" s="189"/>
      <c r="H927" s="230"/>
      <c r="I927" s="230"/>
      <c r="J927" s="232"/>
      <c r="K927" s="233"/>
      <c r="L927" s="186"/>
      <c r="M927" s="186"/>
      <c r="N927" s="186"/>
      <c r="O927" s="234"/>
      <c r="P927" s="186"/>
      <c r="Q927" s="234"/>
      <c r="R927" s="234"/>
      <c r="S927" s="186"/>
      <c r="T927" s="186"/>
      <c r="U927" s="186"/>
      <c r="V927" s="186"/>
      <c r="W927" s="186"/>
      <c r="X927" s="186"/>
      <c r="Y927" s="186"/>
      <c r="Z927" s="186"/>
    </row>
    <row r="928" spans="1:26" ht="12.75" customHeight="1">
      <c r="A928" s="186"/>
      <c r="B928" s="189"/>
      <c r="C928" s="189"/>
      <c r="D928" s="230"/>
      <c r="E928" s="230"/>
      <c r="F928" s="231"/>
      <c r="G928" s="189"/>
      <c r="H928" s="230"/>
      <c r="I928" s="230"/>
      <c r="J928" s="232"/>
      <c r="K928" s="233"/>
      <c r="L928" s="186"/>
      <c r="M928" s="186"/>
      <c r="N928" s="186"/>
      <c r="O928" s="234"/>
      <c r="P928" s="186"/>
      <c r="Q928" s="234"/>
      <c r="R928" s="234"/>
      <c r="S928" s="186"/>
      <c r="T928" s="186"/>
      <c r="U928" s="186"/>
      <c r="V928" s="186"/>
      <c r="W928" s="186"/>
      <c r="X928" s="186"/>
      <c r="Y928" s="186"/>
      <c r="Z928" s="186"/>
    </row>
    <row r="929" spans="1:26" ht="12.75" customHeight="1">
      <c r="A929" s="186"/>
      <c r="B929" s="189"/>
      <c r="C929" s="189"/>
      <c r="D929" s="230"/>
      <c r="E929" s="230"/>
      <c r="F929" s="231"/>
      <c r="G929" s="189"/>
      <c r="H929" s="230"/>
      <c r="I929" s="230"/>
      <c r="J929" s="232"/>
      <c r="K929" s="233"/>
      <c r="L929" s="186"/>
      <c r="M929" s="186"/>
      <c r="N929" s="186"/>
      <c r="O929" s="234"/>
      <c r="P929" s="186"/>
      <c r="Q929" s="234"/>
      <c r="R929" s="234"/>
      <c r="S929" s="186"/>
      <c r="T929" s="186"/>
      <c r="U929" s="186"/>
      <c r="V929" s="186"/>
      <c r="W929" s="186"/>
      <c r="X929" s="186"/>
      <c r="Y929" s="186"/>
      <c r="Z929" s="186"/>
    </row>
    <row r="930" spans="1:26" ht="12.75" customHeight="1">
      <c r="A930" s="186"/>
      <c r="B930" s="189"/>
      <c r="C930" s="189"/>
      <c r="D930" s="230"/>
      <c r="E930" s="230"/>
      <c r="F930" s="231"/>
      <c r="G930" s="189"/>
      <c r="H930" s="230"/>
      <c r="I930" s="230"/>
      <c r="J930" s="232"/>
      <c r="K930" s="233"/>
      <c r="L930" s="186"/>
      <c r="M930" s="186"/>
      <c r="N930" s="186"/>
      <c r="O930" s="234"/>
      <c r="P930" s="186"/>
      <c r="Q930" s="234"/>
      <c r="R930" s="234"/>
      <c r="S930" s="186"/>
      <c r="T930" s="186"/>
      <c r="U930" s="186"/>
      <c r="V930" s="186"/>
      <c r="W930" s="186"/>
      <c r="X930" s="186"/>
      <c r="Y930" s="186"/>
      <c r="Z930" s="186"/>
    </row>
    <row r="931" spans="1:26" ht="12.75" customHeight="1">
      <c r="A931" s="186"/>
      <c r="B931" s="189"/>
      <c r="C931" s="189"/>
      <c r="D931" s="230"/>
      <c r="E931" s="230"/>
      <c r="F931" s="231"/>
      <c r="G931" s="189"/>
      <c r="H931" s="230"/>
      <c r="I931" s="230"/>
      <c r="J931" s="232"/>
      <c r="K931" s="233"/>
      <c r="L931" s="186"/>
      <c r="M931" s="186"/>
      <c r="N931" s="186"/>
      <c r="O931" s="234"/>
      <c r="P931" s="186"/>
      <c r="Q931" s="234"/>
      <c r="R931" s="234"/>
      <c r="S931" s="186"/>
      <c r="T931" s="186"/>
      <c r="U931" s="186"/>
      <c r="V931" s="186"/>
      <c r="W931" s="186"/>
      <c r="X931" s="186"/>
      <c r="Y931" s="186"/>
      <c r="Z931" s="186"/>
    </row>
    <row r="932" spans="1:26" ht="12.75" customHeight="1">
      <c r="A932" s="186"/>
      <c r="B932" s="189"/>
      <c r="C932" s="189"/>
      <c r="D932" s="230"/>
      <c r="E932" s="230"/>
      <c r="F932" s="231"/>
      <c r="G932" s="189"/>
      <c r="H932" s="230"/>
      <c r="I932" s="230"/>
      <c r="J932" s="232"/>
      <c r="K932" s="233"/>
      <c r="L932" s="186"/>
      <c r="M932" s="186"/>
      <c r="N932" s="186"/>
      <c r="O932" s="234"/>
      <c r="P932" s="186"/>
      <c r="Q932" s="234"/>
      <c r="R932" s="234"/>
      <c r="S932" s="186"/>
      <c r="T932" s="186"/>
      <c r="U932" s="186"/>
      <c r="V932" s="186"/>
      <c r="W932" s="186"/>
      <c r="X932" s="186"/>
      <c r="Y932" s="186"/>
      <c r="Z932" s="186"/>
    </row>
    <row r="933" spans="1:26" ht="12.75" customHeight="1">
      <c r="A933" s="186"/>
      <c r="B933" s="189"/>
      <c r="C933" s="189"/>
      <c r="D933" s="230"/>
      <c r="E933" s="230"/>
      <c r="F933" s="231"/>
      <c r="G933" s="189"/>
      <c r="H933" s="230"/>
      <c r="I933" s="230"/>
      <c r="J933" s="232"/>
      <c r="K933" s="233"/>
      <c r="L933" s="186"/>
      <c r="M933" s="186"/>
      <c r="N933" s="186"/>
      <c r="O933" s="234"/>
      <c r="P933" s="186"/>
      <c r="Q933" s="234"/>
      <c r="R933" s="234"/>
      <c r="S933" s="186"/>
      <c r="T933" s="186"/>
      <c r="U933" s="186"/>
      <c r="V933" s="186"/>
      <c r="W933" s="186"/>
      <c r="X933" s="186"/>
      <c r="Y933" s="186"/>
      <c r="Z933" s="186"/>
    </row>
    <row r="934" spans="1:26" ht="12.75" customHeight="1">
      <c r="A934" s="186"/>
      <c r="B934" s="189"/>
      <c r="C934" s="189"/>
      <c r="D934" s="230"/>
      <c r="E934" s="230"/>
      <c r="F934" s="231"/>
      <c r="G934" s="189"/>
      <c r="H934" s="230"/>
      <c r="I934" s="230"/>
      <c r="J934" s="232"/>
      <c r="K934" s="233"/>
      <c r="L934" s="186"/>
      <c r="M934" s="186"/>
      <c r="N934" s="186"/>
      <c r="O934" s="234"/>
      <c r="P934" s="186"/>
      <c r="Q934" s="234"/>
      <c r="R934" s="234"/>
      <c r="S934" s="186"/>
      <c r="T934" s="186"/>
      <c r="U934" s="186"/>
      <c r="V934" s="186"/>
      <c r="W934" s="186"/>
      <c r="X934" s="186"/>
      <c r="Y934" s="186"/>
      <c r="Z934" s="186"/>
    </row>
    <row r="935" spans="1:26" ht="12.75" customHeight="1">
      <c r="A935" s="186"/>
      <c r="B935" s="189"/>
      <c r="C935" s="189"/>
      <c r="D935" s="230"/>
      <c r="E935" s="230"/>
      <c r="F935" s="231"/>
      <c r="G935" s="189"/>
      <c r="H935" s="230"/>
      <c r="I935" s="230"/>
      <c r="J935" s="232"/>
      <c r="K935" s="233"/>
      <c r="L935" s="186"/>
      <c r="M935" s="186"/>
      <c r="N935" s="186"/>
      <c r="O935" s="234"/>
      <c r="P935" s="186"/>
      <c r="Q935" s="234"/>
      <c r="R935" s="234"/>
      <c r="S935" s="186"/>
      <c r="T935" s="186"/>
      <c r="U935" s="186"/>
      <c r="V935" s="186"/>
      <c r="W935" s="186"/>
      <c r="X935" s="186"/>
      <c r="Y935" s="186"/>
      <c r="Z935" s="186"/>
    </row>
    <row r="936" spans="1:26" ht="12.75" customHeight="1">
      <c r="A936" s="186"/>
      <c r="B936" s="189"/>
      <c r="C936" s="189"/>
      <c r="D936" s="230"/>
      <c r="E936" s="230"/>
      <c r="F936" s="231"/>
      <c r="G936" s="189"/>
      <c r="H936" s="230"/>
      <c r="I936" s="230"/>
      <c r="J936" s="232"/>
      <c r="K936" s="233"/>
      <c r="L936" s="186"/>
      <c r="M936" s="186"/>
      <c r="N936" s="186"/>
      <c r="O936" s="234"/>
      <c r="P936" s="186"/>
      <c r="Q936" s="234"/>
      <c r="R936" s="234"/>
      <c r="S936" s="186"/>
      <c r="T936" s="186"/>
      <c r="U936" s="186"/>
      <c r="V936" s="186"/>
      <c r="W936" s="186"/>
      <c r="X936" s="186"/>
      <c r="Y936" s="186"/>
      <c r="Z936" s="186"/>
    </row>
    <row r="937" spans="1:26" ht="12.75" customHeight="1">
      <c r="A937" s="186"/>
      <c r="B937" s="189"/>
      <c r="C937" s="189"/>
      <c r="D937" s="230"/>
      <c r="E937" s="230"/>
      <c r="F937" s="231"/>
      <c r="G937" s="189"/>
      <c r="H937" s="230"/>
      <c r="I937" s="230"/>
      <c r="J937" s="232"/>
      <c r="K937" s="233"/>
      <c r="L937" s="186"/>
      <c r="M937" s="186"/>
      <c r="N937" s="186"/>
      <c r="O937" s="234"/>
      <c r="P937" s="186"/>
      <c r="Q937" s="234"/>
      <c r="R937" s="234"/>
      <c r="S937" s="186"/>
      <c r="T937" s="186"/>
      <c r="U937" s="186"/>
      <c r="V937" s="186"/>
      <c r="W937" s="186"/>
      <c r="X937" s="186"/>
      <c r="Y937" s="186"/>
      <c r="Z937" s="186"/>
    </row>
    <row r="938" spans="1:26" ht="12.75" customHeight="1">
      <c r="A938" s="186"/>
      <c r="B938" s="189"/>
      <c r="C938" s="189"/>
      <c r="D938" s="230"/>
      <c r="E938" s="230"/>
      <c r="F938" s="231"/>
      <c r="G938" s="189"/>
      <c r="H938" s="230"/>
      <c r="I938" s="230"/>
      <c r="J938" s="232"/>
      <c r="K938" s="233"/>
      <c r="L938" s="186"/>
      <c r="M938" s="186"/>
      <c r="N938" s="186"/>
      <c r="O938" s="234"/>
      <c r="P938" s="186"/>
      <c r="Q938" s="234"/>
      <c r="R938" s="234"/>
      <c r="S938" s="186"/>
      <c r="T938" s="186"/>
      <c r="U938" s="186"/>
      <c r="V938" s="186"/>
      <c r="W938" s="186"/>
      <c r="X938" s="186"/>
      <c r="Y938" s="186"/>
      <c r="Z938" s="186"/>
    </row>
    <row r="939" spans="1:26" ht="12.75" customHeight="1">
      <c r="A939" s="186"/>
      <c r="B939" s="189"/>
      <c r="C939" s="189"/>
      <c r="D939" s="230"/>
      <c r="E939" s="230"/>
      <c r="F939" s="231"/>
      <c r="G939" s="189"/>
      <c r="H939" s="230"/>
      <c r="I939" s="230"/>
      <c r="J939" s="232"/>
      <c r="K939" s="233"/>
      <c r="L939" s="186"/>
      <c r="M939" s="186"/>
      <c r="N939" s="186"/>
      <c r="O939" s="234"/>
      <c r="P939" s="186"/>
      <c r="Q939" s="234"/>
      <c r="R939" s="234"/>
      <c r="S939" s="186"/>
      <c r="T939" s="186"/>
      <c r="U939" s="186"/>
      <c r="V939" s="186"/>
      <c r="W939" s="186"/>
      <c r="X939" s="186"/>
      <c r="Y939" s="186"/>
      <c r="Z939" s="186"/>
    </row>
    <row r="940" spans="1:26" ht="12.75" customHeight="1">
      <c r="A940" s="186"/>
      <c r="B940" s="189"/>
      <c r="C940" s="189"/>
      <c r="D940" s="230"/>
      <c r="E940" s="230"/>
      <c r="F940" s="231"/>
      <c r="G940" s="189"/>
      <c r="H940" s="230"/>
      <c r="I940" s="230"/>
      <c r="J940" s="232"/>
      <c r="K940" s="233"/>
      <c r="L940" s="186"/>
      <c r="M940" s="186"/>
      <c r="N940" s="186"/>
      <c r="O940" s="234"/>
      <c r="P940" s="186"/>
      <c r="Q940" s="234"/>
      <c r="R940" s="234"/>
      <c r="S940" s="186"/>
      <c r="T940" s="186"/>
      <c r="U940" s="186"/>
      <c r="V940" s="186"/>
      <c r="W940" s="186"/>
      <c r="X940" s="186"/>
      <c r="Y940" s="186"/>
      <c r="Z940" s="186"/>
    </row>
    <row r="941" spans="1:26" ht="12.75" customHeight="1">
      <c r="A941" s="186"/>
      <c r="B941" s="189"/>
      <c r="C941" s="189"/>
      <c r="D941" s="230"/>
      <c r="E941" s="230"/>
      <c r="F941" s="231"/>
      <c r="G941" s="189"/>
      <c r="H941" s="230"/>
      <c r="I941" s="230"/>
      <c r="J941" s="232"/>
      <c r="K941" s="233"/>
      <c r="L941" s="186"/>
      <c r="M941" s="186"/>
      <c r="N941" s="186"/>
      <c r="O941" s="234"/>
      <c r="P941" s="186"/>
      <c r="Q941" s="234"/>
      <c r="R941" s="234"/>
      <c r="S941" s="186"/>
      <c r="T941" s="186"/>
      <c r="U941" s="186"/>
      <c r="V941" s="186"/>
      <c r="W941" s="186"/>
      <c r="X941" s="186"/>
      <c r="Y941" s="186"/>
      <c r="Z941" s="186"/>
    </row>
    <row r="942" spans="1:26" ht="12.75" customHeight="1">
      <c r="A942" s="186"/>
      <c r="B942" s="189"/>
      <c r="C942" s="189"/>
      <c r="D942" s="230"/>
      <c r="E942" s="230"/>
      <c r="F942" s="231"/>
      <c r="G942" s="189"/>
      <c r="H942" s="230"/>
      <c r="I942" s="230"/>
      <c r="J942" s="232"/>
      <c r="K942" s="233"/>
      <c r="L942" s="186"/>
      <c r="M942" s="186"/>
      <c r="N942" s="186"/>
      <c r="O942" s="234"/>
      <c r="P942" s="186"/>
      <c r="Q942" s="234"/>
      <c r="R942" s="234"/>
      <c r="S942" s="186"/>
      <c r="T942" s="186"/>
      <c r="U942" s="186"/>
      <c r="V942" s="186"/>
      <c r="W942" s="186"/>
      <c r="X942" s="186"/>
      <c r="Y942" s="186"/>
      <c r="Z942" s="186"/>
    </row>
    <row r="943" spans="1:26" ht="12.75" customHeight="1">
      <c r="A943" s="186"/>
      <c r="B943" s="189"/>
      <c r="C943" s="189"/>
      <c r="D943" s="230"/>
      <c r="E943" s="230"/>
      <c r="F943" s="231"/>
      <c r="G943" s="189"/>
      <c r="H943" s="230"/>
      <c r="I943" s="230"/>
      <c r="J943" s="232"/>
      <c r="K943" s="233"/>
      <c r="L943" s="186"/>
      <c r="M943" s="186"/>
      <c r="N943" s="186"/>
      <c r="O943" s="234"/>
      <c r="P943" s="186"/>
      <c r="Q943" s="234"/>
      <c r="R943" s="234"/>
      <c r="S943" s="186"/>
      <c r="T943" s="186"/>
      <c r="U943" s="186"/>
      <c r="V943" s="186"/>
      <c r="W943" s="186"/>
      <c r="X943" s="186"/>
      <c r="Y943" s="186"/>
      <c r="Z943" s="186"/>
    </row>
    <row r="944" spans="1:26" ht="12.75" customHeight="1">
      <c r="A944" s="186"/>
      <c r="B944" s="189"/>
      <c r="C944" s="189"/>
      <c r="D944" s="230"/>
      <c r="E944" s="230"/>
      <c r="F944" s="231"/>
      <c r="G944" s="189"/>
      <c r="H944" s="230"/>
      <c r="I944" s="230"/>
      <c r="J944" s="232"/>
      <c r="K944" s="233"/>
      <c r="L944" s="186"/>
      <c r="M944" s="186"/>
      <c r="N944" s="186"/>
      <c r="O944" s="234"/>
      <c r="P944" s="186"/>
      <c r="Q944" s="234"/>
      <c r="R944" s="234"/>
      <c r="S944" s="186"/>
      <c r="T944" s="186"/>
      <c r="U944" s="186"/>
      <c r="V944" s="186"/>
      <c r="W944" s="186"/>
      <c r="X944" s="186"/>
      <c r="Y944" s="186"/>
      <c r="Z944" s="186"/>
    </row>
    <row r="945" spans="1:26" ht="12.75" customHeight="1">
      <c r="A945" s="186"/>
      <c r="B945" s="189"/>
      <c r="C945" s="189"/>
      <c r="D945" s="230"/>
      <c r="E945" s="230"/>
      <c r="F945" s="231"/>
      <c r="G945" s="189"/>
      <c r="H945" s="230"/>
      <c r="I945" s="230"/>
      <c r="J945" s="232"/>
      <c r="K945" s="233"/>
      <c r="L945" s="186"/>
      <c r="M945" s="186"/>
      <c r="N945" s="186"/>
      <c r="O945" s="234"/>
      <c r="P945" s="186"/>
      <c r="Q945" s="234"/>
      <c r="R945" s="234"/>
      <c r="S945" s="186"/>
      <c r="T945" s="186"/>
      <c r="U945" s="186"/>
      <c r="V945" s="186"/>
      <c r="W945" s="186"/>
      <c r="X945" s="186"/>
      <c r="Y945" s="186"/>
      <c r="Z945" s="186"/>
    </row>
    <row r="946" spans="1:26" ht="12.75" customHeight="1">
      <c r="A946" s="186"/>
      <c r="B946" s="189"/>
      <c r="C946" s="189"/>
      <c r="D946" s="230"/>
      <c r="E946" s="230"/>
      <c r="F946" s="231"/>
      <c r="G946" s="189"/>
      <c r="H946" s="230"/>
      <c r="I946" s="230"/>
      <c r="J946" s="232"/>
      <c r="K946" s="233"/>
      <c r="L946" s="186"/>
      <c r="M946" s="186"/>
      <c r="N946" s="186"/>
      <c r="O946" s="234"/>
      <c r="P946" s="186"/>
      <c r="Q946" s="234"/>
      <c r="R946" s="234"/>
      <c r="S946" s="186"/>
      <c r="T946" s="186"/>
      <c r="U946" s="186"/>
      <c r="V946" s="186"/>
      <c r="W946" s="186"/>
      <c r="X946" s="186"/>
      <c r="Y946" s="186"/>
      <c r="Z946" s="186"/>
    </row>
    <row r="947" spans="1:26" ht="12.75" customHeight="1">
      <c r="A947" s="186"/>
      <c r="B947" s="189"/>
      <c r="C947" s="189"/>
      <c r="D947" s="230"/>
      <c r="E947" s="230"/>
      <c r="F947" s="231"/>
      <c r="G947" s="189"/>
      <c r="H947" s="230"/>
      <c r="I947" s="230"/>
      <c r="J947" s="232"/>
      <c r="K947" s="233"/>
      <c r="L947" s="186"/>
      <c r="M947" s="186"/>
      <c r="N947" s="186"/>
      <c r="O947" s="234"/>
      <c r="P947" s="186"/>
      <c r="Q947" s="234"/>
      <c r="R947" s="234"/>
      <c r="S947" s="186"/>
      <c r="T947" s="186"/>
      <c r="U947" s="186"/>
      <c r="V947" s="186"/>
      <c r="W947" s="186"/>
      <c r="X947" s="186"/>
      <c r="Y947" s="186"/>
      <c r="Z947" s="186"/>
    </row>
    <row r="948" spans="1:26" ht="12.75" customHeight="1">
      <c r="A948" s="186"/>
      <c r="B948" s="189"/>
      <c r="C948" s="189"/>
      <c r="D948" s="230"/>
      <c r="E948" s="230"/>
      <c r="F948" s="231"/>
      <c r="G948" s="189"/>
      <c r="H948" s="230"/>
      <c r="I948" s="230"/>
      <c r="J948" s="232"/>
      <c r="K948" s="233"/>
      <c r="L948" s="186"/>
      <c r="M948" s="186"/>
      <c r="N948" s="186"/>
      <c r="O948" s="234"/>
      <c r="P948" s="186"/>
      <c r="Q948" s="234"/>
      <c r="R948" s="234"/>
      <c r="S948" s="186"/>
      <c r="T948" s="186"/>
      <c r="U948" s="186"/>
      <c r="V948" s="186"/>
      <c r="W948" s="186"/>
      <c r="X948" s="186"/>
      <c r="Y948" s="186"/>
      <c r="Z948" s="186"/>
    </row>
    <row r="949" spans="1:26" ht="12.75" customHeight="1">
      <c r="A949" s="186"/>
      <c r="B949" s="189"/>
      <c r="C949" s="189"/>
      <c r="D949" s="230"/>
      <c r="E949" s="230"/>
      <c r="F949" s="231"/>
      <c r="G949" s="189"/>
      <c r="H949" s="230"/>
      <c r="I949" s="230"/>
      <c r="J949" s="232"/>
      <c r="K949" s="233"/>
      <c r="L949" s="186"/>
      <c r="M949" s="186"/>
      <c r="N949" s="186"/>
      <c r="O949" s="234"/>
      <c r="P949" s="186"/>
      <c r="Q949" s="234"/>
      <c r="R949" s="234"/>
      <c r="S949" s="186"/>
      <c r="T949" s="186"/>
      <c r="U949" s="186"/>
      <c r="V949" s="186"/>
      <c r="W949" s="186"/>
      <c r="X949" s="186"/>
      <c r="Y949" s="186"/>
      <c r="Z949" s="186"/>
    </row>
    <row r="950" spans="1:26" ht="12.75" customHeight="1">
      <c r="A950" s="186"/>
      <c r="B950" s="189"/>
      <c r="C950" s="189"/>
      <c r="D950" s="230"/>
      <c r="E950" s="230"/>
      <c r="F950" s="231"/>
      <c r="G950" s="189"/>
      <c r="H950" s="230"/>
      <c r="I950" s="230"/>
      <c r="J950" s="232"/>
      <c r="K950" s="233"/>
      <c r="L950" s="186"/>
      <c r="M950" s="186"/>
      <c r="N950" s="186"/>
      <c r="O950" s="234"/>
      <c r="P950" s="186"/>
      <c r="Q950" s="234"/>
      <c r="R950" s="234"/>
      <c r="S950" s="186"/>
      <c r="T950" s="186"/>
      <c r="U950" s="186"/>
      <c r="V950" s="186"/>
      <c r="W950" s="186"/>
      <c r="X950" s="186"/>
      <c r="Y950" s="186"/>
      <c r="Z950" s="186"/>
    </row>
    <row r="951" spans="1:26" ht="12.75" customHeight="1">
      <c r="A951" s="186"/>
      <c r="B951" s="189"/>
      <c r="C951" s="189"/>
      <c r="D951" s="230"/>
      <c r="E951" s="230"/>
      <c r="F951" s="231"/>
      <c r="G951" s="189"/>
      <c r="H951" s="230"/>
      <c r="I951" s="230"/>
      <c r="J951" s="232"/>
      <c r="K951" s="233"/>
      <c r="L951" s="186"/>
      <c r="M951" s="186"/>
      <c r="N951" s="186"/>
      <c r="O951" s="234"/>
      <c r="P951" s="186"/>
      <c r="Q951" s="234"/>
      <c r="R951" s="234"/>
      <c r="S951" s="186"/>
      <c r="T951" s="186"/>
      <c r="U951" s="186"/>
      <c r="V951" s="186"/>
      <c r="W951" s="186"/>
      <c r="X951" s="186"/>
      <c r="Y951" s="186"/>
      <c r="Z951" s="186"/>
    </row>
    <row r="952" spans="1:26" ht="12.75" customHeight="1">
      <c r="A952" s="186"/>
      <c r="B952" s="189"/>
      <c r="C952" s="189"/>
      <c r="D952" s="230"/>
      <c r="E952" s="230"/>
      <c r="F952" s="231"/>
      <c r="G952" s="189"/>
      <c r="H952" s="230"/>
      <c r="I952" s="230"/>
      <c r="J952" s="232"/>
      <c r="K952" s="233"/>
      <c r="L952" s="186"/>
      <c r="M952" s="186"/>
      <c r="N952" s="186"/>
      <c r="O952" s="234"/>
      <c r="P952" s="186"/>
      <c r="Q952" s="234"/>
      <c r="R952" s="234"/>
      <c r="S952" s="186"/>
      <c r="T952" s="186"/>
      <c r="U952" s="186"/>
      <c r="V952" s="186"/>
      <c r="W952" s="186"/>
      <c r="X952" s="186"/>
      <c r="Y952" s="186"/>
      <c r="Z952" s="186"/>
    </row>
    <row r="953" spans="1:26" ht="12.75" customHeight="1">
      <c r="A953" s="186"/>
      <c r="B953" s="189"/>
      <c r="C953" s="189"/>
      <c r="D953" s="230"/>
      <c r="E953" s="230"/>
      <c r="F953" s="231"/>
      <c r="G953" s="189"/>
      <c r="H953" s="230"/>
      <c r="I953" s="230"/>
      <c r="J953" s="232"/>
      <c r="K953" s="233"/>
      <c r="L953" s="186"/>
      <c r="M953" s="186"/>
      <c r="N953" s="186"/>
      <c r="O953" s="234"/>
      <c r="P953" s="186"/>
      <c r="Q953" s="234"/>
      <c r="R953" s="234"/>
      <c r="S953" s="186"/>
      <c r="T953" s="186"/>
      <c r="U953" s="186"/>
      <c r="V953" s="186"/>
      <c r="W953" s="186"/>
      <c r="X953" s="186"/>
      <c r="Y953" s="186"/>
      <c r="Z953" s="186"/>
    </row>
    <row r="954" spans="1:26" ht="12.75" customHeight="1">
      <c r="A954" s="186"/>
      <c r="B954" s="189"/>
      <c r="C954" s="189"/>
      <c r="D954" s="230"/>
      <c r="E954" s="230"/>
      <c r="F954" s="231"/>
      <c r="G954" s="189"/>
      <c r="H954" s="230"/>
      <c r="I954" s="230"/>
      <c r="J954" s="232"/>
      <c r="K954" s="233"/>
      <c r="L954" s="186"/>
      <c r="M954" s="186"/>
      <c r="N954" s="186"/>
      <c r="O954" s="234"/>
      <c r="P954" s="186"/>
      <c r="Q954" s="234"/>
      <c r="R954" s="234"/>
      <c r="S954" s="186"/>
      <c r="T954" s="186"/>
      <c r="U954" s="186"/>
      <c r="V954" s="186"/>
      <c r="W954" s="186"/>
      <c r="X954" s="186"/>
      <c r="Y954" s="186"/>
      <c r="Z954" s="186"/>
    </row>
    <row r="955" spans="1:26" ht="12.75" customHeight="1">
      <c r="A955" s="186"/>
      <c r="B955" s="189"/>
      <c r="C955" s="189"/>
      <c r="D955" s="230"/>
      <c r="E955" s="230"/>
      <c r="F955" s="231"/>
      <c r="G955" s="189"/>
      <c r="H955" s="230"/>
      <c r="I955" s="230"/>
      <c r="J955" s="232"/>
      <c r="K955" s="233"/>
      <c r="L955" s="186"/>
      <c r="M955" s="186"/>
      <c r="N955" s="186"/>
      <c r="O955" s="234"/>
      <c r="P955" s="186"/>
      <c r="Q955" s="234"/>
      <c r="R955" s="234"/>
      <c r="S955" s="186"/>
      <c r="T955" s="186"/>
      <c r="U955" s="186"/>
      <c r="V955" s="186"/>
      <c r="W955" s="186"/>
      <c r="X955" s="186"/>
      <c r="Y955" s="186"/>
      <c r="Z955" s="186"/>
    </row>
    <row r="956" spans="1:26" ht="12.75" customHeight="1">
      <c r="A956" s="186"/>
      <c r="B956" s="189"/>
      <c r="C956" s="189"/>
      <c r="D956" s="230"/>
      <c r="E956" s="230"/>
      <c r="F956" s="231"/>
      <c r="G956" s="189"/>
      <c r="H956" s="230"/>
      <c r="I956" s="230"/>
      <c r="J956" s="232"/>
      <c r="K956" s="233"/>
      <c r="L956" s="186"/>
      <c r="M956" s="186"/>
      <c r="N956" s="186"/>
      <c r="O956" s="234"/>
      <c r="P956" s="186"/>
      <c r="Q956" s="234"/>
      <c r="R956" s="234"/>
      <c r="S956" s="186"/>
      <c r="T956" s="186"/>
      <c r="U956" s="186"/>
      <c r="V956" s="186"/>
      <c r="W956" s="186"/>
      <c r="X956" s="186"/>
      <c r="Y956" s="186"/>
      <c r="Z956" s="186"/>
    </row>
    <row r="957" spans="1:26" ht="12.75" customHeight="1">
      <c r="A957" s="186"/>
      <c r="B957" s="189"/>
      <c r="C957" s="189"/>
      <c r="D957" s="230"/>
      <c r="E957" s="230"/>
      <c r="F957" s="231"/>
      <c r="G957" s="189"/>
      <c r="H957" s="230"/>
      <c r="I957" s="230"/>
      <c r="J957" s="232"/>
      <c r="K957" s="233"/>
      <c r="L957" s="186"/>
      <c r="M957" s="186"/>
      <c r="N957" s="186"/>
      <c r="O957" s="234"/>
      <c r="P957" s="186"/>
      <c r="Q957" s="234"/>
      <c r="R957" s="234"/>
      <c r="S957" s="186"/>
      <c r="T957" s="186"/>
      <c r="U957" s="186"/>
      <c r="V957" s="186"/>
      <c r="W957" s="186"/>
      <c r="X957" s="186"/>
      <c r="Y957" s="186"/>
      <c r="Z957" s="186"/>
    </row>
    <row r="958" spans="1:26" ht="12.75" customHeight="1">
      <c r="A958" s="186"/>
      <c r="B958" s="189"/>
      <c r="C958" s="189"/>
      <c r="D958" s="230"/>
      <c r="E958" s="230"/>
      <c r="F958" s="231"/>
      <c r="G958" s="189"/>
      <c r="H958" s="230"/>
      <c r="I958" s="230"/>
      <c r="J958" s="232"/>
      <c r="K958" s="233"/>
      <c r="L958" s="186"/>
      <c r="M958" s="186"/>
      <c r="N958" s="186"/>
      <c r="O958" s="234"/>
      <c r="P958" s="186"/>
      <c r="Q958" s="234"/>
      <c r="R958" s="234"/>
      <c r="S958" s="186"/>
      <c r="T958" s="186"/>
      <c r="U958" s="186"/>
      <c r="V958" s="186"/>
      <c r="W958" s="186"/>
      <c r="X958" s="186"/>
      <c r="Y958" s="186"/>
      <c r="Z958" s="186"/>
    </row>
    <row r="959" spans="1:26" ht="12.75" customHeight="1">
      <c r="A959" s="186"/>
      <c r="B959" s="189"/>
      <c r="C959" s="189"/>
      <c r="D959" s="230"/>
      <c r="E959" s="230"/>
      <c r="F959" s="231"/>
      <c r="G959" s="189"/>
      <c r="H959" s="230"/>
      <c r="I959" s="230"/>
      <c r="J959" s="232"/>
      <c r="K959" s="233"/>
      <c r="L959" s="186"/>
      <c r="M959" s="186"/>
      <c r="N959" s="186"/>
      <c r="O959" s="234"/>
      <c r="P959" s="186"/>
      <c r="Q959" s="234"/>
      <c r="R959" s="234"/>
      <c r="S959" s="186"/>
      <c r="T959" s="186"/>
      <c r="U959" s="186"/>
      <c r="V959" s="186"/>
      <c r="W959" s="186"/>
      <c r="X959" s="186"/>
      <c r="Y959" s="186"/>
      <c r="Z959" s="186"/>
    </row>
    <row r="960" spans="1:26" ht="12.75" customHeight="1">
      <c r="A960" s="186"/>
      <c r="B960" s="189"/>
      <c r="C960" s="189"/>
      <c r="D960" s="230"/>
      <c r="E960" s="230"/>
      <c r="F960" s="231"/>
      <c r="G960" s="189"/>
      <c r="H960" s="230"/>
      <c r="I960" s="230"/>
      <c r="J960" s="232"/>
      <c r="K960" s="233"/>
      <c r="L960" s="186"/>
      <c r="M960" s="186"/>
      <c r="N960" s="186"/>
      <c r="O960" s="234"/>
      <c r="P960" s="186"/>
      <c r="Q960" s="234"/>
      <c r="R960" s="234"/>
      <c r="S960" s="186"/>
      <c r="T960" s="186"/>
      <c r="U960" s="186"/>
      <c r="V960" s="186"/>
      <c r="W960" s="186"/>
      <c r="X960" s="186"/>
      <c r="Y960" s="186"/>
      <c r="Z960" s="186"/>
    </row>
    <row r="961" spans="1:26" ht="12.75" customHeight="1">
      <c r="A961" s="186"/>
      <c r="B961" s="189"/>
      <c r="C961" s="189"/>
      <c r="D961" s="230"/>
      <c r="E961" s="230"/>
      <c r="F961" s="231"/>
      <c r="G961" s="189"/>
      <c r="H961" s="230"/>
      <c r="I961" s="230"/>
      <c r="J961" s="232"/>
      <c r="K961" s="233"/>
      <c r="L961" s="186"/>
      <c r="M961" s="186"/>
      <c r="N961" s="186"/>
      <c r="O961" s="234"/>
      <c r="P961" s="186"/>
      <c r="Q961" s="234"/>
      <c r="R961" s="234"/>
      <c r="S961" s="186"/>
      <c r="T961" s="186"/>
      <c r="U961" s="186"/>
      <c r="V961" s="186"/>
      <c r="W961" s="186"/>
      <c r="X961" s="186"/>
      <c r="Y961" s="186"/>
      <c r="Z961" s="186"/>
    </row>
    <row r="962" spans="1:26" ht="12.75" customHeight="1">
      <c r="A962" s="186"/>
      <c r="B962" s="189"/>
      <c r="C962" s="189"/>
      <c r="D962" s="230"/>
      <c r="E962" s="230"/>
      <c r="F962" s="231"/>
      <c r="G962" s="189"/>
      <c r="H962" s="230"/>
      <c r="I962" s="230"/>
      <c r="J962" s="232"/>
      <c r="K962" s="233"/>
      <c r="L962" s="186"/>
      <c r="M962" s="186"/>
      <c r="N962" s="186"/>
      <c r="O962" s="234"/>
      <c r="P962" s="186"/>
      <c r="Q962" s="234"/>
      <c r="R962" s="234"/>
      <c r="S962" s="186"/>
      <c r="T962" s="186"/>
      <c r="U962" s="186"/>
      <c r="V962" s="186"/>
      <c r="W962" s="186"/>
      <c r="X962" s="186"/>
      <c r="Y962" s="186"/>
      <c r="Z962" s="186"/>
    </row>
    <row r="963" spans="1:26" ht="12.75" customHeight="1">
      <c r="A963" s="186"/>
      <c r="B963" s="189"/>
      <c r="C963" s="189"/>
      <c r="D963" s="230"/>
      <c r="E963" s="230"/>
      <c r="F963" s="231"/>
      <c r="G963" s="189"/>
      <c r="H963" s="230"/>
      <c r="I963" s="230"/>
      <c r="J963" s="232"/>
      <c r="K963" s="233"/>
      <c r="L963" s="186"/>
      <c r="M963" s="186"/>
      <c r="N963" s="186"/>
      <c r="O963" s="234"/>
      <c r="P963" s="186"/>
      <c r="Q963" s="234"/>
      <c r="R963" s="234"/>
      <c r="S963" s="186"/>
      <c r="T963" s="186"/>
      <c r="U963" s="186"/>
      <c r="V963" s="186"/>
      <c r="W963" s="186"/>
      <c r="X963" s="186"/>
      <c r="Y963" s="186"/>
      <c r="Z963" s="186"/>
    </row>
    <row r="964" spans="1:26" ht="12.75" customHeight="1">
      <c r="A964" s="186"/>
      <c r="B964" s="189"/>
      <c r="C964" s="189"/>
      <c r="D964" s="230"/>
      <c r="E964" s="230"/>
      <c r="F964" s="231"/>
      <c r="G964" s="189"/>
      <c r="H964" s="230"/>
      <c r="I964" s="230"/>
      <c r="J964" s="232"/>
      <c r="K964" s="233"/>
      <c r="L964" s="186"/>
      <c r="M964" s="186"/>
      <c r="N964" s="186"/>
      <c r="O964" s="234"/>
      <c r="P964" s="186"/>
      <c r="Q964" s="234"/>
      <c r="R964" s="234"/>
      <c r="S964" s="186"/>
      <c r="T964" s="186"/>
      <c r="U964" s="186"/>
      <c r="V964" s="186"/>
      <c r="W964" s="186"/>
      <c r="X964" s="186"/>
      <c r="Y964" s="186"/>
      <c r="Z964" s="186"/>
    </row>
    <row r="965" spans="1:26" ht="12.75" customHeight="1">
      <c r="A965" s="186"/>
      <c r="B965" s="189"/>
      <c r="C965" s="189"/>
      <c r="D965" s="230"/>
      <c r="E965" s="230"/>
      <c r="F965" s="231"/>
      <c r="G965" s="189"/>
      <c r="H965" s="230"/>
      <c r="I965" s="230"/>
      <c r="J965" s="232"/>
      <c r="K965" s="233"/>
      <c r="L965" s="186"/>
      <c r="M965" s="186"/>
      <c r="N965" s="186"/>
      <c r="O965" s="234"/>
      <c r="P965" s="186"/>
      <c r="Q965" s="234"/>
      <c r="R965" s="234"/>
      <c r="S965" s="186"/>
      <c r="T965" s="186"/>
      <c r="U965" s="186"/>
      <c r="V965" s="186"/>
      <c r="W965" s="186"/>
      <c r="X965" s="186"/>
      <c r="Y965" s="186"/>
      <c r="Z965" s="186"/>
    </row>
    <row r="966" spans="1:26" ht="12.75" customHeight="1">
      <c r="A966" s="186"/>
      <c r="B966" s="189"/>
      <c r="C966" s="189"/>
      <c r="D966" s="230"/>
      <c r="E966" s="230"/>
      <c r="F966" s="231"/>
      <c r="G966" s="189"/>
      <c r="H966" s="230"/>
      <c r="I966" s="230"/>
      <c r="J966" s="232"/>
      <c r="K966" s="233"/>
      <c r="L966" s="186"/>
      <c r="M966" s="186"/>
      <c r="N966" s="186"/>
      <c r="O966" s="234"/>
      <c r="P966" s="186"/>
      <c r="Q966" s="234"/>
      <c r="R966" s="234"/>
      <c r="S966" s="186"/>
      <c r="T966" s="186"/>
      <c r="U966" s="186"/>
      <c r="V966" s="186"/>
      <c r="W966" s="186"/>
      <c r="X966" s="186"/>
      <c r="Y966" s="186"/>
      <c r="Z966" s="186"/>
    </row>
    <row r="967" spans="1:26" ht="12.75" customHeight="1">
      <c r="A967" s="186"/>
      <c r="B967" s="189"/>
      <c r="C967" s="189"/>
      <c r="D967" s="230"/>
      <c r="E967" s="230"/>
      <c r="F967" s="231"/>
      <c r="G967" s="189"/>
      <c r="H967" s="230"/>
      <c r="I967" s="230"/>
      <c r="J967" s="232"/>
      <c r="K967" s="233"/>
      <c r="L967" s="186"/>
      <c r="M967" s="186"/>
      <c r="N967" s="186"/>
      <c r="O967" s="234"/>
      <c r="P967" s="186"/>
      <c r="Q967" s="234"/>
      <c r="R967" s="234"/>
      <c r="S967" s="186"/>
      <c r="T967" s="186"/>
      <c r="U967" s="186"/>
      <c r="V967" s="186"/>
      <c r="W967" s="186"/>
      <c r="X967" s="186"/>
      <c r="Y967" s="186"/>
      <c r="Z967" s="186"/>
    </row>
    <row r="968" spans="1:26" ht="12.75" customHeight="1">
      <c r="A968" s="186"/>
      <c r="B968" s="189"/>
      <c r="C968" s="189"/>
      <c r="D968" s="230"/>
      <c r="E968" s="230"/>
      <c r="F968" s="231"/>
      <c r="G968" s="189"/>
      <c r="H968" s="230"/>
      <c r="I968" s="230"/>
      <c r="J968" s="232"/>
      <c r="K968" s="233"/>
      <c r="L968" s="186"/>
      <c r="M968" s="186"/>
      <c r="N968" s="186"/>
      <c r="O968" s="234"/>
      <c r="P968" s="186"/>
      <c r="Q968" s="234"/>
      <c r="R968" s="234"/>
      <c r="S968" s="186"/>
      <c r="T968" s="186"/>
      <c r="U968" s="186"/>
      <c r="V968" s="186"/>
      <c r="W968" s="186"/>
      <c r="X968" s="186"/>
      <c r="Y968" s="186"/>
      <c r="Z968" s="186"/>
    </row>
    <row r="969" spans="1:26" ht="12.75" customHeight="1">
      <c r="A969" s="186"/>
      <c r="B969" s="189"/>
      <c r="C969" s="189"/>
      <c r="D969" s="230"/>
      <c r="E969" s="230"/>
      <c r="F969" s="231"/>
      <c r="G969" s="189"/>
      <c r="H969" s="230"/>
      <c r="I969" s="230"/>
      <c r="J969" s="232"/>
      <c r="K969" s="233"/>
      <c r="L969" s="186"/>
      <c r="M969" s="186"/>
      <c r="N969" s="186"/>
      <c r="O969" s="234"/>
      <c r="P969" s="186"/>
      <c r="Q969" s="234"/>
      <c r="R969" s="234"/>
      <c r="S969" s="186"/>
      <c r="T969" s="186"/>
      <c r="U969" s="186"/>
      <c r="V969" s="186"/>
      <c r="W969" s="186"/>
      <c r="X969" s="186"/>
      <c r="Y969" s="186"/>
      <c r="Z969" s="186"/>
    </row>
    <row r="970" spans="1:26" ht="12.75" customHeight="1">
      <c r="A970" s="186"/>
      <c r="B970" s="189"/>
      <c r="C970" s="189"/>
      <c r="D970" s="230"/>
      <c r="E970" s="230"/>
      <c r="F970" s="231"/>
      <c r="G970" s="189"/>
      <c r="H970" s="230"/>
      <c r="I970" s="230"/>
      <c r="J970" s="232"/>
      <c r="K970" s="233"/>
      <c r="L970" s="186"/>
      <c r="M970" s="186"/>
      <c r="N970" s="186"/>
      <c r="O970" s="234"/>
      <c r="P970" s="186"/>
      <c r="Q970" s="234"/>
      <c r="R970" s="234"/>
      <c r="S970" s="186"/>
      <c r="T970" s="186"/>
      <c r="U970" s="186"/>
      <c r="V970" s="186"/>
      <c r="W970" s="186"/>
      <c r="X970" s="186"/>
      <c r="Y970" s="186"/>
      <c r="Z970" s="186"/>
    </row>
    <row r="971" spans="1:26" ht="12.75" customHeight="1">
      <c r="A971" s="186"/>
      <c r="B971" s="189"/>
      <c r="C971" s="189"/>
      <c r="D971" s="230"/>
      <c r="E971" s="230"/>
      <c r="F971" s="231"/>
      <c r="G971" s="189"/>
      <c r="H971" s="230"/>
      <c r="I971" s="230"/>
      <c r="J971" s="232"/>
      <c r="K971" s="233"/>
      <c r="L971" s="186"/>
      <c r="M971" s="186"/>
      <c r="N971" s="186"/>
      <c r="O971" s="234"/>
      <c r="P971" s="186"/>
      <c r="Q971" s="234"/>
      <c r="R971" s="234"/>
      <c r="S971" s="186"/>
      <c r="T971" s="186"/>
      <c r="U971" s="186"/>
      <c r="V971" s="186"/>
      <c r="W971" s="186"/>
      <c r="X971" s="186"/>
      <c r="Y971" s="186"/>
      <c r="Z971" s="186"/>
    </row>
    <row r="972" spans="1:26" ht="12.75" customHeight="1">
      <c r="A972" s="186"/>
      <c r="B972" s="189"/>
      <c r="C972" s="189"/>
      <c r="D972" s="230"/>
      <c r="E972" s="230"/>
      <c r="F972" s="231"/>
      <c r="G972" s="189"/>
      <c r="H972" s="230"/>
      <c r="I972" s="230"/>
      <c r="J972" s="232"/>
      <c r="K972" s="233"/>
      <c r="L972" s="186"/>
      <c r="M972" s="186"/>
      <c r="N972" s="186"/>
      <c r="O972" s="234"/>
      <c r="P972" s="186"/>
      <c r="Q972" s="234"/>
      <c r="R972" s="234"/>
      <c r="S972" s="186"/>
      <c r="T972" s="186"/>
      <c r="U972" s="186"/>
      <c r="V972" s="186"/>
      <c r="W972" s="186"/>
      <c r="X972" s="186"/>
      <c r="Y972" s="186"/>
      <c r="Z972" s="186"/>
    </row>
    <row r="973" spans="1:26" ht="12.75" customHeight="1">
      <c r="A973" s="186"/>
      <c r="B973" s="189"/>
      <c r="C973" s="189"/>
      <c r="D973" s="230"/>
      <c r="E973" s="230"/>
      <c r="F973" s="231"/>
      <c r="G973" s="189"/>
      <c r="H973" s="230"/>
      <c r="I973" s="230"/>
      <c r="J973" s="232"/>
      <c r="K973" s="233"/>
      <c r="L973" s="186"/>
      <c r="M973" s="186"/>
      <c r="N973" s="186"/>
      <c r="O973" s="234"/>
      <c r="P973" s="186"/>
      <c r="Q973" s="234"/>
      <c r="R973" s="234"/>
      <c r="S973" s="186"/>
      <c r="T973" s="186"/>
      <c r="U973" s="186"/>
      <c r="V973" s="186"/>
      <c r="W973" s="186"/>
      <c r="X973" s="186"/>
      <c r="Y973" s="186"/>
      <c r="Z973" s="186"/>
    </row>
    <row r="974" spans="1:26" ht="12.75" customHeight="1">
      <c r="A974" s="186"/>
      <c r="B974" s="189"/>
      <c r="C974" s="189"/>
      <c r="D974" s="230"/>
      <c r="E974" s="230"/>
      <c r="F974" s="231"/>
      <c r="G974" s="189"/>
      <c r="H974" s="230"/>
      <c r="I974" s="230"/>
      <c r="J974" s="232"/>
      <c r="K974" s="233"/>
      <c r="L974" s="186"/>
      <c r="M974" s="186"/>
      <c r="N974" s="186"/>
      <c r="O974" s="234"/>
      <c r="P974" s="186"/>
      <c r="Q974" s="234"/>
      <c r="R974" s="234"/>
      <c r="S974" s="186"/>
      <c r="T974" s="186"/>
      <c r="U974" s="186"/>
      <c r="V974" s="186"/>
      <c r="W974" s="186"/>
      <c r="X974" s="186"/>
      <c r="Y974" s="186"/>
      <c r="Z974" s="186"/>
    </row>
    <row r="975" spans="1:26" ht="12.75" customHeight="1">
      <c r="A975" s="186"/>
      <c r="B975" s="189"/>
      <c r="C975" s="189"/>
      <c r="D975" s="230"/>
      <c r="E975" s="230"/>
      <c r="F975" s="231"/>
      <c r="G975" s="189"/>
      <c r="H975" s="230"/>
      <c r="I975" s="230"/>
      <c r="J975" s="232"/>
      <c r="K975" s="233"/>
      <c r="L975" s="186"/>
      <c r="M975" s="186"/>
      <c r="N975" s="186"/>
      <c r="O975" s="234"/>
      <c r="P975" s="186"/>
      <c r="Q975" s="234"/>
      <c r="R975" s="234"/>
      <c r="S975" s="186"/>
      <c r="T975" s="186"/>
      <c r="U975" s="186"/>
      <c r="V975" s="186"/>
      <c r="W975" s="186"/>
      <c r="X975" s="186"/>
      <c r="Y975" s="186"/>
      <c r="Z975" s="186"/>
    </row>
    <row r="976" spans="1:26" ht="12.75" customHeight="1">
      <c r="A976" s="186"/>
      <c r="B976" s="189"/>
      <c r="C976" s="189"/>
      <c r="D976" s="230"/>
      <c r="E976" s="230"/>
      <c r="F976" s="231"/>
      <c r="G976" s="189"/>
      <c r="H976" s="230"/>
      <c r="I976" s="230"/>
      <c r="J976" s="232"/>
      <c r="K976" s="233"/>
      <c r="L976" s="186"/>
      <c r="M976" s="186"/>
      <c r="N976" s="186"/>
      <c r="O976" s="234"/>
      <c r="P976" s="186"/>
      <c r="Q976" s="234"/>
      <c r="R976" s="234"/>
      <c r="S976" s="186"/>
      <c r="T976" s="186"/>
      <c r="U976" s="186"/>
      <c r="V976" s="186"/>
      <c r="W976" s="186"/>
      <c r="X976" s="186"/>
      <c r="Y976" s="186"/>
      <c r="Z976" s="186"/>
    </row>
    <row r="977" spans="1:26" ht="12.75" customHeight="1">
      <c r="A977" s="186"/>
      <c r="B977" s="189"/>
      <c r="C977" s="189"/>
      <c r="D977" s="230"/>
      <c r="E977" s="230"/>
      <c r="F977" s="231"/>
      <c r="G977" s="189"/>
      <c r="H977" s="230"/>
      <c r="I977" s="230"/>
      <c r="J977" s="232"/>
      <c r="K977" s="233"/>
      <c r="L977" s="186"/>
      <c r="M977" s="186"/>
      <c r="N977" s="186"/>
      <c r="O977" s="234"/>
      <c r="P977" s="186"/>
      <c r="Q977" s="234"/>
      <c r="R977" s="234"/>
      <c r="S977" s="186"/>
      <c r="T977" s="186"/>
      <c r="U977" s="186"/>
      <c r="V977" s="186"/>
      <c r="W977" s="186"/>
      <c r="X977" s="186"/>
      <c r="Y977" s="186"/>
      <c r="Z977" s="186"/>
    </row>
    <row r="978" spans="1:26" ht="12.75" customHeight="1">
      <c r="A978" s="186"/>
      <c r="B978" s="189"/>
      <c r="C978" s="189"/>
      <c r="D978" s="230"/>
      <c r="E978" s="230"/>
      <c r="F978" s="231"/>
      <c r="G978" s="189"/>
      <c r="H978" s="230"/>
      <c r="I978" s="230"/>
      <c r="J978" s="232"/>
      <c r="K978" s="233"/>
      <c r="L978" s="186"/>
      <c r="M978" s="186"/>
      <c r="N978" s="186"/>
      <c r="O978" s="234"/>
      <c r="P978" s="186"/>
      <c r="Q978" s="234"/>
      <c r="R978" s="234"/>
      <c r="S978" s="186"/>
      <c r="T978" s="186"/>
      <c r="U978" s="186"/>
      <c r="V978" s="186"/>
      <c r="W978" s="186"/>
      <c r="X978" s="186"/>
      <c r="Y978" s="186"/>
      <c r="Z978" s="186"/>
    </row>
    <row r="979" spans="1:26" ht="12.75" customHeight="1">
      <c r="A979" s="186"/>
      <c r="B979" s="189"/>
      <c r="C979" s="189"/>
      <c r="D979" s="230"/>
      <c r="E979" s="230"/>
      <c r="F979" s="231"/>
      <c r="G979" s="189"/>
      <c r="H979" s="230"/>
      <c r="I979" s="230"/>
      <c r="J979" s="232"/>
      <c r="K979" s="233"/>
      <c r="L979" s="186"/>
      <c r="M979" s="186"/>
      <c r="N979" s="186"/>
      <c r="O979" s="234"/>
      <c r="P979" s="186"/>
      <c r="Q979" s="234"/>
      <c r="R979" s="234"/>
      <c r="S979" s="186"/>
      <c r="T979" s="186"/>
      <c r="U979" s="186"/>
      <c r="V979" s="186"/>
      <c r="W979" s="186"/>
      <c r="X979" s="186"/>
      <c r="Y979" s="186"/>
      <c r="Z979" s="186"/>
    </row>
    <row r="980" spans="1:26" ht="12.75" customHeight="1">
      <c r="A980" s="186"/>
      <c r="B980" s="189"/>
      <c r="C980" s="189"/>
      <c r="D980" s="230"/>
      <c r="E980" s="230"/>
      <c r="F980" s="231"/>
      <c r="G980" s="189"/>
      <c r="H980" s="230"/>
      <c r="I980" s="230"/>
      <c r="J980" s="232"/>
      <c r="K980" s="233"/>
      <c r="L980" s="186"/>
      <c r="M980" s="186"/>
      <c r="N980" s="186"/>
      <c r="O980" s="234"/>
      <c r="P980" s="186"/>
      <c r="Q980" s="234"/>
      <c r="R980" s="234"/>
      <c r="S980" s="186"/>
      <c r="T980" s="186"/>
      <c r="U980" s="186"/>
      <c r="V980" s="186"/>
      <c r="W980" s="186"/>
      <c r="X980" s="186"/>
      <c r="Y980" s="186"/>
      <c r="Z980" s="186"/>
    </row>
    <row r="981" spans="1:26" ht="12.75" customHeight="1">
      <c r="A981" s="186"/>
      <c r="B981" s="189"/>
      <c r="C981" s="189"/>
      <c r="D981" s="230"/>
      <c r="E981" s="230"/>
      <c r="F981" s="231"/>
      <c r="G981" s="189"/>
      <c r="H981" s="230"/>
      <c r="I981" s="230"/>
      <c r="J981" s="232"/>
      <c r="K981" s="233"/>
      <c r="L981" s="186"/>
      <c r="M981" s="186"/>
      <c r="N981" s="186"/>
      <c r="O981" s="234"/>
      <c r="P981" s="186"/>
      <c r="Q981" s="234"/>
      <c r="R981" s="234"/>
      <c r="S981" s="186"/>
      <c r="T981" s="186"/>
      <c r="U981" s="186"/>
      <c r="V981" s="186"/>
      <c r="W981" s="186"/>
      <c r="X981" s="186"/>
      <c r="Y981" s="186"/>
      <c r="Z981" s="186"/>
    </row>
    <row r="982" spans="1:26" ht="12.75" customHeight="1">
      <c r="A982" s="186"/>
      <c r="B982" s="189"/>
      <c r="C982" s="189"/>
      <c r="D982" s="230"/>
      <c r="E982" s="230"/>
      <c r="F982" s="231"/>
      <c r="G982" s="189"/>
      <c r="H982" s="230"/>
      <c r="I982" s="230"/>
      <c r="J982" s="232"/>
      <c r="K982" s="233"/>
      <c r="L982" s="186"/>
      <c r="M982" s="186"/>
      <c r="N982" s="186"/>
      <c r="O982" s="234"/>
      <c r="P982" s="186"/>
      <c r="Q982" s="234"/>
      <c r="R982" s="234"/>
      <c r="S982" s="186"/>
      <c r="T982" s="186"/>
      <c r="U982" s="186"/>
      <c r="V982" s="186"/>
      <c r="W982" s="186"/>
      <c r="X982" s="186"/>
      <c r="Y982" s="186"/>
      <c r="Z982" s="186"/>
    </row>
    <row r="983" spans="1:26" ht="12.75" customHeight="1">
      <c r="A983" s="186"/>
      <c r="B983" s="189"/>
      <c r="C983" s="189"/>
      <c r="D983" s="230"/>
      <c r="E983" s="230"/>
      <c r="F983" s="231"/>
      <c r="G983" s="189"/>
      <c r="H983" s="230"/>
      <c r="I983" s="230"/>
      <c r="J983" s="232"/>
      <c r="K983" s="233"/>
      <c r="L983" s="186"/>
      <c r="M983" s="186"/>
      <c r="N983" s="186"/>
      <c r="O983" s="234"/>
      <c r="P983" s="186"/>
      <c r="Q983" s="234"/>
      <c r="R983" s="234"/>
      <c r="S983" s="186"/>
      <c r="T983" s="186"/>
      <c r="U983" s="186"/>
      <c r="V983" s="186"/>
      <c r="W983" s="186"/>
      <c r="X983" s="186"/>
      <c r="Y983" s="186"/>
      <c r="Z983" s="186"/>
    </row>
    <row r="984" spans="1:26" ht="12.75" customHeight="1">
      <c r="A984" s="186"/>
      <c r="B984" s="189"/>
      <c r="C984" s="189"/>
      <c r="D984" s="230"/>
      <c r="E984" s="230"/>
      <c r="F984" s="231"/>
      <c r="G984" s="189"/>
      <c r="H984" s="230"/>
      <c r="I984" s="230"/>
      <c r="J984" s="232"/>
      <c r="K984" s="233"/>
      <c r="L984" s="186"/>
      <c r="M984" s="186"/>
      <c r="N984" s="186"/>
      <c r="O984" s="234"/>
      <c r="P984" s="186"/>
      <c r="Q984" s="234"/>
      <c r="R984" s="234"/>
      <c r="S984" s="186"/>
      <c r="T984" s="186"/>
      <c r="U984" s="186"/>
      <c r="V984" s="186"/>
      <c r="W984" s="186"/>
      <c r="X984" s="186"/>
      <c r="Y984" s="186"/>
      <c r="Z984" s="186"/>
    </row>
    <row r="985" spans="1:26" ht="12.75" customHeight="1">
      <c r="A985" s="186"/>
      <c r="B985" s="189"/>
      <c r="C985" s="189"/>
      <c r="D985" s="230"/>
      <c r="E985" s="230"/>
      <c r="F985" s="231"/>
      <c r="G985" s="189"/>
      <c r="H985" s="230"/>
      <c r="I985" s="230"/>
      <c r="J985" s="232"/>
      <c r="K985" s="233"/>
      <c r="L985" s="186"/>
      <c r="M985" s="186"/>
      <c r="N985" s="186"/>
      <c r="O985" s="234"/>
      <c r="P985" s="186"/>
      <c r="Q985" s="234"/>
      <c r="R985" s="234"/>
      <c r="S985" s="186"/>
      <c r="T985" s="186"/>
      <c r="U985" s="186"/>
      <c r="V985" s="186"/>
      <c r="W985" s="186"/>
      <c r="X985" s="186"/>
      <c r="Y985" s="186"/>
      <c r="Z985" s="186"/>
    </row>
    <row r="986" spans="1:26" ht="12.75" customHeight="1">
      <c r="A986" s="186"/>
      <c r="B986" s="189"/>
      <c r="C986" s="189"/>
      <c r="D986" s="230"/>
      <c r="E986" s="230"/>
      <c r="F986" s="231"/>
      <c r="G986" s="189"/>
      <c r="H986" s="230"/>
      <c r="I986" s="230"/>
      <c r="J986" s="232"/>
      <c r="K986" s="233"/>
      <c r="L986" s="186"/>
      <c r="M986" s="186"/>
      <c r="N986" s="186"/>
      <c r="O986" s="234"/>
      <c r="P986" s="186"/>
      <c r="Q986" s="234"/>
      <c r="R986" s="234"/>
      <c r="S986" s="186"/>
      <c r="T986" s="186"/>
      <c r="U986" s="186"/>
      <c r="V986" s="186"/>
      <c r="W986" s="186"/>
      <c r="X986" s="186"/>
      <c r="Y986" s="186"/>
      <c r="Z986" s="186"/>
    </row>
    <row r="987" spans="1:26" ht="12.75" customHeight="1">
      <c r="A987" s="186"/>
      <c r="B987" s="189"/>
      <c r="C987" s="189"/>
      <c r="D987" s="230"/>
      <c r="E987" s="230"/>
      <c r="F987" s="231"/>
      <c r="G987" s="189"/>
      <c r="H987" s="230"/>
      <c r="I987" s="230"/>
      <c r="J987" s="232"/>
      <c r="K987" s="233"/>
      <c r="L987" s="186"/>
      <c r="M987" s="186"/>
      <c r="N987" s="186"/>
      <c r="O987" s="234"/>
      <c r="P987" s="186"/>
      <c r="Q987" s="234"/>
      <c r="R987" s="234"/>
      <c r="S987" s="186"/>
      <c r="T987" s="186"/>
      <c r="U987" s="186"/>
      <c r="V987" s="186"/>
      <c r="W987" s="186"/>
      <c r="X987" s="186"/>
      <c r="Y987" s="186"/>
      <c r="Z987" s="186"/>
    </row>
    <row r="988" spans="1:26" ht="12.75" customHeight="1">
      <c r="A988" s="186"/>
      <c r="B988" s="189"/>
      <c r="C988" s="189"/>
      <c r="D988" s="230"/>
      <c r="E988" s="230"/>
      <c r="F988" s="231"/>
      <c r="G988" s="189"/>
      <c r="H988" s="230"/>
      <c r="I988" s="230"/>
      <c r="J988" s="232"/>
      <c r="K988" s="233"/>
      <c r="L988" s="186"/>
      <c r="M988" s="186"/>
      <c r="N988" s="186"/>
      <c r="O988" s="234"/>
      <c r="P988" s="186"/>
      <c r="Q988" s="234"/>
      <c r="R988" s="234"/>
      <c r="S988" s="186"/>
      <c r="T988" s="186"/>
      <c r="U988" s="186"/>
      <c r="V988" s="186"/>
      <c r="W988" s="186"/>
      <c r="X988" s="186"/>
      <c r="Y988" s="186"/>
      <c r="Z988" s="186"/>
    </row>
    <row r="989" spans="1:26" ht="12.75" customHeight="1">
      <c r="A989" s="186"/>
      <c r="B989" s="189"/>
      <c r="C989" s="189"/>
      <c r="D989" s="230"/>
      <c r="E989" s="230"/>
      <c r="F989" s="231"/>
      <c r="G989" s="189"/>
      <c r="H989" s="230"/>
      <c r="I989" s="230"/>
      <c r="J989" s="232"/>
      <c r="K989" s="233"/>
      <c r="L989" s="186"/>
      <c r="M989" s="186"/>
      <c r="N989" s="186"/>
      <c r="O989" s="234"/>
      <c r="P989" s="186"/>
      <c r="Q989" s="234"/>
      <c r="R989" s="234"/>
      <c r="S989" s="186"/>
      <c r="T989" s="186"/>
      <c r="U989" s="186"/>
      <c r="V989" s="186"/>
      <c r="W989" s="186"/>
      <c r="X989" s="186"/>
      <c r="Y989" s="186"/>
      <c r="Z989" s="186"/>
    </row>
    <row r="990" spans="1:26" ht="12.75" customHeight="1">
      <c r="A990" s="186"/>
      <c r="B990" s="189"/>
      <c r="C990" s="189"/>
      <c r="D990" s="230"/>
      <c r="E990" s="230"/>
      <c r="F990" s="231"/>
      <c r="G990" s="189"/>
      <c r="H990" s="230"/>
      <c r="I990" s="230"/>
      <c r="J990" s="232"/>
      <c r="K990" s="233"/>
      <c r="L990" s="186"/>
      <c r="M990" s="186"/>
      <c r="N990" s="186"/>
      <c r="O990" s="234"/>
      <c r="P990" s="186"/>
      <c r="Q990" s="234"/>
      <c r="R990" s="234"/>
      <c r="S990" s="186"/>
      <c r="T990" s="186"/>
      <c r="U990" s="186"/>
      <c r="V990" s="186"/>
      <c r="W990" s="186"/>
      <c r="X990" s="186"/>
      <c r="Y990" s="186"/>
      <c r="Z990" s="186"/>
    </row>
    <row r="991" spans="1:26" ht="12.75" customHeight="1">
      <c r="A991" s="186"/>
      <c r="B991" s="189"/>
      <c r="C991" s="189"/>
      <c r="D991" s="230"/>
      <c r="E991" s="230"/>
      <c r="F991" s="231"/>
      <c r="G991" s="189"/>
      <c r="H991" s="230"/>
      <c r="I991" s="230"/>
      <c r="J991" s="232"/>
      <c r="K991" s="233"/>
      <c r="L991" s="186"/>
      <c r="M991" s="186"/>
      <c r="N991" s="186"/>
      <c r="O991" s="234"/>
      <c r="P991" s="186"/>
      <c r="Q991" s="234"/>
      <c r="R991" s="234"/>
      <c r="S991" s="186"/>
      <c r="T991" s="186"/>
      <c r="U991" s="186"/>
      <c r="V991" s="186"/>
      <c r="W991" s="186"/>
      <c r="X991" s="186"/>
      <c r="Y991" s="186"/>
      <c r="Z991" s="186"/>
    </row>
    <row r="992" spans="1:26" ht="12.75" customHeight="1">
      <c r="A992" s="186"/>
      <c r="B992" s="189"/>
      <c r="C992" s="189"/>
      <c r="D992" s="230"/>
      <c r="E992" s="230"/>
      <c r="F992" s="231"/>
      <c r="G992" s="189"/>
      <c r="H992" s="230"/>
      <c r="I992" s="230"/>
      <c r="J992" s="232"/>
      <c r="K992" s="233"/>
      <c r="L992" s="186"/>
      <c r="M992" s="186"/>
      <c r="N992" s="186"/>
      <c r="O992" s="234"/>
      <c r="P992" s="186"/>
      <c r="Q992" s="234"/>
      <c r="R992" s="234"/>
      <c r="S992" s="186"/>
      <c r="T992" s="186"/>
      <c r="U992" s="186"/>
      <c r="V992" s="186"/>
      <c r="W992" s="186"/>
      <c r="X992" s="186"/>
      <c r="Y992" s="186"/>
      <c r="Z992" s="186"/>
    </row>
    <row r="993" spans="1:26" ht="12.75" customHeight="1">
      <c r="A993" s="186"/>
      <c r="B993" s="189"/>
      <c r="C993" s="189"/>
      <c r="D993" s="230"/>
      <c r="E993" s="230"/>
      <c r="F993" s="231"/>
      <c r="G993" s="189"/>
      <c r="H993" s="230"/>
      <c r="I993" s="230"/>
      <c r="J993" s="232"/>
      <c r="K993" s="233"/>
      <c r="L993" s="186"/>
      <c r="M993" s="186"/>
      <c r="N993" s="186"/>
      <c r="O993" s="234"/>
      <c r="P993" s="186"/>
      <c r="Q993" s="234"/>
      <c r="R993" s="234"/>
      <c r="S993" s="186"/>
      <c r="T993" s="186"/>
      <c r="U993" s="186"/>
      <c r="V993" s="186"/>
      <c r="W993" s="186"/>
      <c r="X993" s="186"/>
      <c r="Y993" s="186"/>
      <c r="Z993" s="186"/>
    </row>
    <row r="994" spans="1:26" ht="12.75" customHeight="1">
      <c r="A994" s="186"/>
      <c r="B994" s="189"/>
      <c r="C994" s="189"/>
      <c r="D994" s="230"/>
      <c r="E994" s="230"/>
      <c r="F994" s="231"/>
      <c r="G994" s="189"/>
      <c r="H994" s="230"/>
      <c r="I994" s="230"/>
      <c r="J994" s="232"/>
      <c r="K994" s="233"/>
      <c r="L994" s="186"/>
      <c r="M994" s="186"/>
      <c r="N994" s="186"/>
      <c r="O994" s="234"/>
      <c r="P994" s="186"/>
      <c r="Q994" s="234"/>
      <c r="R994" s="234"/>
      <c r="S994" s="186"/>
      <c r="T994" s="186"/>
      <c r="U994" s="186"/>
      <c r="V994" s="186"/>
      <c r="W994" s="186"/>
      <c r="X994" s="186"/>
      <c r="Y994" s="186"/>
      <c r="Z994" s="186"/>
    </row>
    <row r="995" spans="1:26" ht="12.75" customHeight="1">
      <c r="A995" s="186"/>
      <c r="B995" s="189"/>
      <c r="C995" s="189"/>
      <c r="D995" s="230"/>
      <c r="E995" s="230"/>
      <c r="F995" s="231"/>
      <c r="G995" s="189"/>
      <c r="H995" s="230"/>
      <c r="I995" s="230"/>
      <c r="J995" s="232"/>
      <c r="K995" s="233"/>
      <c r="L995" s="186"/>
      <c r="M995" s="186"/>
      <c r="N995" s="186"/>
      <c r="O995" s="234"/>
      <c r="P995" s="186"/>
      <c r="Q995" s="234"/>
      <c r="R995" s="234"/>
      <c r="S995" s="186"/>
      <c r="T995" s="186"/>
      <c r="U995" s="186"/>
      <c r="V995" s="186"/>
      <c r="W995" s="186"/>
      <c r="X995" s="186"/>
      <c r="Y995" s="186"/>
      <c r="Z995" s="186"/>
    </row>
    <row r="996" spans="1:26" ht="12.75" customHeight="1">
      <c r="A996" s="186"/>
      <c r="B996" s="189"/>
      <c r="C996" s="189"/>
      <c r="D996" s="230"/>
      <c r="E996" s="230"/>
      <c r="F996" s="231"/>
      <c r="G996" s="189"/>
      <c r="H996" s="230"/>
      <c r="I996" s="230"/>
      <c r="J996" s="232"/>
      <c r="K996" s="233"/>
      <c r="L996" s="186"/>
      <c r="M996" s="186"/>
      <c r="N996" s="186"/>
      <c r="O996" s="234"/>
      <c r="P996" s="186"/>
      <c r="Q996" s="234"/>
      <c r="R996" s="234"/>
      <c r="S996" s="186"/>
      <c r="T996" s="186"/>
      <c r="U996" s="186"/>
      <c r="V996" s="186"/>
      <c r="W996" s="186"/>
      <c r="X996" s="186"/>
      <c r="Y996" s="186"/>
      <c r="Z996" s="186"/>
    </row>
    <row r="997" spans="1:26" ht="12.75" customHeight="1">
      <c r="A997" s="186"/>
      <c r="B997" s="189"/>
      <c r="C997" s="189"/>
      <c r="D997" s="230"/>
      <c r="E997" s="230"/>
      <c r="F997" s="231"/>
      <c r="G997" s="189"/>
      <c r="H997" s="230"/>
      <c r="I997" s="230"/>
      <c r="J997" s="232"/>
      <c r="K997" s="233"/>
      <c r="L997" s="186"/>
      <c r="M997" s="186"/>
      <c r="N997" s="186"/>
      <c r="O997" s="234"/>
      <c r="P997" s="186"/>
      <c r="Q997" s="234"/>
      <c r="R997" s="234"/>
      <c r="S997" s="186"/>
      <c r="T997" s="186"/>
      <c r="U997" s="186"/>
      <c r="V997" s="186"/>
      <c r="W997" s="186"/>
      <c r="X997" s="186"/>
      <c r="Y997" s="186"/>
      <c r="Z997" s="186"/>
    </row>
    <row r="998" spans="1:26" ht="12.75" customHeight="1">
      <c r="A998" s="186"/>
      <c r="B998" s="189"/>
      <c r="C998" s="189"/>
      <c r="D998" s="230"/>
      <c r="E998" s="230"/>
      <c r="F998" s="231"/>
      <c r="G998" s="189"/>
      <c r="H998" s="230"/>
      <c r="I998" s="230"/>
      <c r="J998" s="232"/>
      <c r="K998" s="233"/>
      <c r="L998" s="186"/>
      <c r="M998" s="186"/>
      <c r="N998" s="186"/>
      <c r="O998" s="234"/>
      <c r="P998" s="186"/>
      <c r="Q998" s="234"/>
      <c r="R998" s="234"/>
      <c r="S998" s="186"/>
      <c r="T998" s="186"/>
      <c r="U998" s="186"/>
      <c r="V998" s="186"/>
      <c r="W998" s="186"/>
      <c r="X998" s="186"/>
      <c r="Y998" s="186"/>
      <c r="Z998" s="186"/>
    </row>
    <row r="999" spans="1:26" ht="12.75" customHeight="1">
      <c r="A999" s="186"/>
      <c r="B999" s="189"/>
      <c r="C999" s="189"/>
      <c r="D999" s="230"/>
      <c r="E999" s="230"/>
      <c r="F999" s="231"/>
      <c r="G999" s="189"/>
      <c r="H999" s="230"/>
      <c r="I999" s="230"/>
      <c r="J999" s="232"/>
      <c r="K999" s="233"/>
      <c r="L999" s="186"/>
      <c r="M999" s="186"/>
      <c r="N999" s="186"/>
      <c r="O999" s="234"/>
      <c r="P999" s="186"/>
      <c r="Q999" s="234"/>
      <c r="R999" s="234"/>
      <c r="S999" s="186"/>
      <c r="T999" s="186"/>
      <c r="U999" s="186"/>
      <c r="V999" s="186"/>
      <c r="W999" s="186"/>
      <c r="X999" s="186"/>
      <c r="Y999" s="186"/>
      <c r="Z999" s="186"/>
    </row>
    <row r="1000" spans="1:26" ht="12.75" customHeight="1">
      <c r="A1000" s="186"/>
      <c r="B1000" s="189"/>
      <c r="C1000" s="189"/>
      <c r="D1000" s="230"/>
      <c r="E1000" s="230"/>
      <c r="F1000" s="231"/>
      <c r="G1000" s="189"/>
      <c r="H1000" s="230"/>
      <c r="I1000" s="230"/>
      <c r="J1000" s="232"/>
      <c r="K1000" s="233"/>
      <c r="L1000" s="186"/>
      <c r="M1000" s="186"/>
      <c r="N1000" s="186"/>
      <c r="O1000" s="234"/>
      <c r="P1000" s="186"/>
      <c r="Q1000" s="234"/>
      <c r="R1000" s="234"/>
      <c r="S1000" s="186"/>
      <c r="T1000" s="186"/>
      <c r="U1000" s="186"/>
      <c r="V1000" s="186"/>
      <c r="W1000" s="186"/>
      <c r="X1000" s="186"/>
      <c r="Y1000" s="186"/>
      <c r="Z1000" s="186"/>
    </row>
  </sheetData>
  <autoFilter ref="B2:U2"/>
  <mergeCells count="155">
    <mergeCell ref="A60:A61"/>
    <mergeCell ref="A63:A64"/>
    <mergeCell ref="A65:A66"/>
    <mergeCell ref="A41:A42"/>
    <mergeCell ref="A43:A44"/>
    <mergeCell ref="A46:A47"/>
    <mergeCell ref="A48:A49"/>
    <mergeCell ref="A53:A54"/>
    <mergeCell ref="A55:A56"/>
    <mergeCell ref="A58:A59"/>
    <mergeCell ref="D38:D39"/>
    <mergeCell ref="E38:E39"/>
    <mergeCell ref="C36:C37"/>
    <mergeCell ref="D36:D37"/>
    <mergeCell ref="F36:F37"/>
    <mergeCell ref="G36:G39"/>
    <mergeCell ref="B38:B39"/>
    <mergeCell ref="C38:C39"/>
    <mergeCell ref="F38:F39"/>
    <mergeCell ref="G58:G61"/>
    <mergeCell ref="B63:B64"/>
    <mergeCell ref="B65:B66"/>
    <mergeCell ref="C65:C66"/>
    <mergeCell ref="D65:D66"/>
    <mergeCell ref="E65:E66"/>
    <mergeCell ref="F65:F66"/>
    <mergeCell ref="B58:B59"/>
    <mergeCell ref="B60:B61"/>
    <mergeCell ref="C63:C64"/>
    <mergeCell ref="D63:D64"/>
    <mergeCell ref="E63:E64"/>
    <mergeCell ref="F63:F64"/>
    <mergeCell ref="G63:G66"/>
    <mergeCell ref="C60:C61"/>
    <mergeCell ref="D60:D61"/>
    <mergeCell ref="E60:E61"/>
    <mergeCell ref="F60:F61"/>
    <mergeCell ref="B53:B54"/>
    <mergeCell ref="B55:B56"/>
    <mergeCell ref="C58:C59"/>
    <mergeCell ref="D58:D59"/>
    <mergeCell ref="E58:E59"/>
    <mergeCell ref="F58:F59"/>
    <mergeCell ref="G46:G49"/>
    <mergeCell ref="C55:C56"/>
    <mergeCell ref="D55:D56"/>
    <mergeCell ref="E55:E56"/>
    <mergeCell ref="F55:F56"/>
    <mergeCell ref="B46:B47"/>
    <mergeCell ref="B48:B49"/>
    <mergeCell ref="C53:C54"/>
    <mergeCell ref="D53:D54"/>
    <mergeCell ref="E53:E54"/>
    <mergeCell ref="F53:F54"/>
    <mergeCell ref="G53:G56"/>
    <mergeCell ref="C48:C49"/>
    <mergeCell ref="D48:D49"/>
    <mergeCell ref="E48:E49"/>
    <mergeCell ref="F48:F49"/>
    <mergeCell ref="B43:B44"/>
    <mergeCell ref="C43:C44"/>
    <mergeCell ref="C46:C47"/>
    <mergeCell ref="D46:D47"/>
    <mergeCell ref="E46:E47"/>
    <mergeCell ref="F46:F47"/>
    <mergeCell ref="D43:D44"/>
    <mergeCell ref="E43:E44"/>
    <mergeCell ref="F30:F31"/>
    <mergeCell ref="G30:G33"/>
    <mergeCell ref="F32:F33"/>
    <mergeCell ref="A38:A39"/>
    <mergeCell ref="B41:B42"/>
    <mergeCell ref="C41:C42"/>
    <mergeCell ref="D41:D42"/>
    <mergeCell ref="E41:E42"/>
    <mergeCell ref="F41:F42"/>
    <mergeCell ref="G41:G44"/>
    <mergeCell ref="F43:F44"/>
    <mergeCell ref="A30:A31"/>
    <mergeCell ref="B30:B31"/>
    <mergeCell ref="C30:C31"/>
    <mergeCell ref="D30:D31"/>
    <mergeCell ref="E30:E31"/>
    <mergeCell ref="A32:A33"/>
    <mergeCell ref="B32:B33"/>
    <mergeCell ref="C32:C33"/>
    <mergeCell ref="D32:D33"/>
    <mergeCell ref="E32:E33"/>
    <mergeCell ref="A36:A37"/>
    <mergeCell ref="B36:B37"/>
    <mergeCell ref="E36:E37"/>
    <mergeCell ref="A13:A14"/>
    <mergeCell ref="B13:B14"/>
    <mergeCell ref="C13:C14"/>
    <mergeCell ref="D13:D14"/>
    <mergeCell ref="E13:E14"/>
    <mergeCell ref="F13:F14"/>
    <mergeCell ref="G13:G16"/>
    <mergeCell ref="C15:C16"/>
    <mergeCell ref="D15:D16"/>
    <mergeCell ref="A3:A4"/>
    <mergeCell ref="B3:B4"/>
    <mergeCell ref="C3:C4"/>
    <mergeCell ref="D3:D4"/>
    <mergeCell ref="E3:E4"/>
    <mergeCell ref="F3:F4"/>
    <mergeCell ref="G3:G6"/>
    <mergeCell ref="A5:A6"/>
    <mergeCell ref="B5:B6"/>
    <mergeCell ref="A22:A23"/>
    <mergeCell ref="A25:A26"/>
    <mergeCell ref="C25:C26"/>
    <mergeCell ref="D25:D26"/>
    <mergeCell ref="E25:E26"/>
    <mergeCell ref="F25:F26"/>
    <mergeCell ref="G25:G28"/>
    <mergeCell ref="C5:C6"/>
    <mergeCell ref="D5:D6"/>
    <mergeCell ref="E5:E6"/>
    <mergeCell ref="F5:F6"/>
    <mergeCell ref="G8:G11"/>
    <mergeCell ref="E10:E11"/>
    <mergeCell ref="F10:F11"/>
    <mergeCell ref="B8:B9"/>
    <mergeCell ref="C8:C9"/>
    <mergeCell ref="D8:D9"/>
    <mergeCell ref="E8:E9"/>
    <mergeCell ref="F8:F9"/>
    <mergeCell ref="A8:A9"/>
    <mergeCell ref="A10:A11"/>
    <mergeCell ref="B10:B11"/>
    <mergeCell ref="C10:C11"/>
    <mergeCell ref="D10:D11"/>
    <mergeCell ref="G20:G23"/>
    <mergeCell ref="B22:B23"/>
    <mergeCell ref="C22:C23"/>
    <mergeCell ref="D22:D23"/>
    <mergeCell ref="E22:E23"/>
    <mergeCell ref="F22:F23"/>
    <mergeCell ref="C27:C28"/>
    <mergeCell ref="D27:D28"/>
    <mergeCell ref="E27:E28"/>
    <mergeCell ref="F27:F28"/>
    <mergeCell ref="B25:B26"/>
    <mergeCell ref="B27:B28"/>
    <mergeCell ref="E15:E16"/>
    <mergeCell ref="F15:F16"/>
    <mergeCell ref="A15:A16"/>
    <mergeCell ref="B15:B16"/>
    <mergeCell ref="A20:A21"/>
    <mergeCell ref="B20:B21"/>
    <mergeCell ref="C20:C21"/>
    <mergeCell ref="D20:D21"/>
    <mergeCell ref="E20:E21"/>
    <mergeCell ref="F20:F2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25</vt:i4>
      </vt:variant>
    </vt:vector>
  </HeadingPairs>
  <TitlesOfParts>
    <vt:vector size="25" baseType="lpstr">
      <vt:lpstr>ÍNDICE</vt:lpstr>
      <vt:lpstr>Aprof. Biologia</vt:lpstr>
      <vt:lpstr>Aprof. Filosofia</vt:lpstr>
      <vt:lpstr>Aprof. Geografia</vt:lpstr>
      <vt:lpstr>Aprof. Química</vt:lpstr>
      <vt:lpstr>Aprof. Sociologia</vt:lpstr>
      <vt:lpstr>Arte e Mídias Digitais</vt:lpstr>
      <vt:lpstr>Atualidades</vt:lpstr>
      <vt:lpstr>Biologia (Noturno)</vt:lpstr>
      <vt:lpstr>Educação Financeira</vt:lpstr>
      <vt:lpstr>Empreendedorismo</vt:lpstr>
      <vt:lpstr>Geografia (Noturno)</vt:lpstr>
      <vt:lpstr>Liderança e Oratória</vt:lpstr>
      <vt:lpstr>Língua Inglesa</vt:lpstr>
      <vt:lpstr>Práticas Experimentais</vt:lpstr>
      <vt:lpstr>Programação </vt:lpstr>
      <vt:lpstr>Projeto de Vida</vt:lpstr>
      <vt:lpstr>Química (Noturno)</vt:lpstr>
      <vt:lpstr>Redação e Leitura</vt:lpstr>
      <vt:lpstr>Robótica - PEI 9h</vt:lpstr>
      <vt:lpstr>Gráfico</vt:lpstr>
      <vt:lpstr>LP 2025</vt:lpstr>
      <vt:lpstr>Planilha2</vt:lpstr>
      <vt:lpstr>Planilha1</vt:lpstr>
      <vt:lpstr>AF - Tecnologia e Inovação-remo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cp:lastModifiedBy>
  <dcterms:created xsi:type="dcterms:W3CDTF">2024-05-17T17:36:33Z</dcterms:created>
  <dcterms:modified xsi:type="dcterms:W3CDTF">2026-07-20T02:04:38Z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0x0101008EF72BE37C08C94EA3E96CB2D5C4A4E5</vt:lpwstr>
  </property>
  <property fmtid="{D5CDD505-2E9C-101B-9397-08002B2CF9AE}" pid="3" name="MediaServiceImageTags">
    <vt:lpwstr/>
  </property>
</Properties>
</file>